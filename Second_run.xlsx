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ika/Phyton_workspace/Plate reader/"/>
    </mc:Choice>
  </mc:AlternateContent>
  <xr:revisionPtr revIDLastSave="0" documentId="13_ncr:1_{EB56C13F-31E8-FD4C-A933-103834FE5D41}" xr6:coauthVersionLast="47" xr6:coauthVersionMax="47" xr10:uidLastSave="{00000000-0000-0000-0000-000000000000}"/>
  <bookViews>
    <workbookView xWindow="0" yWindow="760" windowWidth="29400" windowHeight="17060" activeTab="1" xr2:uid="{00000000-000D-0000-FFFF-FFFF00000000}"/>
  </bookViews>
  <sheets>
    <sheet name="Result sheet" sheetId="1" r:id="rId1"/>
    <sheet name="Sheet2" sheetId="3" r:id="rId2"/>
    <sheet name="OD_x0009__x0009__x0009__x0009__x0009__x0009__x0009__x0009__x0009__x0009__x0009__x0009__x0009__x0009__x0009__x0009__x0009__x0009__x0009__x0009__x0009__x0009__x0009__x0009__x0009__x0009__x0009__x0009__x0009_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6" i="2" l="1"/>
  <c r="P66" i="2"/>
  <c r="O66" i="2"/>
  <c r="N66" i="2"/>
  <c r="M66" i="2"/>
  <c r="E67" i="2"/>
  <c r="F67" i="2"/>
  <c r="G67" i="2"/>
  <c r="H67" i="2"/>
  <c r="H68" i="2" s="1"/>
  <c r="I67" i="2"/>
  <c r="I68" i="2" s="1"/>
  <c r="J67" i="2"/>
  <c r="J68" i="2" s="1"/>
  <c r="K67" i="2"/>
  <c r="K68" i="2" s="1"/>
  <c r="E68" i="2"/>
  <c r="F68" i="2"/>
  <c r="G68" i="2"/>
  <c r="K66" i="2"/>
  <c r="J66" i="2"/>
  <c r="I66" i="2"/>
  <c r="H66" i="2"/>
  <c r="G66" i="2"/>
  <c r="F66" i="2"/>
  <c r="E66" i="2"/>
  <c r="D68" i="2"/>
  <c r="D67" i="2"/>
  <c r="D66" i="2"/>
  <c r="C66" i="2"/>
  <c r="C67" i="2"/>
  <c r="C68" i="2" s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86" i="1"/>
  <c r="DD4" i="2"/>
  <c r="DE4" i="2" s="1"/>
  <c r="DD5" i="2"/>
  <c r="DE5" i="2" s="1"/>
  <c r="DD6" i="2"/>
  <c r="DE6" i="2"/>
  <c r="DD7" i="2"/>
  <c r="DE7" i="2"/>
  <c r="DD8" i="2"/>
  <c r="DE8" i="2" s="1"/>
  <c r="DD9" i="2"/>
  <c r="DE9" i="2" s="1"/>
  <c r="DD10" i="2"/>
  <c r="DE10" i="2"/>
  <c r="DD11" i="2"/>
  <c r="DE11" i="2"/>
  <c r="DD12" i="2"/>
  <c r="DE12" i="2" s="1"/>
  <c r="DD13" i="2"/>
  <c r="DE13" i="2" s="1"/>
  <c r="DD14" i="2"/>
  <c r="DE14" i="2"/>
  <c r="DD15" i="2"/>
  <c r="DE15" i="2"/>
  <c r="DD16" i="2"/>
  <c r="DE16" i="2" s="1"/>
  <c r="DD17" i="2"/>
  <c r="DE17" i="2" s="1"/>
  <c r="DD18" i="2"/>
  <c r="DE18" i="2"/>
  <c r="DD19" i="2"/>
  <c r="DE19" i="2"/>
  <c r="DD20" i="2"/>
  <c r="DE20" i="2" s="1"/>
  <c r="DD21" i="2"/>
  <c r="DE21" i="2" s="1"/>
  <c r="DD22" i="2"/>
  <c r="DE22" i="2" s="1"/>
  <c r="DD23" i="2"/>
  <c r="DE23" i="2"/>
  <c r="DD24" i="2"/>
  <c r="DE24" i="2" s="1"/>
  <c r="DD25" i="2"/>
  <c r="DE25" i="2" s="1"/>
  <c r="DD26" i="2"/>
  <c r="DE26" i="2"/>
  <c r="DD27" i="2"/>
  <c r="DE27" i="2"/>
  <c r="DD28" i="2"/>
  <c r="DE28" i="2" s="1"/>
  <c r="DD29" i="2"/>
  <c r="DE29" i="2" s="1"/>
  <c r="DD30" i="2"/>
  <c r="DE30" i="2"/>
  <c r="DD31" i="2"/>
  <c r="DE31" i="2"/>
  <c r="DD32" i="2"/>
  <c r="DE32" i="2" s="1"/>
  <c r="DD33" i="2"/>
  <c r="DE33" i="2" s="1"/>
  <c r="DD34" i="2"/>
  <c r="DE34" i="2"/>
  <c r="DD35" i="2"/>
  <c r="DE35" i="2"/>
  <c r="DD36" i="2"/>
  <c r="DE36" i="2" s="1"/>
  <c r="DD37" i="2"/>
  <c r="DE37" i="2" s="1"/>
  <c r="CZ4" i="2"/>
  <c r="DA4" i="2" s="1"/>
  <c r="CZ5" i="2"/>
  <c r="DA5" i="2"/>
  <c r="CZ6" i="2"/>
  <c r="DA6" i="2" s="1"/>
  <c r="CZ7" i="2"/>
  <c r="DA7" i="2" s="1"/>
  <c r="CZ8" i="2"/>
  <c r="DA8" i="2" s="1"/>
  <c r="CZ9" i="2"/>
  <c r="DA9" i="2"/>
  <c r="CZ10" i="2"/>
  <c r="DA10" i="2"/>
  <c r="CZ11" i="2"/>
  <c r="DA11" i="2" s="1"/>
  <c r="CZ12" i="2"/>
  <c r="DA12" i="2" s="1"/>
  <c r="CZ13" i="2"/>
  <c r="DA13" i="2"/>
  <c r="CZ14" i="2"/>
  <c r="DA14" i="2"/>
  <c r="CZ15" i="2"/>
  <c r="DA15" i="2" s="1"/>
  <c r="CZ16" i="2"/>
  <c r="DA16" i="2" s="1"/>
  <c r="CZ17" i="2"/>
  <c r="DA17" i="2" s="1"/>
  <c r="CZ18" i="2"/>
  <c r="DA18" i="2"/>
  <c r="CZ19" i="2"/>
  <c r="DA19" i="2"/>
  <c r="CZ20" i="2"/>
  <c r="DA20" i="2" s="1"/>
  <c r="CZ21" i="2"/>
  <c r="DA21" i="2" s="1"/>
  <c r="CZ22" i="2"/>
  <c r="DA22" i="2"/>
  <c r="CZ23" i="2"/>
  <c r="DA23" i="2"/>
  <c r="CZ24" i="2"/>
  <c r="DA24" i="2" s="1"/>
  <c r="CZ25" i="2"/>
  <c r="DA25" i="2" s="1"/>
  <c r="CZ26" i="2"/>
  <c r="DA26" i="2" s="1"/>
  <c r="CZ27" i="2"/>
  <c r="DA27" i="2"/>
  <c r="CZ28" i="2"/>
  <c r="DA28" i="2" s="1"/>
  <c r="CZ29" i="2"/>
  <c r="DA29" i="2" s="1"/>
  <c r="CZ30" i="2"/>
  <c r="DA30" i="2" s="1"/>
  <c r="CZ31" i="2"/>
  <c r="DA31" i="2"/>
  <c r="CZ32" i="2"/>
  <c r="DA32" i="2" s="1"/>
  <c r="CZ33" i="2"/>
  <c r="DA33" i="2"/>
  <c r="CZ34" i="2"/>
  <c r="DA34" i="2" s="1"/>
  <c r="CZ35" i="2"/>
  <c r="DA35" i="2" s="1"/>
  <c r="CZ36" i="2"/>
  <c r="DA36" i="2" s="1"/>
  <c r="CZ37" i="2"/>
  <c r="DA37" i="2"/>
  <c r="CV4" i="2"/>
  <c r="CW4" i="2" s="1"/>
  <c r="CV5" i="2"/>
  <c r="CW5" i="2" s="1"/>
  <c r="CV6" i="2"/>
  <c r="CW6" i="2" s="1"/>
  <c r="CV7" i="2"/>
  <c r="CW7" i="2" s="1"/>
  <c r="CV8" i="2"/>
  <c r="CW8" i="2" s="1"/>
  <c r="CV9" i="2"/>
  <c r="CW9" i="2"/>
  <c r="CV10" i="2"/>
  <c r="CW10" i="2" s="1"/>
  <c r="CV11" i="2"/>
  <c r="CW11" i="2" s="1"/>
  <c r="CV12" i="2"/>
  <c r="CW12" i="2" s="1"/>
  <c r="CV13" i="2"/>
  <c r="CW13" i="2"/>
  <c r="CV14" i="2"/>
  <c r="CW14" i="2"/>
  <c r="CV15" i="2"/>
  <c r="CW15" i="2" s="1"/>
  <c r="CV16" i="2"/>
  <c r="CW16" i="2" s="1"/>
  <c r="CV17" i="2"/>
  <c r="CW17" i="2" s="1"/>
  <c r="CV18" i="2"/>
  <c r="CW18" i="2"/>
  <c r="CV19" i="2"/>
  <c r="CW19" i="2" s="1"/>
  <c r="CV20" i="2"/>
  <c r="CW20" i="2" s="1"/>
  <c r="CV21" i="2"/>
  <c r="CW21" i="2" s="1"/>
  <c r="CV22" i="2"/>
  <c r="CW22" i="2" s="1"/>
  <c r="CV23" i="2"/>
  <c r="CW23" i="2" s="1"/>
  <c r="CV24" i="2"/>
  <c r="CW24" i="2" s="1"/>
  <c r="CV25" i="2"/>
  <c r="CW25" i="2"/>
  <c r="CV26" i="2"/>
  <c r="CW26" i="2" s="1"/>
  <c r="CV27" i="2"/>
  <c r="CW27" i="2" s="1"/>
  <c r="CV28" i="2"/>
  <c r="CW28" i="2" s="1"/>
  <c r="CV29" i="2"/>
  <c r="CW29" i="2"/>
  <c r="CV30" i="2"/>
  <c r="CW30" i="2"/>
  <c r="CV31" i="2"/>
  <c r="CW31" i="2" s="1"/>
  <c r="CV32" i="2"/>
  <c r="CW32" i="2" s="1"/>
  <c r="CV33" i="2"/>
  <c r="CW33" i="2" s="1"/>
  <c r="CV34" i="2"/>
  <c r="CW34" i="2"/>
  <c r="CV35" i="2"/>
  <c r="CW35" i="2" s="1"/>
  <c r="CV36" i="2"/>
  <c r="CW36" i="2" s="1"/>
  <c r="CV37" i="2"/>
  <c r="CW37" i="2" s="1"/>
  <c r="CR4" i="2"/>
  <c r="CS4" i="2" s="1"/>
  <c r="CR5" i="2"/>
  <c r="CS5" i="2"/>
  <c r="CR6" i="2"/>
  <c r="CS6" i="2"/>
  <c r="CR7" i="2"/>
  <c r="CS7" i="2" s="1"/>
  <c r="CR8" i="2"/>
  <c r="CS8" i="2" s="1"/>
  <c r="CR9" i="2"/>
  <c r="CS9" i="2" s="1"/>
  <c r="CR10" i="2"/>
  <c r="CS10" i="2"/>
  <c r="CR11" i="2"/>
  <c r="CS11" i="2"/>
  <c r="CR12" i="2"/>
  <c r="CS12" i="2" s="1"/>
  <c r="CR13" i="2"/>
  <c r="CS13" i="2" s="1"/>
  <c r="CR14" i="2"/>
  <c r="CS14" i="2"/>
  <c r="CR15" i="2"/>
  <c r="CS15" i="2"/>
  <c r="CR16" i="2"/>
  <c r="CS16" i="2" s="1"/>
  <c r="CR17" i="2"/>
  <c r="CS17" i="2" s="1"/>
  <c r="CR18" i="2"/>
  <c r="CS18" i="2" s="1"/>
  <c r="CR19" i="2"/>
  <c r="CS19" i="2"/>
  <c r="CR20" i="2"/>
  <c r="CS20" i="2" s="1"/>
  <c r="CR21" i="2"/>
  <c r="CS21" i="2" s="1"/>
  <c r="CR22" i="2"/>
  <c r="CS22" i="2" s="1"/>
  <c r="CR23" i="2"/>
  <c r="CS23" i="2"/>
  <c r="CR24" i="2"/>
  <c r="CS24" i="2" s="1"/>
  <c r="CR25" i="2"/>
  <c r="CS25" i="2"/>
  <c r="CR26" i="2"/>
  <c r="CS26" i="2" s="1"/>
  <c r="CR27" i="2"/>
  <c r="CS27" i="2" s="1"/>
  <c r="CR28" i="2"/>
  <c r="CS28" i="2" s="1"/>
  <c r="CR29" i="2"/>
  <c r="CS29" i="2"/>
  <c r="CR30" i="2"/>
  <c r="CS30" i="2" s="1"/>
  <c r="CR31" i="2"/>
  <c r="CS31" i="2" s="1"/>
  <c r="CR32" i="2"/>
  <c r="CS32" i="2" s="1"/>
  <c r="CR33" i="2"/>
  <c r="CS33" i="2"/>
  <c r="CR34" i="2"/>
  <c r="CS34" i="2"/>
  <c r="CR35" i="2"/>
  <c r="CS35" i="2" s="1"/>
  <c r="CR36" i="2"/>
  <c r="CS36" i="2" s="1"/>
  <c r="CR37" i="2"/>
  <c r="CS37" i="2"/>
  <c r="CN4" i="2"/>
  <c r="CO4" i="2" s="1"/>
  <c r="CN5" i="2"/>
  <c r="CO5" i="2"/>
  <c r="CN6" i="2"/>
  <c r="CO6" i="2" s="1"/>
  <c r="CN7" i="2"/>
  <c r="CO7" i="2" s="1"/>
  <c r="CN8" i="2"/>
  <c r="CO8" i="2" s="1"/>
  <c r="CN9" i="2"/>
  <c r="CO9" i="2"/>
  <c r="CN10" i="2"/>
  <c r="CO10" i="2" s="1"/>
  <c r="CN11" i="2"/>
  <c r="CO11" i="2" s="1"/>
  <c r="CN12" i="2"/>
  <c r="CO12" i="2" s="1"/>
  <c r="CN13" i="2"/>
  <c r="CO13" i="2"/>
  <c r="CN14" i="2"/>
  <c r="CO14" i="2"/>
  <c r="CN15" i="2"/>
  <c r="CO15" i="2" s="1"/>
  <c r="CN16" i="2"/>
  <c r="CO16" i="2" s="1"/>
  <c r="CN17" i="2"/>
  <c r="CO17" i="2"/>
  <c r="CN18" i="2"/>
  <c r="CO18" i="2"/>
  <c r="CN19" i="2"/>
  <c r="CO19" i="2" s="1"/>
  <c r="CN20" i="2"/>
  <c r="CO20" i="2" s="1"/>
  <c r="CN21" i="2"/>
  <c r="CO21" i="2" s="1"/>
  <c r="CN22" i="2"/>
  <c r="CO22" i="2"/>
  <c r="CN23" i="2"/>
  <c r="CO23" i="2"/>
  <c r="CN24" i="2"/>
  <c r="CO24" i="2" s="1"/>
  <c r="CN25" i="2"/>
  <c r="CO25" i="2" s="1"/>
  <c r="CN26" i="2"/>
  <c r="CO26" i="2"/>
  <c r="CN27" i="2"/>
  <c r="CO27" i="2"/>
  <c r="CN28" i="2"/>
  <c r="CO28" i="2" s="1"/>
  <c r="CN29" i="2"/>
  <c r="CO29" i="2" s="1"/>
  <c r="CN30" i="2"/>
  <c r="CO30" i="2" s="1"/>
  <c r="CN31" i="2"/>
  <c r="CO31" i="2"/>
  <c r="CN32" i="2"/>
  <c r="CO32" i="2" s="1"/>
  <c r="CN33" i="2"/>
  <c r="CO33" i="2" s="1"/>
  <c r="CN34" i="2"/>
  <c r="CO34" i="2" s="1"/>
  <c r="CN35" i="2"/>
  <c r="CO35" i="2"/>
  <c r="CN36" i="2"/>
  <c r="CO36" i="2" s="1"/>
  <c r="CN37" i="2"/>
  <c r="CO37" i="2"/>
  <c r="CJ4" i="2"/>
  <c r="CK4" i="2" s="1"/>
  <c r="CJ5" i="2"/>
  <c r="CK5" i="2"/>
  <c r="CJ6" i="2"/>
  <c r="CK6" i="2"/>
  <c r="CJ7" i="2"/>
  <c r="CK7" i="2" s="1"/>
  <c r="CJ8" i="2"/>
  <c r="CK8" i="2" s="1"/>
  <c r="CJ9" i="2"/>
  <c r="CK9" i="2" s="1"/>
  <c r="CJ10" i="2"/>
  <c r="CK10" i="2"/>
  <c r="CJ11" i="2"/>
  <c r="CK11" i="2" s="1"/>
  <c r="CJ12" i="2"/>
  <c r="CK12" i="2" s="1"/>
  <c r="CJ13" i="2"/>
  <c r="CK13" i="2"/>
  <c r="CJ14" i="2"/>
  <c r="CK14" i="2" s="1"/>
  <c r="CJ15" i="2"/>
  <c r="CK15" i="2" s="1"/>
  <c r="CJ16" i="2"/>
  <c r="CK16" i="2" s="1"/>
  <c r="CJ17" i="2"/>
  <c r="CK17" i="2"/>
  <c r="CJ18" i="2"/>
  <c r="CK18" i="2"/>
  <c r="CJ19" i="2"/>
  <c r="CK19" i="2" s="1"/>
  <c r="CJ20" i="2"/>
  <c r="CK20" i="2" s="1"/>
  <c r="CJ21" i="2"/>
  <c r="CK21" i="2" s="1"/>
  <c r="CJ22" i="2"/>
  <c r="CK22" i="2"/>
  <c r="CJ23" i="2"/>
  <c r="CK23" i="2" s="1"/>
  <c r="CJ24" i="2"/>
  <c r="CK24" i="2" s="1"/>
  <c r="CJ25" i="2"/>
  <c r="CK25" i="2" s="1"/>
  <c r="CJ26" i="2"/>
  <c r="CK26" i="2" s="1"/>
  <c r="CJ27" i="2"/>
  <c r="CK27" i="2" s="1"/>
  <c r="CJ28" i="2"/>
  <c r="CK28" i="2" s="1"/>
  <c r="CJ29" i="2"/>
  <c r="CK29" i="2"/>
  <c r="CJ30" i="2"/>
  <c r="CK30" i="2" s="1"/>
  <c r="CJ31" i="2"/>
  <c r="CK31" i="2" s="1"/>
  <c r="CJ32" i="2"/>
  <c r="CK32" i="2" s="1"/>
  <c r="CJ33" i="2"/>
  <c r="CK33" i="2"/>
  <c r="CJ34" i="2"/>
  <c r="CK34" i="2"/>
  <c r="CJ35" i="2"/>
  <c r="CK35" i="2" s="1"/>
  <c r="CJ36" i="2"/>
  <c r="CK36" i="2" s="1"/>
  <c r="CJ37" i="2"/>
  <c r="CK37" i="2" s="1"/>
  <c r="CF4" i="2"/>
  <c r="CG4" i="2" s="1"/>
  <c r="CF5" i="2"/>
  <c r="CG5" i="2"/>
  <c r="CF6" i="2"/>
  <c r="CG6" i="2"/>
  <c r="CF7" i="2"/>
  <c r="CG7" i="2" s="1"/>
  <c r="CF8" i="2"/>
  <c r="CG8" i="2" s="1"/>
  <c r="CF9" i="2"/>
  <c r="CG9" i="2" s="1"/>
  <c r="CF10" i="2"/>
  <c r="CG10" i="2"/>
  <c r="CF11" i="2"/>
  <c r="CG11" i="2" s="1"/>
  <c r="CF12" i="2"/>
  <c r="CG12" i="2" s="1"/>
  <c r="CF13" i="2"/>
  <c r="CG13" i="2" s="1"/>
  <c r="CF14" i="2"/>
  <c r="CG14" i="2" s="1"/>
  <c r="CF15" i="2"/>
  <c r="CG15" i="2" s="1"/>
  <c r="CF16" i="2"/>
  <c r="CG16" i="2" s="1"/>
  <c r="CF17" i="2"/>
  <c r="CG17" i="2"/>
  <c r="CF18" i="2"/>
  <c r="CG18" i="2" s="1"/>
  <c r="CF19" i="2"/>
  <c r="CG19" i="2" s="1"/>
  <c r="CF20" i="2"/>
  <c r="CG20" i="2" s="1"/>
  <c r="CF21" i="2"/>
  <c r="CG21" i="2"/>
  <c r="CF22" i="2"/>
  <c r="CG22" i="2"/>
  <c r="CF23" i="2"/>
  <c r="CG23" i="2" s="1"/>
  <c r="CF24" i="2"/>
  <c r="CG24" i="2" s="1"/>
  <c r="CF25" i="2"/>
  <c r="CG25" i="2" s="1"/>
  <c r="CF26" i="2"/>
  <c r="CG26" i="2"/>
  <c r="CF27" i="2"/>
  <c r="CG27" i="2" s="1"/>
  <c r="CF28" i="2"/>
  <c r="CG28" i="2" s="1"/>
  <c r="CF29" i="2"/>
  <c r="CG29" i="2" s="1"/>
  <c r="CF30" i="2"/>
  <c r="CG30" i="2" s="1"/>
  <c r="CF31" i="2"/>
  <c r="CG31" i="2" s="1"/>
  <c r="CF32" i="2"/>
  <c r="CG32" i="2" s="1"/>
  <c r="CF33" i="2"/>
  <c r="CG33" i="2"/>
  <c r="CF34" i="2"/>
  <c r="CG34" i="2" s="1"/>
  <c r="CF35" i="2"/>
  <c r="CG35" i="2" s="1"/>
  <c r="CF36" i="2"/>
  <c r="CG36" i="2" s="1"/>
  <c r="CF37" i="2"/>
  <c r="CG37" i="2"/>
  <c r="CB4" i="2"/>
  <c r="CC4" i="2" s="1"/>
  <c r="CB5" i="2"/>
  <c r="CC5" i="2" s="1"/>
  <c r="CB6" i="2"/>
  <c r="CC6" i="2" s="1"/>
  <c r="CB7" i="2"/>
  <c r="CC7" i="2" s="1"/>
  <c r="CB8" i="2"/>
  <c r="CC8" i="2" s="1"/>
  <c r="CB9" i="2"/>
  <c r="CC9" i="2"/>
  <c r="CB10" i="2"/>
  <c r="CC10" i="2" s="1"/>
  <c r="CB11" i="2"/>
  <c r="CC11" i="2" s="1"/>
  <c r="CB12" i="2"/>
  <c r="CC12" i="2" s="1"/>
  <c r="CB13" i="2"/>
  <c r="CC13" i="2"/>
  <c r="CB14" i="2"/>
  <c r="CC14" i="2"/>
  <c r="CB15" i="2"/>
  <c r="CC15" i="2" s="1"/>
  <c r="CB16" i="2"/>
  <c r="CC16" i="2" s="1"/>
  <c r="CB17" i="2"/>
  <c r="CC17" i="2" s="1"/>
  <c r="CB18" i="2"/>
  <c r="CC18" i="2"/>
  <c r="CB19" i="2"/>
  <c r="CC19" i="2" s="1"/>
  <c r="CB20" i="2"/>
  <c r="CC20" i="2" s="1"/>
  <c r="CB21" i="2"/>
  <c r="CC21" i="2" s="1"/>
  <c r="CB22" i="2"/>
  <c r="CC22" i="2" s="1"/>
  <c r="CB23" i="2"/>
  <c r="CC23" i="2" s="1"/>
  <c r="CB24" i="2"/>
  <c r="CC24" i="2" s="1"/>
  <c r="CB25" i="2"/>
  <c r="CC25" i="2"/>
  <c r="CB26" i="2"/>
  <c r="CC26" i="2" s="1"/>
  <c r="CB27" i="2"/>
  <c r="CC27" i="2" s="1"/>
  <c r="CB28" i="2"/>
  <c r="CC28" i="2" s="1"/>
  <c r="CB29" i="2"/>
  <c r="CC29" i="2"/>
  <c r="CB30" i="2"/>
  <c r="CC30" i="2"/>
  <c r="CB31" i="2"/>
  <c r="CC31" i="2" s="1"/>
  <c r="CB32" i="2"/>
  <c r="CC32" i="2" s="1"/>
  <c r="CB33" i="2"/>
  <c r="CC33" i="2"/>
  <c r="CB34" i="2"/>
  <c r="CC34" i="2"/>
  <c r="CB35" i="2"/>
  <c r="CC35" i="2" s="1"/>
  <c r="CB36" i="2"/>
  <c r="CC36" i="2" s="1"/>
  <c r="CB37" i="2"/>
  <c r="CC37" i="2" s="1"/>
  <c r="BX4" i="2"/>
  <c r="BY4" i="2" s="1"/>
  <c r="BX5" i="2"/>
  <c r="BY5" i="2" s="1"/>
  <c r="BX6" i="2"/>
  <c r="BY6" i="2"/>
  <c r="BX7" i="2"/>
  <c r="BY7" i="2" s="1"/>
  <c r="BX8" i="2"/>
  <c r="BY8" i="2" s="1"/>
  <c r="BX9" i="2"/>
  <c r="BY9" i="2" s="1"/>
  <c r="BX10" i="2"/>
  <c r="BY10" i="2" s="1"/>
  <c r="BX11" i="2"/>
  <c r="BY11" i="2" s="1"/>
  <c r="BX12" i="2"/>
  <c r="BY12" i="2" s="1"/>
  <c r="BX13" i="2"/>
  <c r="BY13" i="2"/>
  <c r="BX14" i="2"/>
  <c r="BY14" i="2" s="1"/>
  <c r="BX15" i="2"/>
  <c r="BY15" i="2" s="1"/>
  <c r="BX16" i="2"/>
  <c r="BY16" i="2" s="1"/>
  <c r="BX17" i="2"/>
  <c r="BY17" i="2"/>
  <c r="BX18" i="2"/>
  <c r="BY18" i="2"/>
  <c r="BX19" i="2"/>
  <c r="BY19" i="2" s="1"/>
  <c r="BX20" i="2"/>
  <c r="BY20" i="2" s="1"/>
  <c r="BX21" i="2"/>
  <c r="BY21" i="2" s="1"/>
  <c r="BX22" i="2"/>
  <c r="BY22" i="2"/>
  <c r="BX23" i="2"/>
  <c r="BY23" i="2" s="1"/>
  <c r="BX24" i="2"/>
  <c r="BY24" i="2" s="1"/>
  <c r="BX25" i="2"/>
  <c r="BY25" i="2" s="1"/>
  <c r="BX26" i="2"/>
  <c r="BY26" i="2" s="1"/>
  <c r="BX27" i="2"/>
  <c r="BY27" i="2" s="1"/>
  <c r="BX28" i="2"/>
  <c r="BY28" i="2" s="1"/>
  <c r="BX29" i="2"/>
  <c r="BY29" i="2"/>
  <c r="BX30" i="2"/>
  <c r="BY30" i="2" s="1"/>
  <c r="BX31" i="2"/>
  <c r="BY31" i="2" s="1"/>
  <c r="BX32" i="2"/>
  <c r="BY32" i="2" s="1"/>
  <c r="BX33" i="2"/>
  <c r="BY33" i="2"/>
  <c r="BX34" i="2"/>
  <c r="BY34" i="2"/>
  <c r="BX35" i="2"/>
  <c r="BY35" i="2" s="1"/>
  <c r="BX36" i="2"/>
  <c r="BY36" i="2" s="1"/>
  <c r="BX37" i="2"/>
  <c r="BY37" i="2" s="1"/>
  <c r="BT4" i="2"/>
  <c r="BU4" i="2" s="1"/>
  <c r="BT5" i="2"/>
  <c r="BU5" i="2"/>
  <c r="BT6" i="2"/>
  <c r="BU6" i="2" s="1"/>
  <c r="BT7" i="2"/>
  <c r="BU7" i="2" s="1"/>
  <c r="BT8" i="2"/>
  <c r="BU8" i="2" s="1"/>
  <c r="BT9" i="2"/>
  <c r="BU9" i="2"/>
  <c r="BT10" i="2"/>
  <c r="BU10" i="2"/>
  <c r="BT11" i="2"/>
  <c r="BU11" i="2" s="1"/>
  <c r="BT12" i="2"/>
  <c r="BU12" i="2" s="1"/>
  <c r="BT13" i="2"/>
  <c r="BU13" i="2"/>
  <c r="BT14" i="2"/>
  <c r="BU14" i="2"/>
  <c r="BT15" i="2"/>
  <c r="BU15" i="2" s="1"/>
  <c r="BT16" i="2"/>
  <c r="BU16" i="2" s="1"/>
  <c r="BT17" i="2"/>
  <c r="BU17" i="2" s="1"/>
  <c r="BT18" i="2"/>
  <c r="BU18" i="2"/>
  <c r="BT19" i="2"/>
  <c r="BU19" i="2"/>
  <c r="BT20" i="2"/>
  <c r="BU20" i="2" s="1"/>
  <c r="BT21" i="2"/>
  <c r="BU21" i="2" s="1"/>
  <c r="BT22" i="2"/>
  <c r="BU22" i="2"/>
  <c r="BT23" i="2"/>
  <c r="BU23" i="2"/>
  <c r="BT24" i="2"/>
  <c r="BU24" i="2" s="1"/>
  <c r="BT25" i="2"/>
  <c r="BU25" i="2" s="1"/>
  <c r="BT26" i="2"/>
  <c r="BU26" i="2" s="1"/>
  <c r="BT27" i="2"/>
  <c r="BU27" i="2"/>
  <c r="BT28" i="2"/>
  <c r="BU28" i="2" s="1"/>
  <c r="BT29" i="2"/>
  <c r="BU29" i="2" s="1"/>
  <c r="BT30" i="2"/>
  <c r="BU30" i="2" s="1"/>
  <c r="BT31" i="2"/>
  <c r="BU31" i="2"/>
  <c r="BT32" i="2"/>
  <c r="BU32" i="2" s="1"/>
  <c r="BT33" i="2"/>
  <c r="BU33" i="2"/>
  <c r="BT34" i="2"/>
  <c r="BU34" i="2" s="1"/>
  <c r="BT35" i="2"/>
  <c r="BU35" i="2" s="1"/>
  <c r="BT36" i="2"/>
  <c r="BU36" i="2" s="1"/>
  <c r="BT37" i="2"/>
  <c r="BU37" i="2"/>
  <c r="BP4" i="2"/>
  <c r="BQ4" i="2" s="1"/>
  <c r="BP5" i="2"/>
  <c r="BQ5" i="2" s="1"/>
  <c r="BP6" i="2"/>
  <c r="BQ6" i="2" s="1"/>
  <c r="BP7" i="2"/>
  <c r="BQ7" i="2"/>
  <c r="BP8" i="2"/>
  <c r="BQ8" i="2" s="1"/>
  <c r="BP9" i="2"/>
  <c r="BQ9" i="2" s="1"/>
  <c r="BP10" i="2"/>
  <c r="BQ10" i="2" s="1"/>
  <c r="BP11" i="2"/>
  <c r="BQ11" i="2"/>
  <c r="BP12" i="2"/>
  <c r="BQ12" i="2" s="1"/>
  <c r="BP13" i="2"/>
  <c r="BQ13" i="2"/>
  <c r="BP14" i="2"/>
  <c r="BQ14" i="2" s="1"/>
  <c r="BP15" i="2"/>
  <c r="BQ15" i="2" s="1"/>
  <c r="BP16" i="2"/>
  <c r="BQ16" i="2" s="1"/>
  <c r="BP17" i="2"/>
  <c r="BQ17" i="2"/>
  <c r="BP18" i="2"/>
  <c r="BQ18" i="2" s="1"/>
  <c r="BP19" i="2"/>
  <c r="BQ19" i="2" s="1"/>
  <c r="BP20" i="2"/>
  <c r="BQ20" i="2" s="1"/>
  <c r="BP21" i="2"/>
  <c r="BQ21" i="2"/>
  <c r="BP22" i="2"/>
  <c r="BQ22" i="2"/>
  <c r="BP23" i="2"/>
  <c r="BQ23" i="2" s="1"/>
  <c r="BP24" i="2"/>
  <c r="BQ24" i="2" s="1"/>
  <c r="BP25" i="2"/>
  <c r="BQ25" i="2"/>
  <c r="BP26" i="2"/>
  <c r="BQ26" i="2"/>
  <c r="BP27" i="2"/>
  <c r="BQ27" i="2" s="1"/>
  <c r="BP28" i="2"/>
  <c r="BQ28" i="2" s="1"/>
  <c r="BP29" i="2"/>
  <c r="BQ29" i="2" s="1"/>
  <c r="BP30" i="2"/>
  <c r="BQ30" i="2"/>
  <c r="BP31" i="2"/>
  <c r="BQ31" i="2"/>
  <c r="BP32" i="2"/>
  <c r="BQ32" i="2" s="1"/>
  <c r="BP33" i="2"/>
  <c r="BQ33" i="2" s="1"/>
  <c r="BP34" i="2"/>
  <c r="BQ34" i="2"/>
  <c r="BP35" i="2"/>
  <c r="BQ35" i="2"/>
  <c r="BP36" i="2"/>
  <c r="BQ36" i="2" s="1"/>
  <c r="BP37" i="2"/>
  <c r="BQ37" i="2" s="1"/>
  <c r="BL4" i="2"/>
  <c r="BM4" i="2" s="1"/>
  <c r="BL5" i="2"/>
  <c r="BM5" i="2"/>
  <c r="BL6" i="2"/>
  <c r="BM6" i="2"/>
  <c r="BL7" i="2"/>
  <c r="BM7" i="2" s="1"/>
  <c r="BL8" i="2"/>
  <c r="BM8" i="2" s="1"/>
  <c r="BL9" i="2"/>
  <c r="BM9" i="2"/>
  <c r="BL10" i="2"/>
  <c r="BM10" i="2"/>
  <c r="BL11" i="2"/>
  <c r="BM11" i="2" s="1"/>
  <c r="BL12" i="2"/>
  <c r="BM12" i="2" s="1"/>
  <c r="BL13" i="2"/>
  <c r="BM13" i="2"/>
  <c r="BL14" i="2"/>
  <c r="BM14" i="2"/>
  <c r="BL15" i="2"/>
  <c r="BM15" i="2" s="1"/>
  <c r="BL16" i="2"/>
  <c r="BM16" i="2" s="1"/>
  <c r="BL17" i="2"/>
  <c r="BM17" i="2"/>
  <c r="BL18" i="2"/>
  <c r="BM18" i="2"/>
  <c r="BL19" i="2"/>
  <c r="BM19" i="2" s="1"/>
  <c r="BL20" i="2"/>
  <c r="BM20" i="2" s="1"/>
  <c r="BL21" i="2"/>
  <c r="BM21" i="2"/>
  <c r="BL22" i="2"/>
  <c r="BM22" i="2"/>
  <c r="BL23" i="2"/>
  <c r="BM23" i="2" s="1"/>
  <c r="BL24" i="2"/>
  <c r="BM24" i="2" s="1"/>
  <c r="BL25" i="2"/>
  <c r="BM25" i="2"/>
  <c r="BL26" i="2"/>
  <c r="BM26" i="2"/>
  <c r="BL27" i="2"/>
  <c r="BM27" i="2" s="1"/>
  <c r="BL28" i="2"/>
  <c r="BM28" i="2" s="1"/>
  <c r="BL29" i="2"/>
  <c r="BM29" i="2"/>
  <c r="BL30" i="2"/>
  <c r="BM30" i="2"/>
  <c r="BL31" i="2"/>
  <c r="BM31" i="2" s="1"/>
  <c r="BL32" i="2"/>
  <c r="BM32" i="2" s="1"/>
  <c r="BL33" i="2"/>
  <c r="BM33" i="2"/>
  <c r="BL34" i="2"/>
  <c r="BM34" i="2"/>
  <c r="BL35" i="2"/>
  <c r="BM35" i="2" s="1"/>
  <c r="BL36" i="2"/>
  <c r="BM36" i="2" s="1"/>
  <c r="BL37" i="2"/>
  <c r="BM37" i="2"/>
  <c r="BH4" i="2"/>
  <c r="BI4" i="2"/>
  <c r="BH5" i="2"/>
  <c r="BI5" i="2"/>
  <c r="BH6" i="2"/>
  <c r="BI6" i="2"/>
  <c r="BH7" i="2"/>
  <c r="BI7" i="2"/>
  <c r="BH8" i="2"/>
  <c r="BI8" i="2"/>
  <c r="BH9" i="2"/>
  <c r="BI9" i="2"/>
  <c r="BH10" i="2"/>
  <c r="BI10" i="2"/>
  <c r="BH11" i="2"/>
  <c r="BI11" i="2"/>
  <c r="BH12" i="2"/>
  <c r="BI12" i="2"/>
  <c r="BH13" i="2"/>
  <c r="BI13" i="2"/>
  <c r="BH14" i="2"/>
  <c r="BI14" i="2"/>
  <c r="BH15" i="2"/>
  <c r="BI15" i="2"/>
  <c r="BH16" i="2"/>
  <c r="BI16" i="2"/>
  <c r="BH17" i="2"/>
  <c r="BI17" i="2"/>
  <c r="BH18" i="2"/>
  <c r="BI18" i="2"/>
  <c r="BH19" i="2"/>
  <c r="BI19" i="2"/>
  <c r="BH20" i="2"/>
  <c r="BI20" i="2"/>
  <c r="BH21" i="2"/>
  <c r="BI21" i="2"/>
  <c r="BH22" i="2"/>
  <c r="BI22" i="2"/>
  <c r="BH23" i="2"/>
  <c r="BI23" i="2"/>
  <c r="BH24" i="2"/>
  <c r="BI24" i="2"/>
  <c r="BH25" i="2"/>
  <c r="BI25" i="2"/>
  <c r="BH26" i="2"/>
  <c r="BI26" i="2"/>
  <c r="BH27" i="2"/>
  <c r="BI27" i="2"/>
  <c r="BH28" i="2"/>
  <c r="BI28" i="2"/>
  <c r="BH29" i="2"/>
  <c r="BI29" i="2"/>
  <c r="BH30" i="2"/>
  <c r="BI30" i="2"/>
  <c r="BH31" i="2"/>
  <c r="BI31" i="2"/>
  <c r="BH32" i="2"/>
  <c r="BI32" i="2"/>
  <c r="BH33" i="2"/>
  <c r="BI33" i="2"/>
  <c r="BH34" i="2"/>
  <c r="BI34" i="2"/>
  <c r="BH35" i="2"/>
  <c r="BI35" i="2"/>
  <c r="BH36" i="2"/>
  <c r="BI36" i="2"/>
  <c r="BH37" i="2"/>
  <c r="BI37" i="2"/>
  <c r="BD4" i="2"/>
  <c r="BE4" i="2" s="1"/>
  <c r="BD5" i="2"/>
  <c r="BE5" i="2"/>
  <c r="BD6" i="2"/>
  <c r="BE6" i="2"/>
  <c r="BD7" i="2"/>
  <c r="BE7" i="2" s="1"/>
  <c r="BD8" i="2"/>
  <c r="BE8" i="2" s="1"/>
  <c r="BD9" i="2"/>
  <c r="BE9" i="2" s="1"/>
  <c r="BD10" i="2"/>
  <c r="BE10" i="2"/>
  <c r="BD11" i="2"/>
  <c r="BE11" i="2"/>
  <c r="BD12" i="2"/>
  <c r="BE12" i="2" s="1"/>
  <c r="BD13" i="2"/>
  <c r="BE13" i="2" s="1"/>
  <c r="BD14" i="2"/>
  <c r="BE14" i="2"/>
  <c r="BD15" i="2"/>
  <c r="BE15" i="2"/>
  <c r="BD16" i="2"/>
  <c r="BE16" i="2" s="1"/>
  <c r="BD17" i="2"/>
  <c r="BE17" i="2" s="1"/>
  <c r="BD18" i="2"/>
  <c r="BE18" i="2" s="1"/>
  <c r="BD19" i="2"/>
  <c r="BE19" i="2"/>
  <c r="BD20" i="2"/>
  <c r="BE20" i="2" s="1"/>
  <c r="BD21" i="2"/>
  <c r="BE21" i="2" s="1"/>
  <c r="BD22" i="2"/>
  <c r="BE22" i="2" s="1"/>
  <c r="BD23" i="2"/>
  <c r="BE23" i="2"/>
  <c r="BD24" i="2"/>
  <c r="BE24" i="2" s="1"/>
  <c r="BD25" i="2"/>
  <c r="BE25" i="2"/>
  <c r="BD26" i="2"/>
  <c r="BE26" i="2"/>
  <c r="BD27" i="2"/>
  <c r="BE27" i="2" s="1"/>
  <c r="BD28" i="2"/>
  <c r="BE28" i="2" s="1"/>
  <c r="BD29" i="2"/>
  <c r="BE29" i="2"/>
  <c r="BD30" i="2"/>
  <c r="BE30" i="2" s="1"/>
  <c r="BD31" i="2"/>
  <c r="BE31" i="2" s="1"/>
  <c r="BD32" i="2"/>
  <c r="BE32" i="2" s="1"/>
  <c r="BD33" i="2"/>
  <c r="BE33" i="2"/>
  <c r="BD34" i="2"/>
  <c r="BE34" i="2"/>
  <c r="BD35" i="2"/>
  <c r="BE35" i="2"/>
  <c r="BD36" i="2"/>
  <c r="BE36" i="2" s="1"/>
  <c r="BD37" i="2"/>
  <c r="BE37" i="2"/>
  <c r="AZ4" i="2"/>
  <c r="BA4" i="2" s="1"/>
  <c r="AZ5" i="2"/>
  <c r="BA5" i="2"/>
  <c r="AZ6" i="2"/>
  <c r="BA6" i="2"/>
  <c r="AZ7" i="2"/>
  <c r="BA7" i="2" s="1"/>
  <c r="AZ8" i="2"/>
  <c r="BA8" i="2" s="1"/>
  <c r="AZ9" i="2"/>
  <c r="BA9" i="2"/>
  <c r="AZ10" i="2"/>
  <c r="BA10" i="2"/>
  <c r="AZ11" i="2"/>
  <c r="BA11" i="2" s="1"/>
  <c r="AZ12" i="2"/>
  <c r="BA12" i="2" s="1"/>
  <c r="AZ13" i="2"/>
  <c r="BA13" i="2"/>
  <c r="AZ14" i="2"/>
  <c r="BA14" i="2"/>
  <c r="AZ15" i="2"/>
  <c r="BA15" i="2" s="1"/>
  <c r="AZ16" i="2"/>
  <c r="BA16" i="2" s="1"/>
  <c r="AZ17" i="2"/>
  <c r="BA17" i="2"/>
  <c r="AZ18" i="2"/>
  <c r="BA18" i="2"/>
  <c r="AZ19" i="2"/>
  <c r="BA19" i="2" s="1"/>
  <c r="AZ20" i="2"/>
  <c r="BA20" i="2" s="1"/>
  <c r="AZ21" i="2"/>
  <c r="BA21" i="2"/>
  <c r="AZ22" i="2"/>
  <c r="BA22" i="2"/>
  <c r="AZ23" i="2"/>
  <c r="BA23" i="2" s="1"/>
  <c r="AZ24" i="2"/>
  <c r="BA24" i="2" s="1"/>
  <c r="AZ25" i="2"/>
  <c r="BA25" i="2"/>
  <c r="AZ26" i="2"/>
  <c r="BA26" i="2"/>
  <c r="AZ27" i="2"/>
  <c r="BA27" i="2" s="1"/>
  <c r="AZ28" i="2"/>
  <c r="BA28" i="2" s="1"/>
  <c r="AZ29" i="2"/>
  <c r="BA29" i="2"/>
  <c r="AZ30" i="2"/>
  <c r="BA30" i="2"/>
  <c r="AZ31" i="2"/>
  <c r="BA31" i="2" s="1"/>
  <c r="AZ32" i="2"/>
  <c r="BA32" i="2" s="1"/>
  <c r="AZ33" i="2"/>
  <c r="BA33" i="2"/>
  <c r="AZ34" i="2"/>
  <c r="BA34" i="2"/>
  <c r="AZ35" i="2"/>
  <c r="BA35" i="2" s="1"/>
  <c r="AZ36" i="2"/>
  <c r="BA36" i="2" s="1"/>
  <c r="AZ37" i="2"/>
  <c r="BA37" i="2"/>
  <c r="AV4" i="2"/>
  <c r="AW4" i="2" s="1"/>
  <c r="AV5" i="2"/>
  <c r="AW5" i="2"/>
  <c r="AV6" i="2"/>
  <c r="AW6" i="2"/>
  <c r="AV7" i="2"/>
  <c r="AW7" i="2"/>
  <c r="AV8" i="2"/>
  <c r="AW8" i="2" s="1"/>
  <c r="AV9" i="2"/>
  <c r="AW9" i="2" s="1"/>
  <c r="AV10" i="2"/>
  <c r="AW10" i="2"/>
  <c r="AV11" i="2"/>
  <c r="AW11" i="2"/>
  <c r="AV12" i="2"/>
  <c r="AW12" i="2" s="1"/>
  <c r="AV13" i="2"/>
  <c r="AW13" i="2" s="1"/>
  <c r="AV14" i="2"/>
  <c r="AW14" i="2"/>
  <c r="AV15" i="2"/>
  <c r="AW15" i="2"/>
  <c r="AV16" i="2"/>
  <c r="AW16" i="2" s="1"/>
  <c r="AV17" i="2"/>
  <c r="AW17" i="2"/>
  <c r="AV18" i="2"/>
  <c r="AW18" i="2" s="1"/>
  <c r="AV19" i="2"/>
  <c r="AW19" i="2"/>
  <c r="AV20" i="2"/>
  <c r="AW20" i="2" s="1"/>
  <c r="AV21" i="2"/>
  <c r="AW21" i="2"/>
  <c r="AV22" i="2"/>
  <c r="AW22" i="2" s="1"/>
  <c r="AV23" i="2"/>
  <c r="AW23" i="2"/>
  <c r="AV24" i="2"/>
  <c r="AW24" i="2" s="1"/>
  <c r="AV25" i="2"/>
  <c r="AW25" i="2"/>
  <c r="AV26" i="2"/>
  <c r="AW26" i="2"/>
  <c r="AV27" i="2"/>
  <c r="AW27" i="2" s="1"/>
  <c r="AV28" i="2"/>
  <c r="AW28" i="2" s="1"/>
  <c r="AV29" i="2"/>
  <c r="AW29" i="2"/>
  <c r="AV30" i="2"/>
  <c r="AW30" i="2"/>
  <c r="AV31" i="2"/>
  <c r="AW31" i="2" s="1"/>
  <c r="AV32" i="2"/>
  <c r="AW32" i="2" s="1"/>
  <c r="AV33" i="2"/>
  <c r="AW33" i="2"/>
  <c r="AV34" i="2"/>
  <c r="AW34" i="2"/>
  <c r="AV35" i="2"/>
  <c r="AW35" i="2"/>
  <c r="AV36" i="2"/>
  <c r="AW36" i="2" s="1"/>
  <c r="AV37" i="2"/>
  <c r="AW37" i="2"/>
  <c r="AR4" i="2"/>
  <c r="AS4" i="2" s="1"/>
  <c r="AR5" i="2"/>
  <c r="AS5" i="2" s="1"/>
  <c r="AR6" i="2"/>
  <c r="AS6" i="2"/>
  <c r="AR7" i="2"/>
  <c r="AS7" i="2" s="1"/>
  <c r="AR8" i="2"/>
  <c r="AS8" i="2" s="1"/>
  <c r="AR9" i="2"/>
  <c r="AS9" i="2"/>
  <c r="AR10" i="2"/>
  <c r="AS10" i="2"/>
  <c r="AR11" i="2"/>
  <c r="AS11" i="2"/>
  <c r="AR12" i="2"/>
  <c r="AS12" i="2" s="1"/>
  <c r="AR13" i="2"/>
  <c r="AS13" i="2" s="1"/>
  <c r="AR14" i="2"/>
  <c r="AS14" i="2"/>
  <c r="AR15" i="2"/>
  <c r="AS15" i="2"/>
  <c r="AR16" i="2"/>
  <c r="AS16" i="2" s="1"/>
  <c r="AR17" i="2"/>
  <c r="AS17" i="2" s="1"/>
  <c r="AR18" i="2"/>
  <c r="AS18" i="2"/>
  <c r="AR19" i="2"/>
  <c r="AS19" i="2"/>
  <c r="AR20" i="2"/>
  <c r="AS20" i="2" s="1"/>
  <c r="AR21" i="2"/>
  <c r="AS21" i="2" s="1"/>
  <c r="AR22" i="2"/>
  <c r="AS22" i="2" s="1"/>
  <c r="AR23" i="2"/>
  <c r="AS23" i="2"/>
  <c r="AR24" i="2"/>
  <c r="AS24" i="2" s="1"/>
  <c r="AR25" i="2"/>
  <c r="AS25" i="2"/>
  <c r="AR26" i="2"/>
  <c r="AS26" i="2"/>
  <c r="AR27" i="2"/>
  <c r="AS27" i="2"/>
  <c r="AR28" i="2"/>
  <c r="AS28" i="2" s="1"/>
  <c r="AR29" i="2"/>
  <c r="AS29" i="2"/>
  <c r="AR30" i="2"/>
  <c r="AS30" i="2" s="1"/>
  <c r="AR31" i="2"/>
  <c r="AS31" i="2" s="1"/>
  <c r="AR32" i="2"/>
  <c r="AS32" i="2" s="1"/>
  <c r="AR33" i="2"/>
  <c r="AS33" i="2"/>
  <c r="AR34" i="2"/>
  <c r="AS34" i="2"/>
  <c r="AR35" i="2"/>
  <c r="AS35" i="2"/>
  <c r="AR36" i="2"/>
  <c r="AS36" i="2" s="1"/>
  <c r="AR37" i="2"/>
  <c r="AS37" i="2"/>
  <c r="AN4" i="2"/>
  <c r="AO4" i="2"/>
  <c r="AN5" i="2"/>
  <c r="AO5" i="2" s="1"/>
  <c r="AN6" i="2"/>
  <c r="AO6" i="2" s="1"/>
  <c r="AN7" i="2"/>
  <c r="AO7" i="2" s="1"/>
  <c r="AN8" i="2"/>
  <c r="AO8" i="2"/>
  <c r="AN9" i="2"/>
  <c r="AO9" i="2"/>
  <c r="AN10" i="2"/>
  <c r="AO10" i="2" s="1"/>
  <c r="AN11" i="2"/>
  <c r="AO11" i="2" s="1"/>
  <c r="AN12" i="2"/>
  <c r="AO12" i="2"/>
  <c r="AN13" i="2"/>
  <c r="AO13" i="2"/>
  <c r="AN14" i="2"/>
  <c r="AO14" i="2" s="1"/>
  <c r="AN15" i="2"/>
  <c r="AO15" i="2" s="1"/>
  <c r="AN16" i="2"/>
  <c r="AO16" i="2"/>
  <c r="AN17" i="2"/>
  <c r="AO17" i="2"/>
  <c r="AN18" i="2"/>
  <c r="AO18" i="2" s="1"/>
  <c r="AN19" i="2"/>
  <c r="AO19" i="2" s="1"/>
  <c r="AN20" i="2"/>
  <c r="AO20" i="2"/>
  <c r="AN21" i="2"/>
  <c r="AO21" i="2"/>
  <c r="AN22" i="2"/>
  <c r="AO22" i="2" s="1"/>
  <c r="AN23" i="2"/>
  <c r="AO23" i="2" s="1"/>
  <c r="AN24" i="2"/>
  <c r="AO24" i="2"/>
  <c r="AN25" i="2"/>
  <c r="AO25" i="2"/>
  <c r="AN26" i="2"/>
  <c r="AO26" i="2" s="1"/>
  <c r="AN27" i="2"/>
  <c r="AO27" i="2" s="1"/>
  <c r="AN28" i="2"/>
  <c r="AO28" i="2"/>
  <c r="AN29" i="2"/>
  <c r="AO29" i="2"/>
  <c r="AN30" i="2"/>
  <c r="AO30" i="2" s="1"/>
  <c r="AN31" i="2"/>
  <c r="AO31" i="2" s="1"/>
  <c r="AN32" i="2"/>
  <c r="AO32" i="2"/>
  <c r="AN33" i="2"/>
  <c r="AO33" i="2"/>
  <c r="AN34" i="2"/>
  <c r="AO34" i="2" s="1"/>
  <c r="AN35" i="2"/>
  <c r="AO35" i="2" s="1"/>
  <c r="AN36" i="2"/>
  <c r="AO36" i="2"/>
  <c r="AN37" i="2"/>
  <c r="AO37" i="2"/>
  <c r="AJ4" i="2"/>
  <c r="AK4" i="2" s="1"/>
  <c r="AJ5" i="2"/>
  <c r="AK5" i="2"/>
  <c r="AJ6" i="2"/>
  <c r="AK6" i="2"/>
  <c r="AJ7" i="2"/>
  <c r="AK7" i="2"/>
  <c r="AJ8" i="2"/>
  <c r="AK8" i="2" s="1"/>
  <c r="AJ9" i="2"/>
  <c r="AK9" i="2" s="1"/>
  <c r="AJ10" i="2"/>
  <c r="AK10" i="2" s="1"/>
  <c r="AJ11" i="2"/>
  <c r="AK11" i="2"/>
  <c r="AJ12" i="2"/>
  <c r="AK12" i="2" s="1"/>
  <c r="AJ13" i="2"/>
  <c r="AK13" i="2"/>
  <c r="AJ14" i="2"/>
  <c r="AK14" i="2"/>
  <c r="AJ15" i="2"/>
  <c r="AK15" i="2"/>
  <c r="AJ16" i="2"/>
  <c r="AK16" i="2" s="1"/>
  <c r="AJ17" i="2"/>
  <c r="AK17" i="2"/>
  <c r="AJ18" i="2"/>
  <c r="AK18" i="2" s="1"/>
  <c r="AJ19" i="2"/>
  <c r="AK19" i="2" s="1"/>
  <c r="AJ20" i="2"/>
  <c r="AK20" i="2" s="1"/>
  <c r="AJ21" i="2"/>
  <c r="AK21" i="2"/>
  <c r="AJ22" i="2"/>
  <c r="AK22" i="2"/>
  <c r="AJ23" i="2"/>
  <c r="AK23" i="2"/>
  <c r="AJ24" i="2"/>
  <c r="AK24" i="2" s="1"/>
  <c r="AJ25" i="2"/>
  <c r="AK25" i="2"/>
  <c r="AJ26" i="2"/>
  <c r="AK26" i="2"/>
  <c r="AJ27" i="2"/>
  <c r="AK27" i="2" s="1"/>
  <c r="AJ28" i="2"/>
  <c r="AK28" i="2" s="1"/>
  <c r="AJ29" i="2"/>
  <c r="AK29" i="2"/>
  <c r="AJ30" i="2"/>
  <c r="AK30" i="2"/>
  <c r="AJ31" i="2"/>
  <c r="AK31" i="2"/>
  <c r="AJ32" i="2"/>
  <c r="AK32" i="2" s="1"/>
  <c r="AJ33" i="2"/>
  <c r="AK33" i="2" s="1"/>
  <c r="AJ34" i="2"/>
  <c r="AK34" i="2"/>
  <c r="AJ35" i="2"/>
  <c r="AK35" i="2"/>
  <c r="AJ36" i="2"/>
  <c r="AK36" i="2" s="1"/>
  <c r="AJ37" i="2"/>
  <c r="AK37" i="2"/>
  <c r="AF4" i="2"/>
  <c r="AG4" i="2"/>
  <c r="AF5" i="2"/>
  <c r="AG5" i="2"/>
  <c r="AF6" i="2"/>
  <c r="AG6" i="2"/>
  <c r="AF7" i="2"/>
  <c r="AG7" i="2"/>
  <c r="AF8" i="2"/>
  <c r="AG8" i="2"/>
  <c r="AF9" i="2"/>
  <c r="AG9" i="2"/>
  <c r="AF10" i="2"/>
  <c r="AG10" i="2"/>
  <c r="AF11" i="2"/>
  <c r="AG11" i="2"/>
  <c r="AF12" i="2"/>
  <c r="AG12" i="2"/>
  <c r="AF13" i="2"/>
  <c r="AG13" i="2"/>
  <c r="AF14" i="2"/>
  <c r="AG14" i="2"/>
  <c r="AF15" i="2"/>
  <c r="AG15" i="2"/>
  <c r="AF16" i="2"/>
  <c r="AG16" i="2"/>
  <c r="AF17" i="2"/>
  <c r="AG17" i="2"/>
  <c r="AF18" i="2"/>
  <c r="AG18" i="2"/>
  <c r="AF19" i="2"/>
  <c r="AG19" i="2"/>
  <c r="AF20" i="2"/>
  <c r="AG20" i="2"/>
  <c r="AF21" i="2"/>
  <c r="AG21" i="2"/>
  <c r="AF22" i="2"/>
  <c r="AG22" i="2"/>
  <c r="AF23" i="2"/>
  <c r="AG23" i="2"/>
  <c r="AF24" i="2"/>
  <c r="AG24" i="2"/>
  <c r="AF25" i="2"/>
  <c r="AG25" i="2"/>
  <c r="AF26" i="2"/>
  <c r="AG26" i="2"/>
  <c r="AF27" i="2"/>
  <c r="AG27" i="2"/>
  <c r="AF28" i="2"/>
  <c r="AG28" i="2"/>
  <c r="AF29" i="2"/>
  <c r="AG29" i="2"/>
  <c r="AF30" i="2"/>
  <c r="AG30" i="2"/>
  <c r="AF31" i="2"/>
  <c r="AG31" i="2"/>
  <c r="AF32" i="2"/>
  <c r="AG32" i="2"/>
  <c r="AF33" i="2"/>
  <c r="AG33" i="2"/>
  <c r="AF34" i="2"/>
  <c r="AG34" i="2"/>
  <c r="AF35" i="2"/>
  <c r="AG35" i="2"/>
  <c r="AF36" i="2"/>
  <c r="AG36" i="2"/>
  <c r="AF37" i="2"/>
  <c r="AG37" i="2"/>
  <c r="AB4" i="2"/>
  <c r="AC4" i="2" s="1"/>
  <c r="AB5" i="2"/>
  <c r="AC5" i="2" s="1"/>
  <c r="AB6" i="2"/>
  <c r="AC6" i="2" s="1"/>
  <c r="AB7" i="2"/>
  <c r="AC7" i="2"/>
  <c r="AB8" i="2"/>
  <c r="AC8" i="2" s="1"/>
  <c r="AB9" i="2"/>
  <c r="AC9" i="2"/>
  <c r="AB10" i="2"/>
  <c r="AC10" i="2"/>
  <c r="AB11" i="2"/>
  <c r="AC11" i="2"/>
  <c r="AB12" i="2"/>
  <c r="AC12" i="2" s="1"/>
  <c r="AB13" i="2"/>
  <c r="AC13" i="2"/>
  <c r="AB14" i="2"/>
  <c r="AC14" i="2" s="1"/>
  <c r="AB15" i="2"/>
  <c r="AC15" i="2" s="1"/>
  <c r="AB16" i="2"/>
  <c r="AC16" i="2" s="1"/>
  <c r="AB17" i="2"/>
  <c r="AC17" i="2"/>
  <c r="AB18" i="2"/>
  <c r="AC18" i="2"/>
  <c r="AB19" i="2"/>
  <c r="AC19" i="2"/>
  <c r="AB20" i="2"/>
  <c r="AC20" i="2" s="1"/>
  <c r="AB21" i="2"/>
  <c r="AC21" i="2"/>
  <c r="AB22" i="2"/>
  <c r="AC22" i="2"/>
  <c r="AB23" i="2"/>
  <c r="AC23" i="2" s="1"/>
  <c r="AB24" i="2"/>
  <c r="AC24" i="2" s="1"/>
  <c r="AB25" i="2"/>
  <c r="AC25" i="2"/>
  <c r="AB26" i="2"/>
  <c r="AC26" i="2"/>
  <c r="AB27" i="2"/>
  <c r="AC27" i="2"/>
  <c r="AB28" i="2"/>
  <c r="AC28" i="2" s="1"/>
  <c r="AB29" i="2"/>
  <c r="AC29" i="2" s="1"/>
  <c r="AB30" i="2"/>
  <c r="AC30" i="2"/>
  <c r="AB31" i="2"/>
  <c r="AC31" i="2"/>
  <c r="AB32" i="2"/>
  <c r="AC32" i="2" s="1"/>
  <c r="AB33" i="2"/>
  <c r="AC33" i="2"/>
  <c r="AB34" i="2"/>
  <c r="AC34" i="2"/>
  <c r="AB35" i="2"/>
  <c r="AC35" i="2"/>
  <c r="AB36" i="2"/>
  <c r="AC36" i="2" s="1"/>
  <c r="AB37" i="2"/>
  <c r="AC37" i="2" s="1"/>
  <c r="X4" i="2"/>
  <c r="Y4" i="2" s="1"/>
  <c r="X5" i="2"/>
  <c r="Y5" i="2"/>
  <c r="X6" i="2"/>
  <c r="Y6" i="2"/>
  <c r="X7" i="2"/>
  <c r="Y7" i="2" s="1"/>
  <c r="X8" i="2"/>
  <c r="Y8" i="2" s="1"/>
  <c r="X9" i="2"/>
  <c r="Y9" i="2"/>
  <c r="X10" i="2"/>
  <c r="Y10" i="2"/>
  <c r="X11" i="2"/>
  <c r="Y11" i="2" s="1"/>
  <c r="X12" i="2"/>
  <c r="Y12" i="2" s="1"/>
  <c r="X13" i="2"/>
  <c r="Y13" i="2"/>
  <c r="X14" i="2"/>
  <c r="Y14" i="2"/>
  <c r="X15" i="2"/>
  <c r="Y15" i="2" s="1"/>
  <c r="X16" i="2"/>
  <c r="Y16" i="2" s="1"/>
  <c r="X17" i="2"/>
  <c r="Y17" i="2"/>
  <c r="X18" i="2"/>
  <c r="Y18" i="2"/>
  <c r="X19" i="2"/>
  <c r="Y19" i="2" s="1"/>
  <c r="X20" i="2"/>
  <c r="Y20" i="2" s="1"/>
  <c r="X21" i="2"/>
  <c r="Y21" i="2"/>
  <c r="X22" i="2"/>
  <c r="Y22" i="2" s="1"/>
  <c r="X23" i="2"/>
  <c r="Y23" i="2" s="1"/>
  <c r="X24" i="2"/>
  <c r="Y24" i="2" s="1"/>
  <c r="X25" i="2"/>
  <c r="Y25" i="2" s="1"/>
  <c r="X26" i="2"/>
  <c r="Y26" i="2" s="1"/>
  <c r="X27" i="2"/>
  <c r="Y27" i="2" s="1"/>
  <c r="X28" i="2"/>
  <c r="Y28" i="2" s="1"/>
  <c r="X29" i="2"/>
  <c r="Y29" i="2"/>
  <c r="X30" i="2"/>
  <c r="Y30" i="2" s="1"/>
  <c r="X31" i="2"/>
  <c r="Y31" i="2" s="1"/>
  <c r="X32" i="2"/>
  <c r="Y32" i="2" s="1"/>
  <c r="X33" i="2"/>
  <c r="Y33" i="2"/>
  <c r="X34" i="2"/>
  <c r="Y34" i="2"/>
  <c r="X35" i="2"/>
  <c r="Y35" i="2" s="1"/>
  <c r="X36" i="2"/>
  <c r="Y36" i="2" s="1"/>
  <c r="X37" i="2"/>
  <c r="Y37" i="2" s="1"/>
  <c r="T4" i="2"/>
  <c r="U4" i="2" s="1"/>
  <c r="T5" i="2"/>
  <c r="U5" i="2"/>
  <c r="T6" i="2"/>
  <c r="U6" i="2"/>
  <c r="T7" i="2"/>
  <c r="U7" i="2"/>
  <c r="T8" i="2"/>
  <c r="U8" i="2" s="1"/>
  <c r="T9" i="2"/>
  <c r="U9" i="2"/>
  <c r="T10" i="2"/>
  <c r="U10" i="2"/>
  <c r="T11" i="2"/>
  <c r="U11" i="2" s="1"/>
  <c r="T12" i="2"/>
  <c r="U12" i="2" s="1"/>
  <c r="T13" i="2"/>
  <c r="U13" i="2"/>
  <c r="T14" i="2"/>
  <c r="U14" i="2"/>
  <c r="T15" i="2"/>
  <c r="U15" i="2"/>
  <c r="T16" i="2"/>
  <c r="U16" i="2" s="1"/>
  <c r="T17" i="2"/>
  <c r="U17" i="2" s="1"/>
  <c r="T18" i="2"/>
  <c r="U18" i="2"/>
  <c r="T19" i="2"/>
  <c r="U19" i="2"/>
  <c r="T20" i="2"/>
  <c r="U20" i="2" s="1"/>
  <c r="T21" i="2"/>
  <c r="U21" i="2"/>
  <c r="T22" i="2"/>
  <c r="U22" i="2"/>
  <c r="T23" i="2"/>
  <c r="U23" i="2"/>
  <c r="T24" i="2"/>
  <c r="U24" i="2" s="1"/>
  <c r="T25" i="2"/>
  <c r="U25" i="2" s="1"/>
  <c r="T26" i="2"/>
  <c r="U26" i="2" s="1"/>
  <c r="T27" i="2"/>
  <c r="U27" i="2"/>
  <c r="T28" i="2"/>
  <c r="U28" i="2" s="1"/>
  <c r="T29" i="2"/>
  <c r="U29" i="2"/>
  <c r="T30" i="2"/>
  <c r="U30" i="2"/>
  <c r="T31" i="2"/>
  <c r="U31" i="2"/>
  <c r="T32" i="2"/>
  <c r="U32" i="2" s="1"/>
  <c r="T33" i="2"/>
  <c r="U33" i="2"/>
  <c r="T34" i="2"/>
  <c r="U34" i="2" s="1"/>
  <c r="T35" i="2"/>
  <c r="U35" i="2" s="1"/>
  <c r="T36" i="2"/>
  <c r="U36" i="2" s="1"/>
  <c r="T37" i="2"/>
  <c r="U37" i="2"/>
  <c r="P4" i="2"/>
  <c r="Q4" i="2" s="1"/>
  <c r="P5" i="2"/>
  <c r="Q5" i="2" s="1"/>
  <c r="P6" i="2"/>
  <c r="Q6" i="2" s="1"/>
  <c r="P7" i="2"/>
  <c r="Q7" i="2"/>
  <c r="P8" i="2"/>
  <c r="Q8" i="2" s="1"/>
  <c r="P9" i="2"/>
  <c r="Q9" i="2"/>
  <c r="P10" i="2"/>
  <c r="Q10" i="2" s="1"/>
  <c r="P11" i="2"/>
  <c r="Q11" i="2"/>
  <c r="P12" i="2"/>
  <c r="Q12" i="2" s="1"/>
  <c r="P13" i="2"/>
  <c r="Q13" i="2"/>
  <c r="P14" i="2"/>
  <c r="Q14" i="2" s="1"/>
  <c r="P15" i="2"/>
  <c r="Q15" i="2"/>
  <c r="P16" i="2"/>
  <c r="Q16" i="2" s="1"/>
  <c r="P17" i="2"/>
  <c r="Q17" i="2" s="1"/>
  <c r="P18" i="2"/>
  <c r="Q18" i="2" s="1"/>
  <c r="P19" i="2"/>
  <c r="Q19" i="2"/>
  <c r="P20" i="2"/>
  <c r="Q20" i="2" s="1"/>
  <c r="P21" i="2"/>
  <c r="Q21" i="2" s="1"/>
  <c r="P22" i="2"/>
  <c r="Q22" i="2" s="1"/>
  <c r="P23" i="2"/>
  <c r="Q23" i="2"/>
  <c r="P24" i="2"/>
  <c r="Q24" i="2" s="1"/>
  <c r="P25" i="2"/>
  <c r="Q25" i="2"/>
  <c r="P26" i="2"/>
  <c r="Q26" i="2" s="1"/>
  <c r="P27" i="2"/>
  <c r="Q27" i="2"/>
  <c r="P28" i="2"/>
  <c r="Q28" i="2" s="1"/>
  <c r="P29" i="2"/>
  <c r="Q29" i="2"/>
  <c r="P30" i="2"/>
  <c r="Q30" i="2" s="1"/>
  <c r="P31" i="2"/>
  <c r="Q31" i="2"/>
  <c r="P32" i="2"/>
  <c r="Q32" i="2" s="1"/>
  <c r="P33" i="2"/>
  <c r="Q33" i="2" s="1"/>
  <c r="P34" i="2"/>
  <c r="Q34" i="2" s="1"/>
  <c r="P35" i="2"/>
  <c r="Q35" i="2"/>
  <c r="P36" i="2"/>
  <c r="Q36" i="2" s="1"/>
  <c r="P37" i="2"/>
  <c r="Q37" i="2" s="1"/>
  <c r="L4" i="2"/>
  <c r="M4" i="2" s="1"/>
  <c r="L5" i="2"/>
  <c r="M5" i="2"/>
  <c r="L6" i="2"/>
  <c r="M6" i="2"/>
  <c r="L7" i="2"/>
  <c r="M7" i="2" s="1"/>
  <c r="L8" i="2"/>
  <c r="M8" i="2" s="1"/>
  <c r="L9" i="2"/>
  <c r="M9" i="2"/>
  <c r="L10" i="2"/>
  <c r="M10" i="2"/>
  <c r="L11" i="2"/>
  <c r="M11" i="2" s="1"/>
  <c r="L12" i="2"/>
  <c r="M12" i="2" s="1"/>
  <c r="L13" i="2"/>
  <c r="M13" i="2"/>
  <c r="L14" i="2"/>
  <c r="M14" i="2"/>
  <c r="L15" i="2"/>
  <c r="M15" i="2" s="1"/>
  <c r="L16" i="2"/>
  <c r="M16" i="2" s="1"/>
  <c r="L17" i="2"/>
  <c r="M17" i="2"/>
  <c r="L18" i="2"/>
  <c r="M18" i="2"/>
  <c r="L19" i="2"/>
  <c r="M19" i="2" s="1"/>
  <c r="L20" i="2"/>
  <c r="M20" i="2" s="1"/>
  <c r="L21" i="2"/>
  <c r="M21" i="2"/>
  <c r="L22" i="2"/>
  <c r="M22" i="2"/>
  <c r="L23" i="2"/>
  <c r="M23" i="2" s="1"/>
  <c r="L24" i="2"/>
  <c r="M24" i="2" s="1"/>
  <c r="L25" i="2"/>
  <c r="M25" i="2"/>
  <c r="L26" i="2"/>
  <c r="M26" i="2"/>
  <c r="L27" i="2"/>
  <c r="M27" i="2" s="1"/>
  <c r="L28" i="2"/>
  <c r="M28" i="2" s="1"/>
  <c r="L29" i="2"/>
  <c r="M29" i="2"/>
  <c r="L30" i="2"/>
  <c r="M30" i="2"/>
  <c r="L31" i="2"/>
  <c r="M31" i="2" s="1"/>
  <c r="L32" i="2"/>
  <c r="M32" i="2" s="1"/>
  <c r="L33" i="2"/>
  <c r="M33" i="2"/>
  <c r="L34" i="2"/>
  <c r="M34" i="2"/>
  <c r="L35" i="2"/>
  <c r="M35" i="2" s="1"/>
  <c r="L36" i="2"/>
  <c r="M36" i="2" s="1"/>
  <c r="L37" i="2"/>
  <c r="M37" i="2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/>
  <c r="H20" i="2"/>
  <c r="I20" i="2" s="1"/>
  <c r="H21" i="2"/>
  <c r="I21" i="2" s="1"/>
  <c r="H22" i="2"/>
  <c r="I22" i="2" s="1"/>
  <c r="H23" i="2"/>
  <c r="I23" i="2"/>
  <c r="H24" i="2"/>
  <c r="I24" i="2" s="1"/>
  <c r="H25" i="2"/>
  <c r="I25" i="2" s="1"/>
  <c r="H26" i="2"/>
  <c r="I26" i="2" s="1"/>
  <c r="H27" i="2"/>
  <c r="I27" i="2"/>
  <c r="H28" i="2"/>
  <c r="I28" i="2" s="1"/>
  <c r="H29" i="2"/>
  <c r="I29" i="2" s="1"/>
  <c r="H30" i="2"/>
  <c r="I30" i="2" s="1"/>
  <c r="H31" i="2"/>
  <c r="I31" i="2"/>
  <c r="H32" i="2"/>
  <c r="I32" i="2" s="1"/>
  <c r="H33" i="2"/>
  <c r="I33" i="2" s="1"/>
  <c r="H34" i="2"/>
  <c r="I34" i="2" s="1"/>
  <c r="H35" i="2"/>
  <c r="I35" i="2"/>
  <c r="H36" i="2"/>
  <c r="I36" i="2" s="1"/>
  <c r="H37" i="2"/>
  <c r="I37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/>
  <c r="D10" i="2"/>
  <c r="E10" i="2" s="1"/>
  <c r="D11" i="2"/>
  <c r="E11" i="2" s="1"/>
  <c r="D12" i="2"/>
  <c r="E12" i="2" s="1"/>
  <c r="D13" i="2"/>
  <c r="E13" i="2"/>
  <c r="D14" i="2"/>
  <c r="E14" i="2"/>
  <c r="D15" i="2"/>
  <c r="E15" i="2"/>
  <c r="D16" i="2"/>
  <c r="E16" i="2" s="1"/>
  <c r="D17" i="2"/>
  <c r="E17" i="2"/>
  <c r="D18" i="2"/>
  <c r="E18" i="2"/>
  <c r="D19" i="2"/>
  <c r="E19" i="2" s="1"/>
  <c r="D20" i="2"/>
  <c r="E20" i="2" s="1"/>
  <c r="D21" i="2"/>
  <c r="E21" i="2"/>
  <c r="D22" i="2"/>
  <c r="E22" i="2"/>
  <c r="D23" i="2"/>
  <c r="E23" i="2"/>
  <c r="D24" i="2"/>
  <c r="E24" i="2" s="1"/>
  <c r="D25" i="2"/>
  <c r="E25" i="2" s="1"/>
  <c r="D26" i="2"/>
  <c r="E26" i="2"/>
  <c r="D27" i="2"/>
  <c r="E27" i="2"/>
  <c r="D28" i="2"/>
  <c r="E28" i="2" s="1"/>
  <c r="D29" i="2"/>
  <c r="E29" i="2" s="1"/>
  <c r="D30" i="2"/>
  <c r="E30" i="2" s="1"/>
  <c r="D31" i="2"/>
  <c r="E31" i="2"/>
  <c r="D32" i="2"/>
  <c r="E32" i="2" s="1"/>
  <c r="D33" i="2"/>
  <c r="E33" i="2"/>
  <c r="D34" i="2"/>
  <c r="E34" i="2"/>
  <c r="D35" i="2"/>
  <c r="E35" i="2"/>
  <c r="D36" i="2"/>
  <c r="E36" i="2" s="1"/>
  <c r="D37" i="2"/>
  <c r="E37" i="2"/>
  <c r="DE3" i="2"/>
  <c r="CG3" i="2"/>
  <c r="CC3" i="2"/>
  <c r="BY3" i="2"/>
  <c r="BI3" i="2"/>
  <c r="BA3" i="2"/>
  <c r="AW3" i="2"/>
  <c r="AS3" i="2"/>
  <c r="U3" i="2"/>
  <c r="Q3" i="2"/>
  <c r="M3" i="2"/>
  <c r="DD3" i="2"/>
  <c r="CZ3" i="2"/>
  <c r="DA3" i="2" s="1"/>
  <c r="CV3" i="2"/>
  <c r="CW3" i="2" s="1"/>
  <c r="CR3" i="2"/>
  <c r="CS3" i="2" s="1"/>
  <c r="CN3" i="2"/>
  <c r="CO3" i="2" s="1"/>
  <c r="CJ3" i="2"/>
  <c r="CK3" i="2" s="1"/>
  <c r="CF3" i="2"/>
  <c r="CB3" i="2"/>
  <c r="BX3" i="2"/>
  <c r="BT3" i="2"/>
  <c r="BU3" i="2" s="1"/>
  <c r="BP3" i="2"/>
  <c r="BQ3" i="2" s="1"/>
  <c r="BL3" i="2"/>
  <c r="BM3" i="2" s="1"/>
  <c r="BH3" i="2"/>
  <c r="BD3" i="2"/>
  <c r="BE3" i="2" s="1"/>
  <c r="AZ3" i="2"/>
  <c r="AV3" i="2"/>
  <c r="AR3" i="2"/>
  <c r="AN3" i="2"/>
  <c r="AO3" i="2" s="1"/>
  <c r="AJ3" i="2"/>
  <c r="AK3" i="2" s="1"/>
  <c r="AF3" i="2"/>
  <c r="AG3" i="2" s="1"/>
  <c r="AB3" i="2"/>
  <c r="AC3" i="2" s="1"/>
  <c r="X3" i="2"/>
  <c r="Y3" i="2" s="1"/>
  <c r="T3" i="2"/>
  <c r="P3" i="2"/>
  <c r="L3" i="2"/>
  <c r="H3" i="2"/>
  <c r="I3" i="2" s="1"/>
  <c r="D3" i="2"/>
  <c r="E3" i="2" s="1"/>
</calcChain>
</file>

<file path=xl/sharedStrings.xml><?xml version="1.0" encoding="utf-8"?>
<sst xmlns="http://schemas.openxmlformats.org/spreadsheetml/2006/main" count="578" uniqueCount="255">
  <si>
    <t>Method name: OD_GFP_Kinetic_35cycle (8 hr) (Modified)</t>
  </si>
  <si>
    <t/>
  </si>
  <si>
    <t>Application: SparkControl</t>
  </si>
  <si>
    <t>V3.2</t>
  </si>
  <si>
    <t>Device: Spark 10M</t>
  </si>
  <si>
    <t>Serial number: 1511007600</t>
  </si>
  <si>
    <t>Firmware:</t>
  </si>
  <si>
    <t>ABS:V4.2.10|ABS_MEX:V5.0.4|MTP:V11.0.2|FLUOR:V5.0.8|FLUOR_MEM:V5.0.4|FLUOR_MEX:V5.0.4</t>
  </si>
  <si>
    <t>Date:</t>
  </si>
  <si>
    <t>2025-10-23</t>
  </si>
  <si>
    <t>Time:</t>
  </si>
  <si>
    <t>1:29 AM</t>
  </si>
  <si>
    <t>System</t>
  </si>
  <si>
    <t>USER-HP</t>
  </si>
  <si>
    <t>User</t>
  </si>
  <si>
    <t>User-HP\User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</si>
  <si>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</si>
  <si>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</si>
  <si>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</si>
  <si>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</si>
  <si>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</si>
  <si>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</si>
  <si>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</si>
  <si>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</si>
  <si>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</si>
  <si>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</si>
  <si>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</si>
  <si>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Shaking</t>
  </si>
  <si>
    <t>Absorbance</t>
  </si>
  <si>
    <t>absorbance</t>
  </si>
  <si>
    <t>Fluorescence Top Reading</t>
  </si>
  <si>
    <t>GFP</t>
  </si>
  <si>
    <t>Name</t>
  </si>
  <si>
    <t>GRE96ft</t>
  </si>
  <si>
    <t>Plate layout</t>
  </si>
  <si>
    <t>Plate area</t>
  </si>
  <si>
    <t>D2-G10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</si>
  <si>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</si>
  <si>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</si>
  <si>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</si>
  <si>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</si>
  <si>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</si>
  <si>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</si>
  <si>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</si>
  <si>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</si>
  <si>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</si>
  <si>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</si>
  <si>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</si>
  <si>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</si>
  <si>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Start Time</t>
  </si>
  <si>
    <t>2025-10-22 17:07:46</t>
  </si>
  <si>
    <t>Temperature control</t>
  </si>
  <si>
    <t>On</t>
  </si>
  <si>
    <t>Target temperature [°C]</t>
  </si>
  <si>
    <t>End Time</t>
  </si>
  <si>
    <t>Mode</t>
  </si>
  <si>
    <t>Kinetic cycles</t>
  </si>
  <si>
    <t>Interval time</t>
  </si>
  <si>
    <t>Not defined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</si>
  <si>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</si>
  <si>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</si>
  <si>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</si>
  <si>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</si>
  <si>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</si>
  <si>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Measurement wavelength [nm]</t>
  </si>
  <si>
    <t>Number of flashes</t>
  </si>
  <si>
    <t>Settle time [ms]</t>
  </si>
  <si>
    <t>Part of Plate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</si>
  <si>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</si>
  <si>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</si>
  <si>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</si>
  <si>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</si>
  <si>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</si>
  <si>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</si>
  <si>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</si>
  <si>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</si>
  <si>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</si>
  <si>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</t>
  </si>
  <si>
    <t>Integration time [µs]</t>
  </si>
  <si>
    <t>Lag time [µs]</t>
  </si>
  <si>
    <t>Z-Position [μm]</t>
  </si>
  <si>
    <t>Z-Position mode</t>
  </si>
  <si>
    <t>Manual</t>
  </si>
  <si>
    <t>2025-10-22 17:07:50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</si>
  <si>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</si>
  <si>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</si>
  <si>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</si>
  <si>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</si>
  <si>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</si>
  <si>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</si>
  <si>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</si>
  <si>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</si>
  <si>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</si>
  <si>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</si>
  <si>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</si>
  <si>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</si>
  <si>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</si>
  <si>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</si>
  <si>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</si>
  <si>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</si>
  <si>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</si>
  <si>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</si>
  <si>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</si>
  <si>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</si>
  <si>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</si>
  <si>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</si>
  <si>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</si>
  <si>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</si>
  <si>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</si>
  <si>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</si>
  <si>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</si>
  <si>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</si>
  <si>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</si>
  <si>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</si>
  <si>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</si>
  <si>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</si>
  <si>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</si>
  <si>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</si>
  <si>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</si>
  <si>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</si>
  <si>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</si>
  <si>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</si>
  <si>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</si>
  <si>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</si>
  <si>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</si>
  <si>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</si>
  <si>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</si>
  <si>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</si>
  <si>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</si>
  <si>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</si>
  <si>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</si>
  <si>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</si>
  <si>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</si>
  <si>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</si>
  <si>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</si>
  <si>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</si>
  <si>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</si>
  <si>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</si>
  <si>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</si>
  <si>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</si>
  <si>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</si>
  <si>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</si>
  <si>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</si>
  <si>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</si>
  <si>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</si>
  <si>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</si>
  <si>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</si>
  <si>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</si>
  <si>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</si>
  <si>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</si>
  <si>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</si>
  <si>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</si>
  <si>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</si>
  <si>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</si>
  <si>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</si>
  <si>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</si>
  <si>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</si>
  <si>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</si>
  <si>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</si>
  <si>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</si>
  <si>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</si>
  <si>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</si>
  <si>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</si>
  <si>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</si>
  <si>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</si>
  <si>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</si>
  <si>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</si>
  <si>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</si>
  <si>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</si>
  <si>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</si>
  <si>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</si>
  <si>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</si>
  <si>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</si>
  <si>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</si>
  <si>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</si>
  <si>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</si>
  <si>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</si>
  <si>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</si>
  <si>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</si>
  <si>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</si>
  <si>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</si>
  <si>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</si>
  <si>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</si>
  <si>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</si>
  <si>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</si>
  <si>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</si>
  <si>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</si>
  <si>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</si>
  <si>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</si>
  <si>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</si>
  <si>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</si>
  <si>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</si>
  <si>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</si>
  <si>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</si>
  <si>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</si>
  <si>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</si>
  <si>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</si>
  <si>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</si>
  <si>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</si>
  <si>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</si>
  <si>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</si>
  <si>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</si>
  <si>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</si>
  <si>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</si>
  <si>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</si>
  <si>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</si>
  <si>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2025-10-23 01:28:51</t>
  </si>
  <si>
    <t>pAH01</t>
  </si>
  <si>
    <t>pAH02</t>
  </si>
  <si>
    <t>pAH03</t>
  </si>
  <si>
    <t>pAH04</t>
  </si>
  <si>
    <t>pAH05</t>
  </si>
  <si>
    <t>pAH06</t>
  </si>
  <si>
    <t>pAH07</t>
  </si>
  <si>
    <t>pTK03</t>
  </si>
  <si>
    <t>pYC08</t>
  </si>
  <si>
    <t>Blank</t>
  </si>
  <si>
    <t>pAH01_1</t>
  </si>
  <si>
    <t>pAH02_1</t>
  </si>
  <si>
    <t>pAH03_1</t>
  </si>
  <si>
    <t>pAH04_1</t>
  </si>
  <si>
    <t>pAH05_1</t>
  </si>
  <si>
    <t>pAH06_1</t>
  </si>
  <si>
    <t>pAH07_1</t>
  </si>
  <si>
    <t>pTK03_1</t>
  </si>
  <si>
    <t>pYC08_1</t>
  </si>
  <si>
    <t>pAH01_2</t>
  </si>
  <si>
    <t>pAH02_2</t>
  </si>
  <si>
    <t>pAH03_2</t>
  </si>
  <si>
    <t>pAH04_2</t>
  </si>
  <si>
    <t>pAH05_2</t>
  </si>
  <si>
    <t>pAH06_2</t>
  </si>
  <si>
    <t>pAH07_2</t>
  </si>
  <si>
    <t>pTK03_2</t>
  </si>
  <si>
    <t>pYC08_2</t>
  </si>
  <si>
    <t>pAH01_3</t>
  </si>
  <si>
    <t>pAH02_3</t>
  </si>
  <si>
    <t>pAH03_3</t>
  </si>
  <si>
    <t>pAH04_3</t>
  </si>
  <si>
    <t>pAH05_3</t>
  </si>
  <si>
    <t>pAH06_3</t>
  </si>
  <si>
    <t>pAH07_3</t>
  </si>
  <si>
    <t>pTK03_3</t>
  </si>
  <si>
    <t>pYC08_3</t>
  </si>
  <si>
    <t>Growth_rate</t>
  </si>
  <si>
    <t>doubeling</t>
  </si>
  <si>
    <t>min</t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</si>
  <si>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</si>
  <si>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</si>
  <si>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</si>
  <si>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</si>
  <si>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</si>
  <si>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</si>
  <si>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G</t>
    <phoneticPr fontId="4" type="noConversion"/>
  </si>
  <si>
    <t>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</si>
</sst>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9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1"/>
      <color rgb="FFFF0000"/>
      <name val="Calibri"/>
      <family val="2"/>
    </font>
    <font>
      <sz val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66806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00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/>
      </top>
      <bottom/>
      <diagonal/>
    </border>
    <border>
      <left style="thin">
        <color theme="1" tint="0.499984740745262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/>
      </left>
      <right/>
      <top style="thin">
        <color theme="1" tint="0.499984740745262"/>
      </top>
      <bottom style="medium">
        <color theme="1"/>
      </bottom>
      <diagonal/>
    </border>
  </borders>
  <cellStyleXfs count="2">
    <xf numFmtId="0" fontId="0" fillId="0" borderId="0"/>
    <xf numFmtId="0" fontId="4" fillId="0" borderId="0"/>
  </cellStyleXfs>
  <cellXfs count="3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164" fontId="5" fillId="5" borderId="1" xfId="1" applyNumberFormat="1" applyFont="1" applyFill="1" applyBorder="1" applyAlignment="1">
      <alignment horizontal="center" vertical="center"/>
    </xf>
    <xf numFmtId="164" fontId="5" fillId="5" borderId="2" xfId="1" applyNumberFormat="1" applyFont="1" applyFill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64" fontId="5" fillId="5" borderId="3" xfId="1" applyNumberFormat="1" applyFont="1" applyFill="1" applyBorder="1" applyAlignment="1">
      <alignment horizontal="center" vertical="center"/>
    </xf>
    <xf numFmtId="164" fontId="5" fillId="6" borderId="4" xfId="1" applyNumberFormat="1" applyFont="1" applyFill="1" applyBorder="1" applyAlignment="1">
      <alignment horizontal="center" vertical="center"/>
    </xf>
    <xf numFmtId="164" fontId="5" fillId="6" borderId="5" xfId="1" applyNumberFormat="1" applyFont="1" applyFill="1" applyBorder="1" applyAlignment="1">
      <alignment horizontal="center" vertical="center"/>
    </xf>
    <xf numFmtId="164" fontId="5" fillId="6" borderId="6" xfId="1" applyNumberFormat="1" applyFont="1" applyFill="1" applyBorder="1" applyAlignment="1">
      <alignment horizontal="center" vertical="center"/>
    </xf>
    <xf numFmtId="164" fontId="5" fillId="5" borderId="7" xfId="1" applyNumberFormat="1" applyFont="1" applyFill="1" applyBorder="1" applyAlignment="1">
      <alignment horizontal="center" vertical="center"/>
    </xf>
    <xf numFmtId="164" fontId="5" fillId="7" borderId="1" xfId="1" applyNumberFormat="1" applyFont="1" applyFill="1" applyBorder="1" applyAlignment="1">
      <alignment horizontal="center" vertical="center"/>
    </xf>
    <xf numFmtId="164" fontId="5" fillId="5" borderId="8" xfId="1" applyNumberFormat="1" applyFont="1" applyFill="1" applyBorder="1" applyAlignment="1">
      <alignment horizontal="center" vertical="center"/>
    </xf>
    <xf numFmtId="164" fontId="5" fillId="8" borderId="9" xfId="1" applyNumberFormat="1" applyFont="1" applyFill="1" applyBorder="1" applyAlignment="1">
      <alignment horizontal="center" vertical="center"/>
    </xf>
    <xf numFmtId="164" fontId="5" fillId="8" borderId="10" xfId="1" applyNumberFormat="1" applyFont="1" applyFill="1" applyBorder="1" applyAlignment="1">
      <alignment horizontal="center" vertical="center"/>
    </xf>
    <xf numFmtId="164" fontId="5" fillId="8" borderId="5" xfId="1" applyNumberFormat="1" applyFont="1" applyFill="1" applyBorder="1" applyAlignment="1">
      <alignment horizontal="center" vertical="center"/>
    </xf>
    <xf numFmtId="164" fontId="5" fillId="8" borderId="6" xfId="1" applyNumberFormat="1" applyFont="1" applyFill="1" applyBorder="1" applyAlignment="1">
      <alignment horizontal="center" vertical="center"/>
    </xf>
    <xf numFmtId="164" fontId="5" fillId="8" borderId="11" xfId="1" applyNumberFormat="1" applyFont="1" applyFill="1" applyBorder="1" applyAlignment="1">
      <alignment horizontal="center" vertical="center"/>
    </xf>
    <xf numFmtId="164" fontId="5" fillId="8" borderId="1" xfId="1" applyNumberFormat="1" applyFont="1" applyFill="1" applyBorder="1" applyAlignment="1">
      <alignment horizontal="center" vertical="center"/>
    </xf>
    <xf numFmtId="164" fontId="5" fillId="8" borderId="12" xfId="1" applyNumberFormat="1" applyFont="1" applyFill="1" applyBorder="1" applyAlignment="1">
      <alignment horizontal="center" vertical="center"/>
    </xf>
    <xf numFmtId="164" fontId="5" fillId="8" borderId="13" xfId="1" applyNumberFormat="1" applyFont="1" applyFill="1" applyBorder="1" applyAlignment="1">
      <alignment horizontal="center" vertical="center"/>
    </xf>
    <xf numFmtId="164" fontId="5" fillId="5" borderId="14" xfId="1" applyNumberFormat="1" applyFont="1" applyFill="1" applyBorder="1" applyAlignment="1">
      <alignment horizontal="center" vertical="center"/>
    </xf>
    <xf numFmtId="164" fontId="6" fillId="9" borderId="4" xfId="0" applyNumberFormat="1" applyFont="1" applyFill="1" applyBorder="1" applyAlignment="1">
      <alignment horizontal="center" vertical="center"/>
    </xf>
    <xf numFmtId="164" fontId="6" fillId="9" borderId="15" xfId="0" applyNumberFormat="1" applyFont="1" applyFill="1" applyBorder="1" applyAlignment="1">
      <alignment horizontal="center" vertical="center"/>
    </xf>
    <xf numFmtId="164" fontId="6" fillId="9" borderId="16" xfId="0" applyNumberFormat="1" applyFont="1" applyFill="1" applyBorder="1" applyAlignment="1">
      <alignment horizontal="center" vertical="center"/>
    </xf>
    <xf numFmtId="0" fontId="3" fillId="0" borderId="0" xfId="0" applyFont="1"/>
    <xf numFmtId="0" fontId="2" fillId="10" borderId="0" xfId="0" applyFont="1" applyFill="1"/>
    <xf numFmtId="164" fontId="6" fillId="11" borderId="4" xfId="0" applyNumberFormat="1" applyFont="1" applyFill="1" applyBorder="1" applyAlignment="1">
      <alignment horizontal="center" vertical="center"/>
    </xf>
    <xf numFmtId="0" fontId="2" fillId="11" borderId="0" xfId="0" applyFont="1" applyFill="1"/>
    <xf numFmtId="164" fontId="6" fillId="11" borderId="15" xfId="0" applyNumberFormat="1" applyFont="1" applyFill="1" applyBorder="1" applyAlignment="1">
      <alignment horizontal="center" vertical="center"/>
    </xf>
    <xf numFmtId="164" fontId="6" fillId="11" borderId="16" xfId="0" applyNumberFormat="1" applyFont="1" applyFill="1" applyBorder="1" applyAlignment="1">
      <alignment horizontal="center" vertical="center"/>
    </xf>
    <xf numFmtId="0" fontId="7" fillId="0" borderId="0" xfId="0" applyFont="1"/>
    <xf numFmtId="164" fontId="5" fillId="5" borderId="17" xfId="1" applyNumberFormat="1" applyFont="1" applyFill="1" applyBorder="1" applyAlignment="1">
      <alignment horizontal="center" vertical="center"/>
    </xf>
    <xf numFmtId="164" fontId="5" fillId="5" borderId="18" xfId="1" applyNumberFormat="1" applyFont="1" applyFill="1" applyBorder="1" applyAlignment="1">
      <alignment horizontal="center" vertical="center"/>
    </xf>
    <xf numFmtId="164" fontId="5" fillId="5" borderId="19" xfId="1" applyNumberFormat="1" applyFont="1" applyFill="1" applyBorder="1" applyAlignment="1">
      <alignment horizontal="center" vertical="center"/>
    </xf>
    <xf numFmtId="164" fontId="5" fillId="5" borderId="20" xfId="1" applyNumberFormat="1" applyFont="1" applyFill="1" applyBorder="1" applyAlignment="1">
      <alignment horizontal="center" vertical="center"/>
    </xf>
    <xf numFmtId="164" fontId="5" fillId="5" borderId="21" xfId="1" applyNumberFormat="1" applyFont="1" applyFill="1" applyBorder="1" applyAlignment="1">
      <alignment horizontal="center" vertical="center"/>
    </xf>
  </cellXfs>
  <cellStyles count="2">
    <cellStyle name="Normal" xfId="0" builtinId="0"/>
    <cellStyle name="一般 2" xfId="1" xr:uid="{006164D7-AFB5-8840-A41D-CBA324AF49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'!$D$3:$D$37</c:f>
              <c:numCache>
                <c:formatCode>General</c:formatCode>
                <c:ptCount val="35"/>
                <c:pt idx="0">
                  <c:v>9.6015873015872083E-3</c:v>
                </c:pt>
                <c:pt idx="1">
                  <c:v>5.7015873015872076E-3</c:v>
                </c:pt>
                <c:pt idx="2">
                  <c:v>6.9015873015872142E-3</c:v>
                </c:pt>
                <c:pt idx="3">
                  <c:v>1.0401587301587203E-2</c:v>
                </c:pt>
                <c:pt idx="4">
                  <c:v>1.500158730158721E-2</c:v>
                </c:pt>
                <c:pt idx="5">
                  <c:v>2.3201587301587209E-2</c:v>
                </c:pt>
                <c:pt idx="6">
                  <c:v>3.8801587301587212E-2</c:v>
                </c:pt>
                <c:pt idx="7">
                  <c:v>6.6101587301587203E-2</c:v>
                </c:pt>
                <c:pt idx="8">
                  <c:v>0.11060158730158721</c:v>
                </c:pt>
                <c:pt idx="9">
                  <c:v>0.18200158730158722</c:v>
                </c:pt>
                <c:pt idx="10">
                  <c:v>0.24590158730158718</c:v>
                </c:pt>
                <c:pt idx="11">
                  <c:v>0.33430158730158721</c:v>
                </c:pt>
                <c:pt idx="12">
                  <c:v>0.4271015873015872</c:v>
                </c:pt>
                <c:pt idx="13">
                  <c:v>0.50800158730158718</c:v>
                </c:pt>
                <c:pt idx="14">
                  <c:v>0.55880158730158724</c:v>
                </c:pt>
                <c:pt idx="15">
                  <c:v>0.5915015873015872</c:v>
                </c:pt>
                <c:pt idx="16">
                  <c:v>0.59810158730158725</c:v>
                </c:pt>
                <c:pt idx="17">
                  <c:v>0.60210158730158725</c:v>
                </c:pt>
                <c:pt idx="18">
                  <c:v>0.60710158730158714</c:v>
                </c:pt>
                <c:pt idx="19">
                  <c:v>0.6106015873015872</c:v>
                </c:pt>
                <c:pt idx="20">
                  <c:v>0.61380158730158718</c:v>
                </c:pt>
                <c:pt idx="21">
                  <c:v>0.61700158730158716</c:v>
                </c:pt>
                <c:pt idx="22">
                  <c:v>0.6197015873015872</c:v>
                </c:pt>
                <c:pt idx="23">
                  <c:v>0.62380158730158719</c:v>
                </c:pt>
                <c:pt idx="24">
                  <c:v>0.62530158730158725</c:v>
                </c:pt>
                <c:pt idx="25">
                  <c:v>0.62880158730158719</c:v>
                </c:pt>
                <c:pt idx="26">
                  <c:v>0.63200158730158718</c:v>
                </c:pt>
                <c:pt idx="27">
                  <c:v>0.63270158730158721</c:v>
                </c:pt>
                <c:pt idx="28">
                  <c:v>0.62970158730158721</c:v>
                </c:pt>
                <c:pt idx="29">
                  <c:v>0.6318015873015872</c:v>
                </c:pt>
                <c:pt idx="30">
                  <c:v>0.63190158730158719</c:v>
                </c:pt>
                <c:pt idx="31">
                  <c:v>0.63430158730158714</c:v>
                </c:pt>
                <c:pt idx="32">
                  <c:v>0.63290158730158719</c:v>
                </c:pt>
                <c:pt idx="33">
                  <c:v>0.63150158730158723</c:v>
                </c:pt>
                <c:pt idx="34">
                  <c:v>0.63220158730158715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58-3642-B254-D39E056E327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'!$AN$3:$AN$37</c:f>
              <c:numCache>
                <c:formatCode>General</c:formatCode>
                <c:ptCount val="35"/>
                <c:pt idx="0">
                  <c:v>9.2015873015872107E-3</c:v>
                </c:pt>
                <c:pt idx="1">
                  <c:v>1.0001587301587206E-2</c:v>
                </c:pt>
                <c:pt idx="2">
                  <c:v>1.110158730158721E-2</c:v>
                </c:pt>
                <c:pt idx="3">
                  <c:v>1.4401587301587207E-2</c:v>
                </c:pt>
                <c:pt idx="4">
                  <c:v>2.1101587301587205E-2</c:v>
                </c:pt>
                <c:pt idx="5">
                  <c:v>3.0701587301587216E-2</c:v>
                </c:pt>
                <c:pt idx="6">
                  <c:v>4.6001587301587196E-2</c:v>
                </c:pt>
                <c:pt idx="7">
                  <c:v>7.6401587301587207E-2</c:v>
                </c:pt>
                <c:pt idx="8">
                  <c:v>0.1236015873015872</c:v>
                </c:pt>
                <c:pt idx="9">
                  <c:v>0.19650158730158718</c:v>
                </c:pt>
                <c:pt idx="10">
                  <c:v>0.27300158730158719</c:v>
                </c:pt>
                <c:pt idx="11">
                  <c:v>0.36990158730158718</c:v>
                </c:pt>
                <c:pt idx="12">
                  <c:v>0.46130158730158721</c:v>
                </c:pt>
                <c:pt idx="13">
                  <c:v>0.55170158730158725</c:v>
                </c:pt>
                <c:pt idx="14">
                  <c:v>0.61440158730158723</c:v>
                </c:pt>
                <c:pt idx="15">
                  <c:v>0.64430158730158715</c:v>
                </c:pt>
                <c:pt idx="16">
                  <c:v>0.66310158730158719</c:v>
                </c:pt>
                <c:pt idx="17">
                  <c:v>0.66980158730158723</c:v>
                </c:pt>
                <c:pt idx="18">
                  <c:v>0.67130158730158718</c:v>
                </c:pt>
                <c:pt idx="19">
                  <c:v>0.67840158730158717</c:v>
                </c:pt>
                <c:pt idx="20">
                  <c:v>0.69360158730158716</c:v>
                </c:pt>
                <c:pt idx="21">
                  <c:v>0.68790158730158724</c:v>
                </c:pt>
                <c:pt idx="22">
                  <c:v>0.68290158730158723</c:v>
                </c:pt>
                <c:pt idx="23">
                  <c:v>0.69720158730158721</c:v>
                </c:pt>
                <c:pt idx="24">
                  <c:v>0.68880158730158725</c:v>
                </c:pt>
                <c:pt idx="25">
                  <c:v>0.69670158730158716</c:v>
                </c:pt>
                <c:pt idx="26">
                  <c:v>0.69720158730158721</c:v>
                </c:pt>
                <c:pt idx="27">
                  <c:v>0.69700158730158723</c:v>
                </c:pt>
                <c:pt idx="28">
                  <c:v>0.71050158730158719</c:v>
                </c:pt>
                <c:pt idx="29">
                  <c:v>0.71000158730158724</c:v>
                </c:pt>
                <c:pt idx="30">
                  <c:v>0.6933015873015872</c:v>
                </c:pt>
                <c:pt idx="31">
                  <c:v>0.70400158730158724</c:v>
                </c:pt>
                <c:pt idx="32">
                  <c:v>0.69910158730158722</c:v>
                </c:pt>
                <c:pt idx="33">
                  <c:v>0.69710158730158722</c:v>
                </c:pt>
                <c:pt idx="34">
                  <c:v>0.71030158730158721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58-3642-B254-D39E056E327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'!$BX$3:$BX$37</c:f>
              <c:numCache>
                <c:formatCode>General</c:formatCode>
                <c:ptCount val="35"/>
                <c:pt idx="0">
                  <c:v>9.801587301587214E-3</c:v>
                </c:pt>
                <c:pt idx="1">
                  <c:v>7.1015873015872061E-3</c:v>
                </c:pt>
                <c:pt idx="2">
                  <c:v>8.5015873015872045E-3</c:v>
                </c:pt>
                <c:pt idx="3">
                  <c:v>1.2201587301587213E-2</c:v>
                </c:pt>
                <c:pt idx="4">
                  <c:v>1.9101587301587203E-2</c:v>
                </c:pt>
                <c:pt idx="5">
                  <c:v>2.890158730158722E-2</c:v>
                </c:pt>
                <c:pt idx="6">
                  <c:v>4.7601587301587214E-2</c:v>
                </c:pt>
                <c:pt idx="7">
                  <c:v>7.8101587301587214E-2</c:v>
                </c:pt>
                <c:pt idx="8">
                  <c:v>0.12820158730158721</c:v>
                </c:pt>
                <c:pt idx="9">
                  <c:v>0.20750158730158719</c:v>
                </c:pt>
                <c:pt idx="10">
                  <c:v>0.28370158730158718</c:v>
                </c:pt>
                <c:pt idx="11">
                  <c:v>0.38910158730158717</c:v>
                </c:pt>
                <c:pt idx="12">
                  <c:v>0.49200158730158716</c:v>
                </c:pt>
                <c:pt idx="13">
                  <c:v>0.58950158730158719</c:v>
                </c:pt>
                <c:pt idx="14">
                  <c:v>0.65650158730158714</c:v>
                </c:pt>
                <c:pt idx="15">
                  <c:v>0.69810158730158722</c:v>
                </c:pt>
                <c:pt idx="16">
                  <c:v>0.73970158730158719</c:v>
                </c:pt>
                <c:pt idx="17">
                  <c:v>0.74480158730158719</c:v>
                </c:pt>
                <c:pt idx="18">
                  <c:v>0.77050158730158724</c:v>
                </c:pt>
                <c:pt idx="19">
                  <c:v>0.78110158730158719</c:v>
                </c:pt>
                <c:pt idx="20">
                  <c:v>0.77580158730158721</c:v>
                </c:pt>
                <c:pt idx="21">
                  <c:v>0.77860158730158724</c:v>
                </c:pt>
                <c:pt idx="22">
                  <c:v>0.76840158730158714</c:v>
                </c:pt>
                <c:pt idx="23">
                  <c:v>0.76590158730158719</c:v>
                </c:pt>
                <c:pt idx="24">
                  <c:v>0.78390158730158721</c:v>
                </c:pt>
                <c:pt idx="25">
                  <c:v>0.76540158730158725</c:v>
                </c:pt>
                <c:pt idx="26">
                  <c:v>0.7800015873015872</c:v>
                </c:pt>
                <c:pt idx="27">
                  <c:v>0.79050158730158715</c:v>
                </c:pt>
                <c:pt idx="28">
                  <c:v>0.77260158730158723</c:v>
                </c:pt>
                <c:pt idx="29">
                  <c:v>0.7810015873015872</c:v>
                </c:pt>
                <c:pt idx="30">
                  <c:v>0.77650158730158725</c:v>
                </c:pt>
                <c:pt idx="31">
                  <c:v>0.78010158730158718</c:v>
                </c:pt>
                <c:pt idx="32">
                  <c:v>0.79590158730158722</c:v>
                </c:pt>
                <c:pt idx="33">
                  <c:v>0.77570158730158723</c:v>
                </c:pt>
                <c:pt idx="34">
                  <c:v>0.72020158730158723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58-3642-B254-D39E056E3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6146832"/>
        <c:axId val="87434047"/>
      </c:lineChart>
      <c:catAx>
        <c:axId val="205614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87434047"/>
        <c:crosses val="autoZero"/>
        <c:auto val="1"/>
        <c:lblAlgn val="ctr"/>
        <c:lblOffset val="100"/>
        <c:noMultiLvlLbl val="0"/>
      </c:catAx>
      <c:valAx>
        <c:axId val="8743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5614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'!$H$3:$H$37</c:f>
              <c:numCache>
                <c:formatCode>General</c:formatCode>
                <c:ptCount val="35"/>
                <c:pt idx="0">
                  <c:v>8.4015873015872017E-3</c:v>
                </c:pt>
                <c:pt idx="1">
                  <c:v>5.6015873015872047E-3</c:v>
                </c:pt>
                <c:pt idx="2">
                  <c:v>5.7015873015872076E-3</c:v>
                </c:pt>
                <c:pt idx="3">
                  <c:v>9.001587301587205E-3</c:v>
                </c:pt>
                <c:pt idx="4">
                  <c:v>1.2501587301587208E-2</c:v>
                </c:pt>
                <c:pt idx="5">
                  <c:v>2.0101587301587204E-2</c:v>
                </c:pt>
                <c:pt idx="6">
                  <c:v>3.2701587301587218E-2</c:v>
                </c:pt>
                <c:pt idx="7">
                  <c:v>5.7101587301587195E-2</c:v>
                </c:pt>
                <c:pt idx="8">
                  <c:v>9.2601587301587199E-2</c:v>
                </c:pt>
                <c:pt idx="9">
                  <c:v>0.15530158730158722</c:v>
                </c:pt>
                <c:pt idx="10">
                  <c:v>0.24330158730158719</c:v>
                </c:pt>
                <c:pt idx="11">
                  <c:v>0.3067015873015872</c:v>
                </c:pt>
                <c:pt idx="12">
                  <c:v>0.41160158730158725</c:v>
                </c:pt>
                <c:pt idx="13">
                  <c:v>0.5058015873015872</c:v>
                </c:pt>
                <c:pt idx="14">
                  <c:v>0.56960158730158716</c:v>
                </c:pt>
                <c:pt idx="15">
                  <c:v>0.62340158730158723</c:v>
                </c:pt>
                <c:pt idx="16">
                  <c:v>0.64520158730158716</c:v>
                </c:pt>
                <c:pt idx="17">
                  <c:v>0.65110158730158718</c:v>
                </c:pt>
                <c:pt idx="18">
                  <c:v>0.66270158730158724</c:v>
                </c:pt>
                <c:pt idx="19">
                  <c:v>0.66350158730158715</c:v>
                </c:pt>
                <c:pt idx="20">
                  <c:v>0.65830158730158717</c:v>
                </c:pt>
                <c:pt idx="21">
                  <c:v>0.6731015873015872</c:v>
                </c:pt>
                <c:pt idx="22">
                  <c:v>0.66160158730158725</c:v>
                </c:pt>
                <c:pt idx="23">
                  <c:v>0.66830158730158717</c:v>
                </c:pt>
                <c:pt idx="24">
                  <c:v>0.67890158730158723</c:v>
                </c:pt>
                <c:pt idx="25">
                  <c:v>0.67090158730158722</c:v>
                </c:pt>
                <c:pt idx="26">
                  <c:v>0.67560158730158715</c:v>
                </c:pt>
                <c:pt idx="27">
                  <c:v>0.68350158730158717</c:v>
                </c:pt>
                <c:pt idx="28">
                  <c:v>0.6731015873015872</c:v>
                </c:pt>
                <c:pt idx="29">
                  <c:v>0.67170158730158724</c:v>
                </c:pt>
                <c:pt idx="30">
                  <c:v>0.67880158730158724</c:v>
                </c:pt>
                <c:pt idx="31">
                  <c:v>0.67400158730158721</c:v>
                </c:pt>
                <c:pt idx="32">
                  <c:v>0.67880158730158724</c:v>
                </c:pt>
                <c:pt idx="33">
                  <c:v>0.67980158730158724</c:v>
                </c:pt>
                <c:pt idx="34">
                  <c:v>0.66890158730158722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6A-C243-AF44-F9D65CE9255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'!$AR$3:$AR$37</c:f>
              <c:numCache>
                <c:formatCode>General</c:formatCode>
                <c:ptCount val="35"/>
                <c:pt idx="0">
                  <c:v>8.101587301587207E-3</c:v>
                </c:pt>
                <c:pt idx="1">
                  <c:v>6.5015873015872028E-3</c:v>
                </c:pt>
                <c:pt idx="2">
                  <c:v>7.2015873015872089E-3</c:v>
                </c:pt>
                <c:pt idx="3">
                  <c:v>1.0001587301587206E-2</c:v>
                </c:pt>
                <c:pt idx="4">
                  <c:v>1.5801587301587205E-2</c:v>
                </c:pt>
                <c:pt idx="5">
                  <c:v>2.3801587301587213E-2</c:v>
                </c:pt>
                <c:pt idx="6">
                  <c:v>3.5301587301587209E-2</c:v>
                </c:pt>
                <c:pt idx="7">
                  <c:v>5.9401587301587219E-2</c:v>
                </c:pt>
                <c:pt idx="8">
                  <c:v>9.7601587301587203E-2</c:v>
                </c:pt>
                <c:pt idx="9">
                  <c:v>0.15630158730158722</c:v>
                </c:pt>
                <c:pt idx="10">
                  <c:v>0.24880158730158719</c:v>
                </c:pt>
                <c:pt idx="11">
                  <c:v>0.3218015873015872</c:v>
                </c:pt>
                <c:pt idx="12">
                  <c:v>0.41620158730158718</c:v>
                </c:pt>
                <c:pt idx="13">
                  <c:v>0.51550158730158724</c:v>
                </c:pt>
                <c:pt idx="14">
                  <c:v>0.59080158730158716</c:v>
                </c:pt>
                <c:pt idx="15">
                  <c:v>0.63110158730158716</c:v>
                </c:pt>
                <c:pt idx="16">
                  <c:v>0.65860158730158724</c:v>
                </c:pt>
                <c:pt idx="17">
                  <c:v>0.66980158730158723</c:v>
                </c:pt>
                <c:pt idx="18">
                  <c:v>0.67300158730158721</c:v>
                </c:pt>
                <c:pt idx="19">
                  <c:v>0.6812015873015872</c:v>
                </c:pt>
                <c:pt idx="20">
                  <c:v>0.69130158730158719</c:v>
                </c:pt>
                <c:pt idx="21">
                  <c:v>0.69180158730158714</c:v>
                </c:pt>
                <c:pt idx="22">
                  <c:v>0.68830158730158719</c:v>
                </c:pt>
                <c:pt idx="23">
                  <c:v>0.69550158730158718</c:v>
                </c:pt>
                <c:pt idx="24">
                  <c:v>0.69200158730158723</c:v>
                </c:pt>
                <c:pt idx="25">
                  <c:v>0.69660158730158717</c:v>
                </c:pt>
                <c:pt idx="26">
                  <c:v>0.70320158730158722</c:v>
                </c:pt>
                <c:pt idx="27">
                  <c:v>0.69890158730158725</c:v>
                </c:pt>
                <c:pt idx="28">
                  <c:v>0.71230158730158721</c:v>
                </c:pt>
                <c:pt idx="29">
                  <c:v>0.71180158730158716</c:v>
                </c:pt>
                <c:pt idx="30">
                  <c:v>0.69600158730158723</c:v>
                </c:pt>
                <c:pt idx="31">
                  <c:v>0.70460158730158717</c:v>
                </c:pt>
                <c:pt idx="32">
                  <c:v>0.70210158730158723</c:v>
                </c:pt>
                <c:pt idx="33">
                  <c:v>0.70340158730158719</c:v>
                </c:pt>
                <c:pt idx="34">
                  <c:v>0.71830158730158722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6A-C243-AF44-F9D65CE9255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'!$CB$3:$CB$37</c:f>
              <c:numCache>
                <c:formatCode>General</c:formatCode>
                <c:ptCount val="35"/>
                <c:pt idx="0">
                  <c:v>4.0015873015872144E-3</c:v>
                </c:pt>
                <c:pt idx="1">
                  <c:v>6.8015873015872114E-3</c:v>
                </c:pt>
                <c:pt idx="2">
                  <c:v>6.8015873015872114E-3</c:v>
                </c:pt>
                <c:pt idx="3">
                  <c:v>1.0301587301587214E-2</c:v>
                </c:pt>
                <c:pt idx="4">
                  <c:v>1.6501587301587212E-2</c:v>
                </c:pt>
                <c:pt idx="5">
                  <c:v>2.5601587301587209E-2</c:v>
                </c:pt>
                <c:pt idx="6">
                  <c:v>4.0801587301587214E-2</c:v>
                </c:pt>
                <c:pt idx="7">
                  <c:v>6.6601587301587203E-2</c:v>
                </c:pt>
                <c:pt idx="8">
                  <c:v>0.10930158730158722</c:v>
                </c:pt>
                <c:pt idx="9">
                  <c:v>0.1751015873015872</c:v>
                </c:pt>
                <c:pt idx="10">
                  <c:v>0.26640158730158719</c:v>
                </c:pt>
                <c:pt idx="11">
                  <c:v>0.34890158730158721</c:v>
                </c:pt>
                <c:pt idx="12">
                  <c:v>0.44510158730158722</c:v>
                </c:pt>
                <c:pt idx="13">
                  <c:v>0.54320158730158719</c:v>
                </c:pt>
                <c:pt idx="14">
                  <c:v>0.61470158730158719</c:v>
                </c:pt>
                <c:pt idx="15">
                  <c:v>0.65930158730158717</c:v>
                </c:pt>
                <c:pt idx="16">
                  <c:v>0.69190158730158724</c:v>
                </c:pt>
                <c:pt idx="17">
                  <c:v>0.7013015873015872</c:v>
                </c:pt>
                <c:pt idx="18">
                  <c:v>0.70510158730158723</c:v>
                </c:pt>
                <c:pt idx="19">
                  <c:v>0.70710158730158723</c:v>
                </c:pt>
                <c:pt idx="20">
                  <c:v>0.72310158730158725</c:v>
                </c:pt>
                <c:pt idx="21">
                  <c:v>0.71410158730158724</c:v>
                </c:pt>
                <c:pt idx="22">
                  <c:v>0.71310158730158724</c:v>
                </c:pt>
                <c:pt idx="23">
                  <c:v>0.72790158730158716</c:v>
                </c:pt>
                <c:pt idx="24">
                  <c:v>0.72110158730158724</c:v>
                </c:pt>
                <c:pt idx="25">
                  <c:v>0.72880158730158717</c:v>
                </c:pt>
                <c:pt idx="26">
                  <c:v>0.73430158730158723</c:v>
                </c:pt>
                <c:pt idx="27">
                  <c:v>0.73420158730158724</c:v>
                </c:pt>
                <c:pt idx="28">
                  <c:v>0.74720158730158714</c:v>
                </c:pt>
                <c:pt idx="29">
                  <c:v>0.74260158730158721</c:v>
                </c:pt>
                <c:pt idx="30">
                  <c:v>0.73110158730158714</c:v>
                </c:pt>
                <c:pt idx="31">
                  <c:v>0.7437015873015872</c:v>
                </c:pt>
                <c:pt idx="32">
                  <c:v>0.73450158730158721</c:v>
                </c:pt>
                <c:pt idx="33">
                  <c:v>0.73070158730158719</c:v>
                </c:pt>
                <c:pt idx="34">
                  <c:v>0.7386015873015872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6A-C243-AF44-F9D65CE92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740416"/>
        <c:axId val="2088718832"/>
      </c:lineChart>
      <c:catAx>
        <c:axId val="208874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88718832"/>
        <c:crosses val="autoZero"/>
        <c:auto val="1"/>
        <c:lblAlgn val="ctr"/>
        <c:lblOffset val="100"/>
        <c:noMultiLvlLbl val="0"/>
      </c:catAx>
      <c:valAx>
        <c:axId val="208871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8874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'!$L$3:$L$37</c:f>
              <c:numCache>
                <c:formatCode>General</c:formatCode>
                <c:ptCount val="35"/>
                <c:pt idx="0">
                  <c:v>7.2015873015872089E-3</c:v>
                </c:pt>
                <c:pt idx="1">
                  <c:v>5.30158730158721E-3</c:v>
                </c:pt>
                <c:pt idx="2">
                  <c:v>5.9015873015872133E-3</c:v>
                </c:pt>
                <c:pt idx="3">
                  <c:v>8.5015873015872045E-3</c:v>
                </c:pt>
                <c:pt idx="4">
                  <c:v>1.2901587301587206E-2</c:v>
                </c:pt>
                <c:pt idx="5">
                  <c:v>2.0001587301587215E-2</c:v>
                </c:pt>
                <c:pt idx="6">
                  <c:v>3.1501587301587211E-2</c:v>
                </c:pt>
                <c:pt idx="7">
                  <c:v>5.3501587301587203E-2</c:v>
                </c:pt>
                <c:pt idx="8">
                  <c:v>8.9201587301587212E-2</c:v>
                </c:pt>
                <c:pt idx="9">
                  <c:v>0.1464015873015872</c:v>
                </c:pt>
                <c:pt idx="10">
                  <c:v>0.23700158730158721</c:v>
                </c:pt>
                <c:pt idx="11">
                  <c:v>0.30270158730158719</c:v>
                </c:pt>
                <c:pt idx="12">
                  <c:v>0.40370158730158723</c:v>
                </c:pt>
                <c:pt idx="13">
                  <c:v>0.50120158730158715</c:v>
                </c:pt>
                <c:pt idx="14">
                  <c:v>0.57410158730158722</c:v>
                </c:pt>
                <c:pt idx="15">
                  <c:v>0.62300158730158717</c:v>
                </c:pt>
                <c:pt idx="16">
                  <c:v>0.6499015873015872</c:v>
                </c:pt>
                <c:pt idx="17">
                  <c:v>0.66840158730158716</c:v>
                </c:pt>
                <c:pt idx="18">
                  <c:v>0.67230158730158718</c:v>
                </c:pt>
                <c:pt idx="19">
                  <c:v>0.67120158730158719</c:v>
                </c:pt>
                <c:pt idx="20">
                  <c:v>0.67490158730158722</c:v>
                </c:pt>
                <c:pt idx="21">
                  <c:v>0.67620158730158719</c:v>
                </c:pt>
                <c:pt idx="22">
                  <c:v>0.67760158730158715</c:v>
                </c:pt>
                <c:pt idx="23">
                  <c:v>0.68830158730158719</c:v>
                </c:pt>
                <c:pt idx="24">
                  <c:v>0.68670158730158715</c:v>
                </c:pt>
                <c:pt idx="25">
                  <c:v>0.68350158730158717</c:v>
                </c:pt>
                <c:pt idx="26">
                  <c:v>0.68660158730158716</c:v>
                </c:pt>
                <c:pt idx="27">
                  <c:v>0.69030158730158719</c:v>
                </c:pt>
                <c:pt idx="28">
                  <c:v>0.69160158730158716</c:v>
                </c:pt>
                <c:pt idx="29">
                  <c:v>0.68650158730158717</c:v>
                </c:pt>
                <c:pt idx="30">
                  <c:v>0.68870158730158715</c:v>
                </c:pt>
                <c:pt idx="31">
                  <c:v>0.6892015873015872</c:v>
                </c:pt>
                <c:pt idx="32">
                  <c:v>0.68650158730158717</c:v>
                </c:pt>
                <c:pt idx="33">
                  <c:v>0.6892015873015872</c:v>
                </c:pt>
                <c:pt idx="34">
                  <c:v>0.6842015873015872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88-E949-821D-F62B452ED78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'!$AV$3:$AV$37</c:f>
              <c:numCache>
                <c:formatCode>General</c:formatCode>
                <c:ptCount val="35"/>
                <c:pt idx="0">
                  <c:v>1.3701587301587215E-2</c:v>
                </c:pt>
                <c:pt idx="1">
                  <c:v>5.7015873015872076E-3</c:v>
                </c:pt>
                <c:pt idx="2">
                  <c:v>6.3015873015872109E-3</c:v>
                </c:pt>
                <c:pt idx="3">
                  <c:v>9.001587301587205E-3</c:v>
                </c:pt>
                <c:pt idx="4">
                  <c:v>1.4601587301587213E-2</c:v>
                </c:pt>
                <c:pt idx="5">
                  <c:v>2.2201587301587208E-2</c:v>
                </c:pt>
                <c:pt idx="6">
                  <c:v>3.4601587301587203E-2</c:v>
                </c:pt>
                <c:pt idx="7">
                  <c:v>5.68015873015872E-2</c:v>
                </c:pt>
                <c:pt idx="8">
                  <c:v>9.3101587301587199E-2</c:v>
                </c:pt>
                <c:pt idx="9">
                  <c:v>0.14980158730158721</c:v>
                </c:pt>
                <c:pt idx="10">
                  <c:v>0.24560158730158721</c:v>
                </c:pt>
                <c:pt idx="11">
                  <c:v>0.31400158730158717</c:v>
                </c:pt>
                <c:pt idx="12">
                  <c:v>0.41030158730158717</c:v>
                </c:pt>
                <c:pt idx="13">
                  <c:v>0.51300158730158718</c:v>
                </c:pt>
                <c:pt idx="14">
                  <c:v>0.58950158730158719</c:v>
                </c:pt>
                <c:pt idx="15">
                  <c:v>0.63530158730158715</c:v>
                </c:pt>
                <c:pt idx="16">
                  <c:v>0.66310158730158719</c:v>
                </c:pt>
                <c:pt idx="17">
                  <c:v>0.66770158730158724</c:v>
                </c:pt>
                <c:pt idx="18">
                  <c:v>0.67810158730158721</c:v>
                </c:pt>
                <c:pt idx="19">
                  <c:v>0.68590158730158723</c:v>
                </c:pt>
                <c:pt idx="20">
                  <c:v>0.69320158730158721</c:v>
                </c:pt>
                <c:pt idx="21">
                  <c:v>0.69740158730158719</c:v>
                </c:pt>
                <c:pt idx="22">
                  <c:v>0.69380158730158714</c:v>
                </c:pt>
                <c:pt idx="23">
                  <c:v>0.69810158730158722</c:v>
                </c:pt>
                <c:pt idx="24">
                  <c:v>0.70040158730158719</c:v>
                </c:pt>
                <c:pt idx="25">
                  <c:v>0.70060158730158717</c:v>
                </c:pt>
                <c:pt idx="26">
                  <c:v>0.70630158730158721</c:v>
                </c:pt>
                <c:pt idx="27">
                  <c:v>0.70680158730158715</c:v>
                </c:pt>
                <c:pt idx="28">
                  <c:v>0.71680158730158716</c:v>
                </c:pt>
                <c:pt idx="29">
                  <c:v>0.71320158730158723</c:v>
                </c:pt>
                <c:pt idx="30">
                  <c:v>0.70980158730158716</c:v>
                </c:pt>
                <c:pt idx="31">
                  <c:v>0.71050158730158719</c:v>
                </c:pt>
                <c:pt idx="32">
                  <c:v>0.71370158730158717</c:v>
                </c:pt>
                <c:pt idx="33">
                  <c:v>0.71350158730158719</c:v>
                </c:pt>
                <c:pt idx="34">
                  <c:v>0.71960158730158719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88-E949-821D-F62B452ED78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'!$CF$3:$CF$37</c:f>
              <c:numCache>
                <c:formatCode>General</c:formatCode>
                <c:ptCount val="35"/>
                <c:pt idx="0">
                  <c:v>1.1801587301587202E-2</c:v>
                </c:pt>
                <c:pt idx="1">
                  <c:v>6.2015873015872081E-3</c:v>
                </c:pt>
                <c:pt idx="2">
                  <c:v>6.8015873015872114E-3</c:v>
                </c:pt>
                <c:pt idx="3">
                  <c:v>9.5015873015872054E-3</c:v>
                </c:pt>
                <c:pt idx="4">
                  <c:v>1.4101587301587212E-2</c:v>
                </c:pt>
                <c:pt idx="5">
                  <c:v>2.2001587301587203E-2</c:v>
                </c:pt>
                <c:pt idx="6">
                  <c:v>3.4101587301587202E-2</c:v>
                </c:pt>
                <c:pt idx="7">
                  <c:v>5.5001587301587204E-2</c:v>
                </c:pt>
                <c:pt idx="8">
                  <c:v>9.0101587301587197E-2</c:v>
                </c:pt>
                <c:pt idx="9">
                  <c:v>0.14680158730158721</c:v>
                </c:pt>
                <c:pt idx="10">
                  <c:v>0.2336015873015872</c:v>
                </c:pt>
                <c:pt idx="11">
                  <c:v>0.30350158730158722</c:v>
                </c:pt>
                <c:pt idx="12">
                  <c:v>0.40820158730158718</c:v>
                </c:pt>
                <c:pt idx="13">
                  <c:v>0.50330158730158714</c:v>
                </c:pt>
                <c:pt idx="14">
                  <c:v>0.58760158730158718</c:v>
                </c:pt>
                <c:pt idx="15">
                  <c:v>0.6398015873015872</c:v>
                </c:pt>
                <c:pt idx="16">
                  <c:v>0.67940158730158717</c:v>
                </c:pt>
                <c:pt idx="17">
                  <c:v>0.69570158730158715</c:v>
                </c:pt>
                <c:pt idx="18">
                  <c:v>0.71250158730158719</c:v>
                </c:pt>
                <c:pt idx="19">
                  <c:v>0.71520158730158723</c:v>
                </c:pt>
                <c:pt idx="20">
                  <c:v>0.71660158730158718</c:v>
                </c:pt>
                <c:pt idx="21">
                  <c:v>0.72160158730158719</c:v>
                </c:pt>
                <c:pt idx="22">
                  <c:v>0.7165015873015872</c:v>
                </c:pt>
                <c:pt idx="23">
                  <c:v>0.72010158730158724</c:v>
                </c:pt>
                <c:pt idx="24">
                  <c:v>0.72860158730158719</c:v>
                </c:pt>
                <c:pt idx="25">
                  <c:v>0.72370158730158718</c:v>
                </c:pt>
                <c:pt idx="26">
                  <c:v>0.72680158730158717</c:v>
                </c:pt>
                <c:pt idx="27">
                  <c:v>0.74140158730158723</c:v>
                </c:pt>
                <c:pt idx="28">
                  <c:v>0.73450158730158721</c:v>
                </c:pt>
                <c:pt idx="29">
                  <c:v>0.73650158730158721</c:v>
                </c:pt>
                <c:pt idx="30">
                  <c:v>0.73640158730158722</c:v>
                </c:pt>
                <c:pt idx="31">
                  <c:v>0.73540158730158722</c:v>
                </c:pt>
                <c:pt idx="32">
                  <c:v>0.74360158730158721</c:v>
                </c:pt>
                <c:pt idx="33">
                  <c:v>0.73640158730158722</c:v>
                </c:pt>
                <c:pt idx="34">
                  <c:v>0.74160158730158721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88-E949-821D-F62B452ED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615120"/>
        <c:axId val="2034616832"/>
      </c:lineChart>
      <c:catAx>
        <c:axId val="203461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34616832"/>
        <c:crosses val="autoZero"/>
        <c:auto val="1"/>
        <c:lblAlgn val="ctr"/>
        <c:lblOffset val="100"/>
        <c:noMultiLvlLbl val="0"/>
      </c:catAx>
      <c:valAx>
        <c:axId val="203461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3461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'!$P$3:$P$37</c:f>
              <c:numCache>
                <c:formatCode>General</c:formatCode>
                <c:ptCount val="35"/>
                <c:pt idx="0">
                  <c:v>5.5015873015872019E-3</c:v>
                </c:pt>
                <c:pt idx="1">
                  <c:v>5.7015873015872076E-3</c:v>
                </c:pt>
                <c:pt idx="2">
                  <c:v>6.7015873015872085E-3</c:v>
                </c:pt>
                <c:pt idx="3">
                  <c:v>1.0101587301587209E-2</c:v>
                </c:pt>
                <c:pt idx="4">
                  <c:v>1.4901587301587207E-2</c:v>
                </c:pt>
                <c:pt idx="5">
                  <c:v>2.370158730158721E-2</c:v>
                </c:pt>
                <c:pt idx="6">
                  <c:v>3.8601587301587206E-2</c:v>
                </c:pt>
                <c:pt idx="7">
                  <c:v>6.4201587301587218E-2</c:v>
                </c:pt>
                <c:pt idx="8">
                  <c:v>0.10710158730158721</c:v>
                </c:pt>
                <c:pt idx="9">
                  <c:v>0.17700158730158722</c:v>
                </c:pt>
                <c:pt idx="10">
                  <c:v>0.25890158730158719</c:v>
                </c:pt>
                <c:pt idx="11">
                  <c:v>0.3475015873015872</c:v>
                </c:pt>
                <c:pt idx="12">
                  <c:v>0.44660158730158717</c:v>
                </c:pt>
                <c:pt idx="13">
                  <c:v>0.54140158730158716</c:v>
                </c:pt>
                <c:pt idx="14">
                  <c:v>0.6106015873015872</c:v>
                </c:pt>
                <c:pt idx="15">
                  <c:v>0.64800158730158719</c:v>
                </c:pt>
                <c:pt idx="16">
                  <c:v>0.67650158730158716</c:v>
                </c:pt>
                <c:pt idx="17">
                  <c:v>0.68760158730158716</c:v>
                </c:pt>
                <c:pt idx="18">
                  <c:v>0.69520158730158721</c:v>
                </c:pt>
                <c:pt idx="19">
                  <c:v>0.69990158730158725</c:v>
                </c:pt>
                <c:pt idx="20">
                  <c:v>0.69770158730158716</c:v>
                </c:pt>
                <c:pt idx="21">
                  <c:v>0.70750158730158719</c:v>
                </c:pt>
                <c:pt idx="22">
                  <c:v>0.7074015873015872</c:v>
                </c:pt>
                <c:pt idx="23">
                  <c:v>0.70790158730158714</c:v>
                </c:pt>
                <c:pt idx="24">
                  <c:v>0.7104015873015872</c:v>
                </c:pt>
                <c:pt idx="25">
                  <c:v>0.70790158730158714</c:v>
                </c:pt>
                <c:pt idx="26">
                  <c:v>0.70890158730158714</c:v>
                </c:pt>
                <c:pt idx="27">
                  <c:v>0.71150158730158719</c:v>
                </c:pt>
                <c:pt idx="28">
                  <c:v>0.71460158730158718</c:v>
                </c:pt>
                <c:pt idx="29">
                  <c:v>0.71070158730158717</c:v>
                </c:pt>
                <c:pt idx="30">
                  <c:v>0.71590158730158715</c:v>
                </c:pt>
                <c:pt idx="31">
                  <c:v>0.71250158730158719</c:v>
                </c:pt>
                <c:pt idx="32">
                  <c:v>0.71520158730158723</c:v>
                </c:pt>
                <c:pt idx="33">
                  <c:v>0.71300158730158725</c:v>
                </c:pt>
                <c:pt idx="34">
                  <c:v>0.71160158730158718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77-B448-855A-B11388988E9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'!$AZ$3:$AZ$37</c:f>
              <c:numCache>
                <c:formatCode>General</c:formatCode>
                <c:ptCount val="35"/>
                <c:pt idx="0">
                  <c:v>1.6701587301587204E-2</c:v>
                </c:pt>
                <c:pt idx="1">
                  <c:v>6.0015873015872023E-3</c:v>
                </c:pt>
                <c:pt idx="2">
                  <c:v>6.7015873015872085E-3</c:v>
                </c:pt>
                <c:pt idx="3">
                  <c:v>9.801587301587214E-3</c:v>
                </c:pt>
                <c:pt idx="4">
                  <c:v>1.5701587301587203E-2</c:v>
                </c:pt>
                <c:pt idx="5">
                  <c:v>2.4301587301587213E-2</c:v>
                </c:pt>
                <c:pt idx="6">
                  <c:v>3.8401587301587201E-2</c:v>
                </c:pt>
                <c:pt idx="7">
                  <c:v>6.4301587301587207E-2</c:v>
                </c:pt>
                <c:pt idx="8">
                  <c:v>0.10630158730158722</c:v>
                </c:pt>
                <c:pt idx="9">
                  <c:v>0.16970158730158719</c:v>
                </c:pt>
                <c:pt idx="10">
                  <c:v>0.2623015873015872</c:v>
                </c:pt>
                <c:pt idx="11">
                  <c:v>0.34890158730158721</c:v>
                </c:pt>
                <c:pt idx="12">
                  <c:v>0.44800158730158723</c:v>
                </c:pt>
                <c:pt idx="13">
                  <c:v>0.55050158730158716</c:v>
                </c:pt>
                <c:pt idx="14">
                  <c:v>0.61920158730158714</c:v>
                </c:pt>
                <c:pt idx="15">
                  <c:v>0.65960158730158724</c:v>
                </c:pt>
                <c:pt idx="16">
                  <c:v>0.69410158730158722</c:v>
                </c:pt>
                <c:pt idx="17">
                  <c:v>0.70050158730158718</c:v>
                </c:pt>
                <c:pt idx="18">
                  <c:v>0.71360158730158718</c:v>
                </c:pt>
                <c:pt idx="19">
                  <c:v>0.72010158730158724</c:v>
                </c:pt>
                <c:pt idx="20">
                  <c:v>0.72620158730158724</c:v>
                </c:pt>
                <c:pt idx="21">
                  <c:v>0.73080158730158717</c:v>
                </c:pt>
                <c:pt idx="22">
                  <c:v>0.72440158730158721</c:v>
                </c:pt>
                <c:pt idx="23">
                  <c:v>0.72780158730158717</c:v>
                </c:pt>
                <c:pt idx="24">
                  <c:v>0.73290158730158717</c:v>
                </c:pt>
                <c:pt idx="25">
                  <c:v>0.72990158730158716</c:v>
                </c:pt>
                <c:pt idx="26">
                  <c:v>0.73430158730158723</c:v>
                </c:pt>
                <c:pt idx="27">
                  <c:v>0.73680158730158718</c:v>
                </c:pt>
                <c:pt idx="28">
                  <c:v>0.74510158730158715</c:v>
                </c:pt>
                <c:pt idx="29">
                  <c:v>0.73730158730158724</c:v>
                </c:pt>
                <c:pt idx="30">
                  <c:v>0.73610158730158715</c:v>
                </c:pt>
                <c:pt idx="31">
                  <c:v>0.73280158730158718</c:v>
                </c:pt>
                <c:pt idx="32">
                  <c:v>0.74120158730158714</c:v>
                </c:pt>
                <c:pt idx="33">
                  <c:v>0.74060158730158721</c:v>
                </c:pt>
                <c:pt idx="34">
                  <c:v>0.7376015873015872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77-B448-855A-B11388988E9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'!$CJ$3:$CJ$37</c:f>
              <c:numCache>
                <c:formatCode>General</c:formatCode>
                <c:ptCount val="35"/>
                <c:pt idx="0">
                  <c:v>1.0801587301587215E-2</c:v>
                </c:pt>
                <c:pt idx="1">
                  <c:v>6.2015873015872081E-3</c:v>
                </c:pt>
                <c:pt idx="2">
                  <c:v>6.9015873015872142E-3</c:v>
                </c:pt>
                <c:pt idx="3">
                  <c:v>9.801587301587214E-3</c:v>
                </c:pt>
                <c:pt idx="4">
                  <c:v>1.5601587301587214E-2</c:v>
                </c:pt>
                <c:pt idx="5">
                  <c:v>2.4401587301587202E-2</c:v>
                </c:pt>
                <c:pt idx="6">
                  <c:v>3.9001587301587218E-2</c:v>
                </c:pt>
                <c:pt idx="7">
                  <c:v>6.2901587301587195E-2</c:v>
                </c:pt>
                <c:pt idx="8">
                  <c:v>0.10590158730158721</c:v>
                </c:pt>
                <c:pt idx="9">
                  <c:v>0.16890158730158722</c:v>
                </c:pt>
                <c:pt idx="10">
                  <c:v>0.27070158730158722</c:v>
                </c:pt>
                <c:pt idx="11">
                  <c:v>0.35210158730158719</c:v>
                </c:pt>
                <c:pt idx="12">
                  <c:v>0.45630158730158721</c:v>
                </c:pt>
                <c:pt idx="13">
                  <c:v>0.55650158730158716</c:v>
                </c:pt>
                <c:pt idx="14">
                  <c:v>0.63610158730158717</c:v>
                </c:pt>
                <c:pt idx="15">
                  <c:v>0.67760158730158715</c:v>
                </c:pt>
                <c:pt idx="16">
                  <c:v>0.71290158730158715</c:v>
                </c:pt>
                <c:pt idx="17">
                  <c:v>0.73090158730158716</c:v>
                </c:pt>
                <c:pt idx="18">
                  <c:v>0.73980158730158718</c:v>
                </c:pt>
                <c:pt idx="19">
                  <c:v>0.74230158730158724</c:v>
                </c:pt>
                <c:pt idx="20">
                  <c:v>0.75110158730158716</c:v>
                </c:pt>
                <c:pt idx="21">
                  <c:v>0.7487015873015872</c:v>
                </c:pt>
                <c:pt idx="22">
                  <c:v>0.74810158730158716</c:v>
                </c:pt>
                <c:pt idx="23">
                  <c:v>0.75810158730158717</c:v>
                </c:pt>
                <c:pt idx="24">
                  <c:v>0.75660158730158722</c:v>
                </c:pt>
                <c:pt idx="25">
                  <c:v>0.76130158730158715</c:v>
                </c:pt>
                <c:pt idx="26">
                  <c:v>0.76370158730158721</c:v>
                </c:pt>
                <c:pt idx="27">
                  <c:v>0.76760158730158723</c:v>
                </c:pt>
                <c:pt idx="28">
                  <c:v>0.76650158730158724</c:v>
                </c:pt>
                <c:pt idx="29">
                  <c:v>0.76930158730158715</c:v>
                </c:pt>
                <c:pt idx="30">
                  <c:v>0.76910158730158718</c:v>
                </c:pt>
                <c:pt idx="31">
                  <c:v>0.76950158730158724</c:v>
                </c:pt>
                <c:pt idx="32">
                  <c:v>0.76460158730158723</c:v>
                </c:pt>
                <c:pt idx="33">
                  <c:v>0.7638015873015872</c:v>
                </c:pt>
                <c:pt idx="34">
                  <c:v>0.77300158730158719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77-B448-855A-B11388988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597456"/>
        <c:axId val="2034599168"/>
      </c:lineChart>
      <c:catAx>
        <c:axId val="203459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34599168"/>
        <c:crosses val="autoZero"/>
        <c:auto val="1"/>
        <c:lblAlgn val="ctr"/>
        <c:lblOffset val="100"/>
        <c:noMultiLvlLbl val="0"/>
      </c:catAx>
      <c:valAx>
        <c:axId val="203459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3459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'!$T$3:$T$37</c:f>
              <c:numCache>
                <c:formatCode>General</c:formatCode>
                <c:ptCount val="35"/>
                <c:pt idx="0">
                  <c:v>7.4015873015872147E-3</c:v>
                </c:pt>
                <c:pt idx="1">
                  <c:v>5.1015873015872043E-3</c:v>
                </c:pt>
                <c:pt idx="2">
                  <c:v>5.5015873015872019E-3</c:v>
                </c:pt>
                <c:pt idx="3">
                  <c:v>7.8015873015872123E-3</c:v>
                </c:pt>
                <c:pt idx="4">
                  <c:v>1.160158730158721E-2</c:v>
                </c:pt>
                <c:pt idx="5">
                  <c:v>1.8201587301587205E-2</c:v>
                </c:pt>
                <c:pt idx="6">
                  <c:v>2.890158730158722E-2</c:v>
                </c:pt>
                <c:pt idx="7">
                  <c:v>4.730158730158722E-2</c:v>
                </c:pt>
                <c:pt idx="8">
                  <c:v>7.8901587301587209E-2</c:v>
                </c:pt>
                <c:pt idx="9">
                  <c:v>0.12530158730158719</c:v>
                </c:pt>
                <c:pt idx="10">
                  <c:v>0.19960158730158717</c:v>
                </c:pt>
                <c:pt idx="11">
                  <c:v>0.27610158730158718</c:v>
                </c:pt>
                <c:pt idx="12">
                  <c:v>0.37400158730158717</c:v>
                </c:pt>
                <c:pt idx="13">
                  <c:v>0.47700158730158715</c:v>
                </c:pt>
                <c:pt idx="14">
                  <c:v>0.56800158730158723</c:v>
                </c:pt>
                <c:pt idx="15">
                  <c:v>0.62540158730158724</c:v>
                </c:pt>
                <c:pt idx="16">
                  <c:v>0.66560158730158714</c:v>
                </c:pt>
                <c:pt idx="17">
                  <c:v>0.69370158730158715</c:v>
                </c:pt>
                <c:pt idx="18">
                  <c:v>0.70490158730158714</c:v>
                </c:pt>
                <c:pt idx="19">
                  <c:v>0.71370158730158717</c:v>
                </c:pt>
                <c:pt idx="20">
                  <c:v>0.71600158730158714</c:v>
                </c:pt>
                <c:pt idx="21">
                  <c:v>0.72140158730158721</c:v>
                </c:pt>
                <c:pt idx="22">
                  <c:v>0.71870158730158717</c:v>
                </c:pt>
                <c:pt idx="23">
                  <c:v>0.72330158730158722</c:v>
                </c:pt>
                <c:pt idx="24">
                  <c:v>0.72580158730158717</c:v>
                </c:pt>
                <c:pt idx="25">
                  <c:v>0.72300158730158715</c:v>
                </c:pt>
                <c:pt idx="26">
                  <c:v>0.72580158730158717</c:v>
                </c:pt>
                <c:pt idx="27">
                  <c:v>0.7306015873015872</c:v>
                </c:pt>
                <c:pt idx="28">
                  <c:v>0.72730158730158723</c:v>
                </c:pt>
                <c:pt idx="29">
                  <c:v>0.72760158730158719</c:v>
                </c:pt>
                <c:pt idx="30">
                  <c:v>0.73050158730158721</c:v>
                </c:pt>
                <c:pt idx="31">
                  <c:v>0.7296015873015872</c:v>
                </c:pt>
                <c:pt idx="32">
                  <c:v>0.7296015873015872</c:v>
                </c:pt>
                <c:pt idx="33">
                  <c:v>0.72760158730158719</c:v>
                </c:pt>
                <c:pt idx="34">
                  <c:v>0.72630158730158723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A8-CC4C-8422-4FBB6F42FFB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'!$BD$3:$BD$37</c:f>
              <c:numCache>
                <c:formatCode>General</c:formatCode>
                <c:ptCount val="35"/>
                <c:pt idx="0">
                  <c:v>1.4201587301587201E-2</c:v>
                </c:pt>
                <c:pt idx="1">
                  <c:v>5.6015873015872047E-3</c:v>
                </c:pt>
                <c:pt idx="2">
                  <c:v>5.8015873015872105E-3</c:v>
                </c:pt>
                <c:pt idx="3">
                  <c:v>8.5015873015872045E-3</c:v>
                </c:pt>
                <c:pt idx="4">
                  <c:v>1.3001587301587209E-2</c:v>
                </c:pt>
                <c:pt idx="5">
                  <c:v>2.0101587301587204E-2</c:v>
                </c:pt>
                <c:pt idx="6">
                  <c:v>2.9901587301587221E-2</c:v>
                </c:pt>
                <c:pt idx="7">
                  <c:v>4.8501587301587198E-2</c:v>
                </c:pt>
                <c:pt idx="8">
                  <c:v>7.9001587301587198E-2</c:v>
                </c:pt>
                <c:pt idx="9">
                  <c:v>0.12350158730158721</c:v>
                </c:pt>
                <c:pt idx="10">
                  <c:v>0.1958015873015872</c:v>
                </c:pt>
                <c:pt idx="11">
                  <c:v>0.27680158730158722</c:v>
                </c:pt>
                <c:pt idx="12">
                  <c:v>0.37260158730158721</c:v>
                </c:pt>
                <c:pt idx="13">
                  <c:v>0.48020158730158724</c:v>
                </c:pt>
                <c:pt idx="14">
                  <c:v>0.57450158730158718</c:v>
                </c:pt>
                <c:pt idx="15">
                  <c:v>0.63670158730158721</c:v>
                </c:pt>
                <c:pt idx="16">
                  <c:v>0.67980158730158724</c:v>
                </c:pt>
                <c:pt idx="17">
                  <c:v>0.70380158730158715</c:v>
                </c:pt>
                <c:pt idx="18">
                  <c:v>0.71810158730158724</c:v>
                </c:pt>
                <c:pt idx="19">
                  <c:v>0.72950158730158721</c:v>
                </c:pt>
                <c:pt idx="20">
                  <c:v>0.73790158730158717</c:v>
                </c:pt>
                <c:pt idx="21">
                  <c:v>0.74500158730158716</c:v>
                </c:pt>
                <c:pt idx="22">
                  <c:v>0.73800158730158716</c:v>
                </c:pt>
                <c:pt idx="23">
                  <c:v>0.74230158730158724</c:v>
                </c:pt>
                <c:pt idx="24">
                  <c:v>0.74600158730158717</c:v>
                </c:pt>
                <c:pt idx="25">
                  <c:v>0.74280158730158719</c:v>
                </c:pt>
                <c:pt idx="26">
                  <c:v>0.74850158730158722</c:v>
                </c:pt>
                <c:pt idx="27">
                  <c:v>0.74700158730158717</c:v>
                </c:pt>
                <c:pt idx="28">
                  <c:v>0.75350158730158723</c:v>
                </c:pt>
                <c:pt idx="29">
                  <c:v>0.7507015873015872</c:v>
                </c:pt>
                <c:pt idx="30">
                  <c:v>0.75230158730158725</c:v>
                </c:pt>
                <c:pt idx="31">
                  <c:v>0.74660158730158721</c:v>
                </c:pt>
                <c:pt idx="32">
                  <c:v>0.75650158730158723</c:v>
                </c:pt>
                <c:pt idx="33">
                  <c:v>0.75310158730158716</c:v>
                </c:pt>
                <c:pt idx="34">
                  <c:v>0.75090158730158718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A8-CC4C-8422-4FBB6F42FFB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'!$CN$3:$CN$37</c:f>
              <c:numCache>
                <c:formatCode>General</c:formatCode>
                <c:ptCount val="35"/>
                <c:pt idx="0">
                  <c:v>1.1801587301587202E-2</c:v>
                </c:pt>
                <c:pt idx="1">
                  <c:v>5.6015873015872047E-3</c:v>
                </c:pt>
                <c:pt idx="2">
                  <c:v>6.4015873015872138E-3</c:v>
                </c:pt>
                <c:pt idx="3">
                  <c:v>8.5015873015872045E-3</c:v>
                </c:pt>
                <c:pt idx="4">
                  <c:v>1.2701587301587214E-2</c:v>
                </c:pt>
                <c:pt idx="5">
                  <c:v>2.0101587301587204E-2</c:v>
                </c:pt>
                <c:pt idx="6">
                  <c:v>3.0801587301587205E-2</c:v>
                </c:pt>
                <c:pt idx="7">
                  <c:v>4.8601587301587215E-2</c:v>
                </c:pt>
                <c:pt idx="8">
                  <c:v>7.9601587301587215E-2</c:v>
                </c:pt>
                <c:pt idx="9">
                  <c:v>0.12390158730158722</c:v>
                </c:pt>
                <c:pt idx="10">
                  <c:v>0.19610158730158722</c:v>
                </c:pt>
                <c:pt idx="11">
                  <c:v>0.28620158730158718</c:v>
                </c:pt>
                <c:pt idx="12">
                  <c:v>0.38260158730158722</c:v>
                </c:pt>
                <c:pt idx="13">
                  <c:v>0.48740158730158722</c:v>
                </c:pt>
                <c:pt idx="14">
                  <c:v>0.58810158730158724</c:v>
                </c:pt>
                <c:pt idx="15">
                  <c:v>0.65270158730158723</c:v>
                </c:pt>
                <c:pt idx="16">
                  <c:v>0.69790158730158725</c:v>
                </c:pt>
                <c:pt idx="17">
                  <c:v>0.73310158730158714</c:v>
                </c:pt>
                <c:pt idx="18">
                  <c:v>0.74450158730158722</c:v>
                </c:pt>
                <c:pt idx="19">
                  <c:v>0.75990158730158719</c:v>
                </c:pt>
                <c:pt idx="20">
                  <c:v>0.75870158730158721</c:v>
                </c:pt>
                <c:pt idx="21">
                  <c:v>0.76920158730158716</c:v>
                </c:pt>
                <c:pt idx="22">
                  <c:v>0.76260158730158722</c:v>
                </c:pt>
                <c:pt idx="23">
                  <c:v>0.76420158730158716</c:v>
                </c:pt>
                <c:pt idx="24">
                  <c:v>0.76950158730158724</c:v>
                </c:pt>
                <c:pt idx="25">
                  <c:v>0.76850158730158724</c:v>
                </c:pt>
                <c:pt idx="26">
                  <c:v>0.76250158730158724</c:v>
                </c:pt>
                <c:pt idx="27">
                  <c:v>0.7709015873015872</c:v>
                </c:pt>
                <c:pt idx="28">
                  <c:v>0.76550158730158724</c:v>
                </c:pt>
                <c:pt idx="29">
                  <c:v>0.77080158730158721</c:v>
                </c:pt>
                <c:pt idx="30">
                  <c:v>0.77340158730158715</c:v>
                </c:pt>
                <c:pt idx="31">
                  <c:v>0.76970158730158722</c:v>
                </c:pt>
                <c:pt idx="32">
                  <c:v>0.77510158730158718</c:v>
                </c:pt>
                <c:pt idx="33">
                  <c:v>0.77080158730158721</c:v>
                </c:pt>
                <c:pt idx="34">
                  <c:v>0.7719015873015872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A8-CC4C-8422-4FBB6F42F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770368"/>
        <c:axId val="2034787216"/>
      </c:lineChart>
      <c:catAx>
        <c:axId val="203477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34787216"/>
        <c:crosses val="autoZero"/>
        <c:auto val="1"/>
        <c:lblAlgn val="ctr"/>
        <c:lblOffset val="100"/>
        <c:noMultiLvlLbl val="0"/>
      </c:catAx>
      <c:valAx>
        <c:axId val="203478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3477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'!$X$3:$X$37</c:f>
              <c:numCache>
                <c:formatCode>General</c:formatCode>
                <c:ptCount val="35"/>
                <c:pt idx="0">
                  <c:v>7.7015873015872094E-3</c:v>
                </c:pt>
                <c:pt idx="1">
                  <c:v>6.0015873015872023E-3</c:v>
                </c:pt>
                <c:pt idx="2">
                  <c:v>6.8015873015872114E-3</c:v>
                </c:pt>
                <c:pt idx="3">
                  <c:v>9.4015873015872026E-3</c:v>
                </c:pt>
                <c:pt idx="4">
                  <c:v>1.4601587301587213E-2</c:v>
                </c:pt>
                <c:pt idx="5">
                  <c:v>2.2701587301587209E-2</c:v>
                </c:pt>
                <c:pt idx="6">
                  <c:v>3.6101587301587204E-2</c:v>
                </c:pt>
                <c:pt idx="7">
                  <c:v>5.8301587301587202E-2</c:v>
                </c:pt>
                <c:pt idx="8">
                  <c:v>9.6301587301587208E-2</c:v>
                </c:pt>
                <c:pt idx="9">
                  <c:v>0.14860158730158723</c:v>
                </c:pt>
                <c:pt idx="10">
                  <c:v>0.23680158730158718</c:v>
                </c:pt>
                <c:pt idx="11">
                  <c:v>0.31460158730158722</c:v>
                </c:pt>
                <c:pt idx="12">
                  <c:v>0.40890158730158721</c:v>
                </c:pt>
                <c:pt idx="13">
                  <c:v>0.50700158730158718</c:v>
                </c:pt>
                <c:pt idx="14">
                  <c:v>0.58660158730158718</c:v>
                </c:pt>
                <c:pt idx="15">
                  <c:v>0.63790158730158719</c:v>
                </c:pt>
                <c:pt idx="16">
                  <c:v>0.67260158730158714</c:v>
                </c:pt>
                <c:pt idx="17">
                  <c:v>0.69450158730158718</c:v>
                </c:pt>
                <c:pt idx="18">
                  <c:v>0.7074015873015872</c:v>
                </c:pt>
                <c:pt idx="19">
                  <c:v>0.71840158730158721</c:v>
                </c:pt>
                <c:pt idx="20">
                  <c:v>0.71770158730158717</c:v>
                </c:pt>
                <c:pt idx="21">
                  <c:v>0.72410158730158725</c:v>
                </c:pt>
                <c:pt idx="22">
                  <c:v>0.72030158730158722</c:v>
                </c:pt>
                <c:pt idx="23">
                  <c:v>0.72680158730158717</c:v>
                </c:pt>
                <c:pt idx="24">
                  <c:v>0.72840158730158722</c:v>
                </c:pt>
                <c:pt idx="25">
                  <c:v>0.72840158730158722</c:v>
                </c:pt>
                <c:pt idx="26">
                  <c:v>0.73180158730158718</c:v>
                </c:pt>
                <c:pt idx="27">
                  <c:v>0.73590158730158717</c:v>
                </c:pt>
                <c:pt idx="28">
                  <c:v>0.73430158730158723</c:v>
                </c:pt>
                <c:pt idx="29">
                  <c:v>0.73580158730158718</c:v>
                </c:pt>
                <c:pt idx="30">
                  <c:v>0.74450158730158722</c:v>
                </c:pt>
                <c:pt idx="31">
                  <c:v>0.73980158730158718</c:v>
                </c:pt>
                <c:pt idx="32">
                  <c:v>0.74680158730158719</c:v>
                </c:pt>
                <c:pt idx="33">
                  <c:v>0.74520158730158714</c:v>
                </c:pt>
                <c:pt idx="34">
                  <c:v>0.74050158730158722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AE-354B-99DD-C4EC6D08D08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'!$BH$3:$BH$37</c:f>
              <c:numCache>
                <c:formatCode>General</c:formatCode>
                <c:ptCount val="35"/>
                <c:pt idx="0">
                  <c:v>1.4101587301587212E-2</c:v>
                </c:pt>
                <c:pt idx="1">
                  <c:v>7.4015873015872147E-3</c:v>
                </c:pt>
                <c:pt idx="2">
                  <c:v>7.5015873015872037E-3</c:v>
                </c:pt>
                <c:pt idx="3">
                  <c:v>9.7015873015872112E-3</c:v>
                </c:pt>
                <c:pt idx="4">
                  <c:v>1.4801587301587205E-2</c:v>
                </c:pt>
                <c:pt idx="5">
                  <c:v>2.1901587301587214E-2</c:v>
                </c:pt>
                <c:pt idx="6">
                  <c:v>3.3201587301587218E-2</c:v>
                </c:pt>
                <c:pt idx="7">
                  <c:v>5.3801587301587198E-2</c:v>
                </c:pt>
                <c:pt idx="8">
                  <c:v>8.6301587301587199E-2</c:v>
                </c:pt>
                <c:pt idx="9">
                  <c:v>0.13520158730158721</c:v>
                </c:pt>
                <c:pt idx="10">
                  <c:v>0.21380158730158721</c:v>
                </c:pt>
                <c:pt idx="11">
                  <c:v>0.29780158730158718</c:v>
                </c:pt>
                <c:pt idx="12">
                  <c:v>0.3989015873015872</c:v>
                </c:pt>
                <c:pt idx="13">
                  <c:v>0.50720158730158715</c:v>
                </c:pt>
                <c:pt idx="14">
                  <c:v>0.59560158730158719</c:v>
                </c:pt>
                <c:pt idx="15">
                  <c:v>0.65420158730158717</c:v>
                </c:pt>
                <c:pt idx="16">
                  <c:v>0.6963015873015872</c:v>
                </c:pt>
                <c:pt idx="17">
                  <c:v>0.72030158730158722</c:v>
                </c:pt>
                <c:pt idx="18">
                  <c:v>0.73510158730158714</c:v>
                </c:pt>
                <c:pt idx="19">
                  <c:v>0.74910158730158716</c:v>
                </c:pt>
                <c:pt idx="20">
                  <c:v>0.75470158730158721</c:v>
                </c:pt>
                <c:pt idx="21">
                  <c:v>0.76010158730158717</c:v>
                </c:pt>
                <c:pt idx="22">
                  <c:v>0.75800158730158718</c:v>
                </c:pt>
                <c:pt idx="23">
                  <c:v>0.75600158730158717</c:v>
                </c:pt>
                <c:pt idx="24">
                  <c:v>0.76170158730158721</c:v>
                </c:pt>
                <c:pt idx="25">
                  <c:v>0.75900158730158718</c:v>
                </c:pt>
                <c:pt idx="26">
                  <c:v>0.76660158730158723</c:v>
                </c:pt>
                <c:pt idx="27">
                  <c:v>0.76320158730158716</c:v>
                </c:pt>
                <c:pt idx="28">
                  <c:v>0.76820158730158716</c:v>
                </c:pt>
                <c:pt idx="29">
                  <c:v>0.76540158730158725</c:v>
                </c:pt>
                <c:pt idx="30">
                  <c:v>0.76860158730158723</c:v>
                </c:pt>
                <c:pt idx="31">
                  <c:v>0.76150158730158723</c:v>
                </c:pt>
                <c:pt idx="32">
                  <c:v>0.77330158730158716</c:v>
                </c:pt>
                <c:pt idx="33">
                  <c:v>0.76820158730158716</c:v>
                </c:pt>
                <c:pt idx="34">
                  <c:v>0.76680158730158721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AE-354B-99DD-C4EC6D08D08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'!$CR$3:$CR$37</c:f>
              <c:numCache>
                <c:formatCode>General</c:formatCode>
                <c:ptCount val="35"/>
                <c:pt idx="0">
                  <c:v>1.3701587301587215E-2</c:v>
                </c:pt>
                <c:pt idx="1">
                  <c:v>7.5015873015872037E-3</c:v>
                </c:pt>
                <c:pt idx="2">
                  <c:v>7.9015873015872012E-3</c:v>
                </c:pt>
                <c:pt idx="3">
                  <c:v>1.0701587301587212E-2</c:v>
                </c:pt>
                <c:pt idx="4">
                  <c:v>1.5601587301587214E-2</c:v>
                </c:pt>
                <c:pt idx="5">
                  <c:v>2.4301587301587213E-2</c:v>
                </c:pt>
                <c:pt idx="6">
                  <c:v>3.6201587301587221E-2</c:v>
                </c:pt>
                <c:pt idx="7">
                  <c:v>5.7901587301587218E-2</c:v>
                </c:pt>
                <c:pt idx="8">
                  <c:v>9.41015873015872E-2</c:v>
                </c:pt>
                <c:pt idx="9">
                  <c:v>0.1444015873015872</c:v>
                </c:pt>
                <c:pt idx="10">
                  <c:v>0.22800158730158721</c:v>
                </c:pt>
                <c:pt idx="11">
                  <c:v>0.3142015873015872</c:v>
                </c:pt>
                <c:pt idx="12">
                  <c:v>0.41690158730158722</c:v>
                </c:pt>
                <c:pt idx="13">
                  <c:v>0.52210158730158718</c:v>
                </c:pt>
                <c:pt idx="14">
                  <c:v>0.61230158730158724</c:v>
                </c:pt>
                <c:pt idx="15">
                  <c:v>0.66890158730158722</c:v>
                </c:pt>
                <c:pt idx="16">
                  <c:v>0.71060158730158718</c:v>
                </c:pt>
                <c:pt idx="17">
                  <c:v>0.74830158730158725</c:v>
                </c:pt>
                <c:pt idx="18">
                  <c:v>0.75470158730158721</c:v>
                </c:pt>
                <c:pt idx="19">
                  <c:v>0.76850158730158724</c:v>
                </c:pt>
                <c:pt idx="20">
                  <c:v>0.77140158730158714</c:v>
                </c:pt>
                <c:pt idx="21">
                  <c:v>0.77530158730158716</c:v>
                </c:pt>
                <c:pt idx="22">
                  <c:v>0.77210158730158718</c:v>
                </c:pt>
                <c:pt idx="23">
                  <c:v>0.78270158730158723</c:v>
                </c:pt>
                <c:pt idx="24">
                  <c:v>0.77960158730158724</c:v>
                </c:pt>
                <c:pt idx="25">
                  <c:v>0.79330158730158717</c:v>
                </c:pt>
                <c:pt idx="26">
                  <c:v>0.78530158730158717</c:v>
                </c:pt>
                <c:pt idx="27">
                  <c:v>0.79070158730158724</c:v>
                </c:pt>
                <c:pt idx="28">
                  <c:v>0.78620158730158718</c:v>
                </c:pt>
                <c:pt idx="29">
                  <c:v>0.79350158730158715</c:v>
                </c:pt>
                <c:pt idx="30">
                  <c:v>0.79530158730158718</c:v>
                </c:pt>
                <c:pt idx="31">
                  <c:v>0.79180158730158723</c:v>
                </c:pt>
                <c:pt idx="32">
                  <c:v>0.79090158730158722</c:v>
                </c:pt>
                <c:pt idx="33">
                  <c:v>0.79080158730158723</c:v>
                </c:pt>
                <c:pt idx="34">
                  <c:v>0.79550158730158715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AE-354B-99DD-C4EC6D08D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2578240"/>
        <c:axId val="2082579952"/>
      </c:lineChart>
      <c:catAx>
        <c:axId val="208257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82579952"/>
        <c:crosses val="autoZero"/>
        <c:auto val="1"/>
        <c:lblAlgn val="ctr"/>
        <c:lblOffset val="100"/>
        <c:noMultiLvlLbl val="0"/>
      </c:catAx>
      <c:valAx>
        <c:axId val="208257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8257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'!$AB$3:$AB$37</c:f>
              <c:numCache>
                <c:formatCode>General</c:formatCode>
                <c:ptCount val="35"/>
                <c:pt idx="0">
                  <c:v>2.4015873015872102E-3</c:v>
                </c:pt>
                <c:pt idx="1">
                  <c:v>4.9015873015872125E-3</c:v>
                </c:pt>
                <c:pt idx="2">
                  <c:v>5.7015873015872076E-3</c:v>
                </c:pt>
                <c:pt idx="3">
                  <c:v>8.101587301587207E-3</c:v>
                </c:pt>
                <c:pt idx="4">
                  <c:v>1.2301587301587202E-2</c:v>
                </c:pt>
                <c:pt idx="5">
                  <c:v>1.9701587301587206E-2</c:v>
                </c:pt>
                <c:pt idx="6">
                  <c:v>3.1001587301587211E-2</c:v>
                </c:pt>
                <c:pt idx="7">
                  <c:v>5.1101587301587217E-2</c:v>
                </c:pt>
                <c:pt idx="8">
                  <c:v>8.6501587301587204E-2</c:v>
                </c:pt>
                <c:pt idx="9">
                  <c:v>0.1353015873015872</c:v>
                </c:pt>
                <c:pt idx="10">
                  <c:v>0.21620158730158717</c:v>
                </c:pt>
                <c:pt idx="11">
                  <c:v>0.30350158730158722</c:v>
                </c:pt>
                <c:pt idx="12">
                  <c:v>0.40450158730158714</c:v>
                </c:pt>
                <c:pt idx="13">
                  <c:v>0.51190158730158719</c:v>
                </c:pt>
                <c:pt idx="14">
                  <c:v>0.59780158730158717</c:v>
                </c:pt>
                <c:pt idx="15">
                  <c:v>0.65130158730158716</c:v>
                </c:pt>
                <c:pt idx="16">
                  <c:v>0.69250158730158717</c:v>
                </c:pt>
                <c:pt idx="17">
                  <c:v>0.71830158730158722</c:v>
                </c:pt>
                <c:pt idx="18">
                  <c:v>0.73180158730158718</c:v>
                </c:pt>
                <c:pt idx="19">
                  <c:v>0.74150158730158722</c:v>
                </c:pt>
                <c:pt idx="20">
                  <c:v>0.74400158730158716</c:v>
                </c:pt>
                <c:pt idx="21">
                  <c:v>0.74850158730158722</c:v>
                </c:pt>
                <c:pt idx="22">
                  <c:v>0.75450158730158723</c:v>
                </c:pt>
                <c:pt idx="23">
                  <c:v>0.75010158730158716</c:v>
                </c:pt>
                <c:pt idx="24">
                  <c:v>0.75540158730158724</c:v>
                </c:pt>
                <c:pt idx="25">
                  <c:v>0.75320158730158715</c:v>
                </c:pt>
                <c:pt idx="26">
                  <c:v>0.7568015873015872</c:v>
                </c:pt>
                <c:pt idx="27">
                  <c:v>0.76160158730158722</c:v>
                </c:pt>
                <c:pt idx="28">
                  <c:v>0.75510158730158716</c:v>
                </c:pt>
                <c:pt idx="29">
                  <c:v>0.75870158730158721</c:v>
                </c:pt>
                <c:pt idx="30">
                  <c:v>0.76440158730158725</c:v>
                </c:pt>
                <c:pt idx="31">
                  <c:v>0.75830158730158714</c:v>
                </c:pt>
                <c:pt idx="32">
                  <c:v>0.7598015873015872</c:v>
                </c:pt>
                <c:pt idx="33">
                  <c:v>0.7588015873015872</c:v>
                </c:pt>
                <c:pt idx="34">
                  <c:v>0.75540158730158724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1E-7E4D-917D-4CB5B3D267E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'!$BL$3:$BL$37</c:f>
              <c:numCache>
                <c:formatCode>General</c:formatCode>
                <c:ptCount val="35"/>
                <c:pt idx="0">
                  <c:v>6.4015873015872138E-3</c:v>
                </c:pt>
                <c:pt idx="1">
                  <c:v>6.4015873015872138E-3</c:v>
                </c:pt>
                <c:pt idx="2">
                  <c:v>6.7015873015872085E-3</c:v>
                </c:pt>
                <c:pt idx="3">
                  <c:v>9.1015873015872079E-3</c:v>
                </c:pt>
                <c:pt idx="4">
                  <c:v>1.3501587301587209E-2</c:v>
                </c:pt>
                <c:pt idx="5">
                  <c:v>2.0101587301587204E-2</c:v>
                </c:pt>
                <c:pt idx="6">
                  <c:v>3.1801587301587206E-2</c:v>
                </c:pt>
                <c:pt idx="7">
                  <c:v>5.2101587301587218E-2</c:v>
                </c:pt>
                <c:pt idx="8">
                  <c:v>8.4701587301587208E-2</c:v>
                </c:pt>
                <c:pt idx="9">
                  <c:v>0.13370158730158721</c:v>
                </c:pt>
                <c:pt idx="10">
                  <c:v>0.21160158730158718</c:v>
                </c:pt>
                <c:pt idx="11">
                  <c:v>0.29590158730158722</c:v>
                </c:pt>
                <c:pt idx="12">
                  <c:v>0.39830158730158721</c:v>
                </c:pt>
                <c:pt idx="13">
                  <c:v>0.50640158730158724</c:v>
                </c:pt>
                <c:pt idx="14">
                  <c:v>0.58830158730158721</c:v>
                </c:pt>
                <c:pt idx="15">
                  <c:v>0.65080158730158721</c:v>
                </c:pt>
                <c:pt idx="16">
                  <c:v>0.69250158730158717</c:v>
                </c:pt>
                <c:pt idx="17">
                  <c:v>0.72060158730158719</c:v>
                </c:pt>
                <c:pt idx="18">
                  <c:v>0.73840158730158723</c:v>
                </c:pt>
                <c:pt idx="19">
                  <c:v>0.75250158730158723</c:v>
                </c:pt>
                <c:pt idx="20">
                  <c:v>0.76270158730158721</c:v>
                </c:pt>
                <c:pt idx="21">
                  <c:v>0.76450158730158724</c:v>
                </c:pt>
                <c:pt idx="22">
                  <c:v>0.76570158730158722</c:v>
                </c:pt>
                <c:pt idx="23">
                  <c:v>0.76150158730158723</c:v>
                </c:pt>
                <c:pt idx="24">
                  <c:v>0.76810158730158717</c:v>
                </c:pt>
                <c:pt idx="25">
                  <c:v>0.7669015873015872</c:v>
                </c:pt>
                <c:pt idx="26">
                  <c:v>0.77600158730158719</c:v>
                </c:pt>
                <c:pt idx="27">
                  <c:v>0.77230158730158716</c:v>
                </c:pt>
                <c:pt idx="28">
                  <c:v>0.78160158730158724</c:v>
                </c:pt>
                <c:pt idx="29">
                  <c:v>0.77760158730158724</c:v>
                </c:pt>
                <c:pt idx="30">
                  <c:v>0.77870158730158723</c:v>
                </c:pt>
                <c:pt idx="31">
                  <c:v>0.77610158730158718</c:v>
                </c:pt>
                <c:pt idx="32">
                  <c:v>0.78290158730158721</c:v>
                </c:pt>
                <c:pt idx="33">
                  <c:v>0.78060158730158724</c:v>
                </c:pt>
                <c:pt idx="34">
                  <c:v>0.78110158730158719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1E-7E4D-917D-4CB5B3D267E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'!$CV$3:$CV$37</c:f>
              <c:numCache>
                <c:formatCode>General</c:formatCode>
                <c:ptCount val="35"/>
                <c:pt idx="0">
                  <c:v>7.7015873015872094E-3</c:v>
                </c:pt>
                <c:pt idx="1">
                  <c:v>6.9015873015872142E-3</c:v>
                </c:pt>
                <c:pt idx="2">
                  <c:v>6.9015873015872142E-3</c:v>
                </c:pt>
                <c:pt idx="3">
                  <c:v>9.2015873015872107E-3</c:v>
                </c:pt>
                <c:pt idx="4">
                  <c:v>1.3401587301587206E-2</c:v>
                </c:pt>
                <c:pt idx="5">
                  <c:v>2.080158730158721E-2</c:v>
                </c:pt>
                <c:pt idx="6">
                  <c:v>3.2501587301587212E-2</c:v>
                </c:pt>
                <c:pt idx="7">
                  <c:v>5.0201587301587206E-2</c:v>
                </c:pt>
                <c:pt idx="8">
                  <c:v>8.2601587301587218E-2</c:v>
                </c:pt>
                <c:pt idx="9">
                  <c:v>0.12810158730158722</c:v>
                </c:pt>
                <c:pt idx="10">
                  <c:v>0.20300158730158718</c:v>
                </c:pt>
                <c:pt idx="11">
                  <c:v>0.29740158730158717</c:v>
                </c:pt>
                <c:pt idx="12">
                  <c:v>0.3949015873015872</c:v>
                </c:pt>
                <c:pt idx="13">
                  <c:v>0.50160158730158722</c:v>
                </c:pt>
                <c:pt idx="14">
                  <c:v>0.59590158730158715</c:v>
                </c:pt>
                <c:pt idx="15">
                  <c:v>0.65790158730158721</c:v>
                </c:pt>
                <c:pt idx="16">
                  <c:v>0.70330158730158721</c:v>
                </c:pt>
                <c:pt idx="17">
                  <c:v>0.75050158730158723</c:v>
                </c:pt>
                <c:pt idx="18">
                  <c:v>0.76210158730158717</c:v>
                </c:pt>
                <c:pt idx="19">
                  <c:v>0.77930158730158716</c:v>
                </c:pt>
                <c:pt idx="20">
                  <c:v>0.77830158730158716</c:v>
                </c:pt>
                <c:pt idx="21">
                  <c:v>0.78990158730158722</c:v>
                </c:pt>
                <c:pt idx="22">
                  <c:v>0.78710158730158719</c:v>
                </c:pt>
                <c:pt idx="23">
                  <c:v>0.79350158730158715</c:v>
                </c:pt>
                <c:pt idx="24">
                  <c:v>0.79530158730158718</c:v>
                </c:pt>
                <c:pt idx="25">
                  <c:v>0.80660158730158715</c:v>
                </c:pt>
                <c:pt idx="26">
                  <c:v>0.79950158730158716</c:v>
                </c:pt>
                <c:pt idx="27">
                  <c:v>0.8062015873015872</c:v>
                </c:pt>
                <c:pt idx="28">
                  <c:v>0.79980158730158724</c:v>
                </c:pt>
                <c:pt idx="29">
                  <c:v>0.80480158730158724</c:v>
                </c:pt>
                <c:pt idx="30">
                  <c:v>0.80830158730158719</c:v>
                </c:pt>
                <c:pt idx="31">
                  <c:v>0.8062015873015872</c:v>
                </c:pt>
                <c:pt idx="32">
                  <c:v>0.80900158730158722</c:v>
                </c:pt>
                <c:pt idx="33">
                  <c:v>0.81060158730158716</c:v>
                </c:pt>
                <c:pt idx="34">
                  <c:v>0.81370158730158715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1E-7E4D-917D-4CB5B3D26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347728"/>
        <c:axId val="1226349440"/>
      </c:lineChart>
      <c:catAx>
        <c:axId val="122634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226349440"/>
        <c:crosses val="autoZero"/>
        <c:auto val="1"/>
        <c:lblAlgn val="ctr"/>
        <c:lblOffset val="100"/>
        <c:noMultiLvlLbl val="0"/>
      </c:catAx>
      <c:valAx>
        <c:axId val="122634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22634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pTK03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'!$AF$3:$AF$37</c:f>
              <c:numCache>
                <c:formatCode>General</c:formatCode>
                <c:ptCount val="35"/>
                <c:pt idx="0">
                  <c:v>4.1015873015872034E-3</c:v>
                </c:pt>
                <c:pt idx="1">
                  <c:v>5.4015873015872129E-3</c:v>
                </c:pt>
                <c:pt idx="2">
                  <c:v>5.8015873015872105E-3</c:v>
                </c:pt>
                <c:pt idx="3">
                  <c:v>8.2015873015872098E-3</c:v>
                </c:pt>
                <c:pt idx="4">
                  <c:v>1.2201587301587213E-2</c:v>
                </c:pt>
                <c:pt idx="5">
                  <c:v>2.0301587301587209E-2</c:v>
                </c:pt>
                <c:pt idx="6">
                  <c:v>3.2201587301587217E-2</c:v>
                </c:pt>
                <c:pt idx="7">
                  <c:v>5.2501587301587202E-2</c:v>
                </c:pt>
                <c:pt idx="8">
                  <c:v>8.9901587301587219E-2</c:v>
                </c:pt>
                <c:pt idx="9">
                  <c:v>0.13970158730158722</c:v>
                </c:pt>
                <c:pt idx="10">
                  <c:v>0.22240158730158721</c:v>
                </c:pt>
                <c:pt idx="11">
                  <c:v>0.31430158730158719</c:v>
                </c:pt>
                <c:pt idx="12">
                  <c:v>0.41190158730158721</c:v>
                </c:pt>
                <c:pt idx="13">
                  <c:v>0.51950158730158724</c:v>
                </c:pt>
                <c:pt idx="14">
                  <c:v>0.59870158730158718</c:v>
                </c:pt>
                <c:pt idx="15">
                  <c:v>0.64870158730158722</c:v>
                </c:pt>
                <c:pt idx="16">
                  <c:v>0.69140158730158718</c:v>
                </c:pt>
                <c:pt idx="17">
                  <c:v>0.72180158730158717</c:v>
                </c:pt>
                <c:pt idx="18">
                  <c:v>0.74130158730158724</c:v>
                </c:pt>
                <c:pt idx="19">
                  <c:v>0.75340158730158724</c:v>
                </c:pt>
                <c:pt idx="20">
                  <c:v>0.75840158730158724</c:v>
                </c:pt>
                <c:pt idx="21">
                  <c:v>0.76390158730158719</c:v>
                </c:pt>
                <c:pt idx="22">
                  <c:v>0.76130158730158715</c:v>
                </c:pt>
                <c:pt idx="23">
                  <c:v>0.76810158730158717</c:v>
                </c:pt>
                <c:pt idx="24">
                  <c:v>0.77330158730158716</c:v>
                </c:pt>
                <c:pt idx="25">
                  <c:v>0.77760158730158724</c:v>
                </c:pt>
                <c:pt idx="26">
                  <c:v>0.77630158730158716</c:v>
                </c:pt>
                <c:pt idx="27">
                  <c:v>0.77550158730158725</c:v>
                </c:pt>
                <c:pt idx="28">
                  <c:v>0.77540158730158715</c:v>
                </c:pt>
                <c:pt idx="29">
                  <c:v>0.78130158730158716</c:v>
                </c:pt>
                <c:pt idx="30">
                  <c:v>0.78060158730158724</c:v>
                </c:pt>
                <c:pt idx="31">
                  <c:v>0.77700158730158719</c:v>
                </c:pt>
                <c:pt idx="32">
                  <c:v>0.78160158730158724</c:v>
                </c:pt>
                <c:pt idx="33">
                  <c:v>0.77700158730158719</c:v>
                </c:pt>
                <c:pt idx="34">
                  <c:v>0.77750158730158725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DA-B541-B9F7-9555486DA1F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'!$BP$3:$BP$37</c:f>
              <c:numCache>
                <c:formatCode>General</c:formatCode>
                <c:ptCount val="35"/>
                <c:pt idx="0">
                  <c:v>8.5015873015872045E-3</c:v>
                </c:pt>
                <c:pt idx="1">
                  <c:v>7.2015873015872089E-3</c:v>
                </c:pt>
                <c:pt idx="2">
                  <c:v>7.5015873015872037E-3</c:v>
                </c:pt>
                <c:pt idx="3">
                  <c:v>9.7015873015872112E-3</c:v>
                </c:pt>
                <c:pt idx="4">
                  <c:v>1.450158730158721E-2</c:v>
                </c:pt>
                <c:pt idx="5">
                  <c:v>2.2801587301587212E-2</c:v>
                </c:pt>
                <c:pt idx="6">
                  <c:v>3.4301587301587208E-2</c:v>
                </c:pt>
                <c:pt idx="7">
                  <c:v>5.3301587301587197E-2</c:v>
                </c:pt>
                <c:pt idx="8">
                  <c:v>8.7901587301587217E-2</c:v>
                </c:pt>
                <c:pt idx="9">
                  <c:v>0.13970158730158722</c:v>
                </c:pt>
                <c:pt idx="10">
                  <c:v>0.21880158730158722</c:v>
                </c:pt>
                <c:pt idx="11">
                  <c:v>0.30380158730158718</c:v>
                </c:pt>
                <c:pt idx="12">
                  <c:v>0.40590158730158721</c:v>
                </c:pt>
                <c:pt idx="13">
                  <c:v>0.50950158730158723</c:v>
                </c:pt>
                <c:pt idx="14">
                  <c:v>0.58700158730158725</c:v>
                </c:pt>
                <c:pt idx="15">
                  <c:v>0.64380158730158721</c:v>
                </c:pt>
                <c:pt idx="16">
                  <c:v>0.6872015873015872</c:v>
                </c:pt>
                <c:pt idx="17">
                  <c:v>0.7205015873015872</c:v>
                </c:pt>
                <c:pt idx="18">
                  <c:v>0.73990158730158717</c:v>
                </c:pt>
                <c:pt idx="19">
                  <c:v>0.75260158730158722</c:v>
                </c:pt>
                <c:pt idx="20">
                  <c:v>0.75870158730158721</c:v>
                </c:pt>
                <c:pt idx="21">
                  <c:v>0.76700158730158718</c:v>
                </c:pt>
                <c:pt idx="22">
                  <c:v>0.76350158730158724</c:v>
                </c:pt>
                <c:pt idx="23">
                  <c:v>0.76520158730158716</c:v>
                </c:pt>
                <c:pt idx="24">
                  <c:v>0.77180158730158721</c:v>
                </c:pt>
                <c:pt idx="25">
                  <c:v>0.77170158730158722</c:v>
                </c:pt>
                <c:pt idx="26">
                  <c:v>0.77780158730158722</c:v>
                </c:pt>
                <c:pt idx="27">
                  <c:v>0.77610158730158718</c:v>
                </c:pt>
                <c:pt idx="28">
                  <c:v>0.7810015873015872</c:v>
                </c:pt>
                <c:pt idx="29">
                  <c:v>0.7840015873015872</c:v>
                </c:pt>
                <c:pt idx="30">
                  <c:v>0.78220158730158718</c:v>
                </c:pt>
                <c:pt idx="31">
                  <c:v>0.78330158730158717</c:v>
                </c:pt>
                <c:pt idx="32">
                  <c:v>0.78810158730158719</c:v>
                </c:pt>
                <c:pt idx="33">
                  <c:v>0.78620158730158718</c:v>
                </c:pt>
                <c:pt idx="34">
                  <c:v>0.78640158730158716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DA-B541-B9F7-9555486DA1F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'!$CZ$3:$CZ$37</c:f>
              <c:numCache>
                <c:formatCode>General</c:formatCode>
                <c:ptCount val="35"/>
                <c:pt idx="0">
                  <c:v>8.7015873015872103E-3</c:v>
                </c:pt>
                <c:pt idx="1">
                  <c:v>6.5015873015872028E-3</c:v>
                </c:pt>
                <c:pt idx="2">
                  <c:v>6.7015873015872085E-3</c:v>
                </c:pt>
                <c:pt idx="3">
                  <c:v>9.2015873015872107E-3</c:v>
                </c:pt>
                <c:pt idx="4">
                  <c:v>1.3601587301587212E-2</c:v>
                </c:pt>
                <c:pt idx="5">
                  <c:v>2.130158730158721E-2</c:v>
                </c:pt>
                <c:pt idx="6">
                  <c:v>3.3501587301587213E-2</c:v>
                </c:pt>
                <c:pt idx="7">
                  <c:v>5.3001587301587202E-2</c:v>
                </c:pt>
                <c:pt idx="8">
                  <c:v>8.73015873015872E-2</c:v>
                </c:pt>
                <c:pt idx="9">
                  <c:v>0.13560158730158722</c:v>
                </c:pt>
                <c:pt idx="10">
                  <c:v>0.21640158730158721</c:v>
                </c:pt>
                <c:pt idx="11">
                  <c:v>0.30710158730158721</c:v>
                </c:pt>
                <c:pt idx="12">
                  <c:v>0.41010158730158719</c:v>
                </c:pt>
                <c:pt idx="13">
                  <c:v>0.5179015873015872</c:v>
                </c:pt>
                <c:pt idx="14">
                  <c:v>0.60190158730158716</c:v>
                </c:pt>
                <c:pt idx="15">
                  <c:v>0.65610158730158719</c:v>
                </c:pt>
                <c:pt idx="16">
                  <c:v>0.70510158730158723</c:v>
                </c:pt>
                <c:pt idx="17">
                  <c:v>0.75660158730158722</c:v>
                </c:pt>
                <c:pt idx="18">
                  <c:v>0.76460158730158723</c:v>
                </c:pt>
                <c:pt idx="19">
                  <c:v>0.77720158730158717</c:v>
                </c:pt>
                <c:pt idx="20">
                  <c:v>0.77580158730158721</c:v>
                </c:pt>
                <c:pt idx="21">
                  <c:v>0.78750158730158715</c:v>
                </c:pt>
                <c:pt idx="22">
                  <c:v>0.78660158730158725</c:v>
                </c:pt>
                <c:pt idx="23">
                  <c:v>0.79690158730158722</c:v>
                </c:pt>
                <c:pt idx="24">
                  <c:v>0.79580158730158723</c:v>
                </c:pt>
                <c:pt idx="25">
                  <c:v>0.80830158730158719</c:v>
                </c:pt>
                <c:pt idx="26">
                  <c:v>0.80510158730158721</c:v>
                </c:pt>
                <c:pt idx="27">
                  <c:v>0.80670158730158714</c:v>
                </c:pt>
                <c:pt idx="28">
                  <c:v>0.80640158730158717</c:v>
                </c:pt>
                <c:pt idx="29">
                  <c:v>0.81140158730158718</c:v>
                </c:pt>
                <c:pt idx="30">
                  <c:v>0.81310158730158721</c:v>
                </c:pt>
                <c:pt idx="31">
                  <c:v>0.81130158730158719</c:v>
                </c:pt>
                <c:pt idx="32">
                  <c:v>0.81130158730158719</c:v>
                </c:pt>
                <c:pt idx="33">
                  <c:v>0.81440158730158718</c:v>
                </c:pt>
                <c:pt idx="34">
                  <c:v>0.81820158730158721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DA-B541-B9F7-9555486DA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5140496"/>
        <c:axId val="2035063520"/>
      </c:lineChart>
      <c:catAx>
        <c:axId val="203514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35063520"/>
        <c:crosses val="autoZero"/>
        <c:auto val="1"/>
        <c:lblAlgn val="ctr"/>
        <c:lblOffset val="100"/>
        <c:noMultiLvlLbl val="0"/>
      </c:catAx>
      <c:valAx>
        <c:axId val="203506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351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'!$AJ$3:$AJ$37</c:f>
              <c:numCache>
                <c:formatCode>General</c:formatCode>
                <c:ptCount val="35"/>
                <c:pt idx="0">
                  <c:v>1.7701587301587204E-2</c:v>
                </c:pt>
                <c:pt idx="1">
                  <c:v>1.1401587301587204E-2</c:v>
                </c:pt>
                <c:pt idx="2">
                  <c:v>1.1901587301587205E-2</c:v>
                </c:pt>
                <c:pt idx="3">
                  <c:v>1.500158730158721E-2</c:v>
                </c:pt>
                <c:pt idx="4">
                  <c:v>2.0001587301587215E-2</c:v>
                </c:pt>
                <c:pt idx="5">
                  <c:v>2.8501587301587208E-2</c:v>
                </c:pt>
                <c:pt idx="6">
                  <c:v>4.0101587301587208E-2</c:v>
                </c:pt>
                <c:pt idx="7">
                  <c:v>6.2101587301587199E-2</c:v>
                </c:pt>
                <c:pt idx="8">
                  <c:v>9.8701587301587221E-2</c:v>
                </c:pt>
                <c:pt idx="9">
                  <c:v>0.1474015873015872</c:v>
                </c:pt>
                <c:pt idx="10">
                  <c:v>0.22330158730158717</c:v>
                </c:pt>
                <c:pt idx="11">
                  <c:v>0.31570158730158721</c:v>
                </c:pt>
                <c:pt idx="12">
                  <c:v>0.40250158730158719</c:v>
                </c:pt>
                <c:pt idx="13">
                  <c:v>0.50530158730158714</c:v>
                </c:pt>
                <c:pt idx="14">
                  <c:v>0.59500158730158714</c:v>
                </c:pt>
                <c:pt idx="15">
                  <c:v>0.64660158730158723</c:v>
                </c:pt>
                <c:pt idx="16">
                  <c:v>0.69320158730158721</c:v>
                </c:pt>
                <c:pt idx="17">
                  <c:v>0.73220158730158724</c:v>
                </c:pt>
                <c:pt idx="18">
                  <c:v>0.74540158730158723</c:v>
                </c:pt>
                <c:pt idx="19">
                  <c:v>0.75760158730158722</c:v>
                </c:pt>
                <c:pt idx="20">
                  <c:v>0.76570158730158722</c:v>
                </c:pt>
                <c:pt idx="21">
                  <c:v>0.76970158730158722</c:v>
                </c:pt>
                <c:pt idx="22">
                  <c:v>0.77440158730158715</c:v>
                </c:pt>
                <c:pt idx="23">
                  <c:v>0.77000158730158719</c:v>
                </c:pt>
                <c:pt idx="24">
                  <c:v>0.77170158730158722</c:v>
                </c:pt>
                <c:pt idx="25">
                  <c:v>0.77160158730158723</c:v>
                </c:pt>
                <c:pt idx="26">
                  <c:v>0.77500158730158719</c:v>
                </c:pt>
                <c:pt idx="27">
                  <c:v>0.77230158730158716</c:v>
                </c:pt>
                <c:pt idx="28">
                  <c:v>0.77100158730158719</c:v>
                </c:pt>
                <c:pt idx="29">
                  <c:v>0.77660158730158724</c:v>
                </c:pt>
                <c:pt idx="30">
                  <c:v>0.77270158730158722</c:v>
                </c:pt>
                <c:pt idx="31">
                  <c:v>0.77030158730158715</c:v>
                </c:pt>
                <c:pt idx="32">
                  <c:v>0.77120158730158717</c:v>
                </c:pt>
                <c:pt idx="33">
                  <c:v>0.76900158730158719</c:v>
                </c:pt>
                <c:pt idx="34">
                  <c:v>0.77350158730158725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8F-2848-8973-57AC07B3872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'!$BT$3:$BT$37</c:f>
              <c:numCache>
                <c:formatCode>General</c:formatCode>
                <c:ptCount val="35"/>
                <c:pt idx="0">
                  <c:v>1.2801587301587203E-2</c:v>
                </c:pt>
                <c:pt idx="1">
                  <c:v>9.5015873015872054E-3</c:v>
                </c:pt>
                <c:pt idx="2">
                  <c:v>1.0001587301587206E-2</c:v>
                </c:pt>
                <c:pt idx="3">
                  <c:v>1.2501587301587208E-2</c:v>
                </c:pt>
                <c:pt idx="4">
                  <c:v>1.7501587301587213E-2</c:v>
                </c:pt>
                <c:pt idx="5">
                  <c:v>2.6101587301587209E-2</c:v>
                </c:pt>
                <c:pt idx="6">
                  <c:v>3.7501587301587216E-2</c:v>
                </c:pt>
                <c:pt idx="7">
                  <c:v>5.7401587301587217E-2</c:v>
                </c:pt>
                <c:pt idx="8">
                  <c:v>8.8801587301587201E-2</c:v>
                </c:pt>
                <c:pt idx="9">
                  <c:v>0.1343015873015872</c:v>
                </c:pt>
                <c:pt idx="10">
                  <c:v>0.20420158730158722</c:v>
                </c:pt>
                <c:pt idx="11">
                  <c:v>0.29480158730158718</c:v>
                </c:pt>
                <c:pt idx="12">
                  <c:v>0.38210158730158722</c:v>
                </c:pt>
                <c:pt idx="13">
                  <c:v>0.48570158730158719</c:v>
                </c:pt>
                <c:pt idx="14">
                  <c:v>0.57810158730158723</c:v>
                </c:pt>
                <c:pt idx="15">
                  <c:v>0.63930158730158715</c:v>
                </c:pt>
                <c:pt idx="16">
                  <c:v>0.69680158730158714</c:v>
                </c:pt>
                <c:pt idx="17">
                  <c:v>0.74030158730158724</c:v>
                </c:pt>
                <c:pt idx="18">
                  <c:v>0.76540158730158725</c:v>
                </c:pt>
                <c:pt idx="19">
                  <c:v>0.78480158730158722</c:v>
                </c:pt>
                <c:pt idx="20">
                  <c:v>0.79850158730158716</c:v>
                </c:pt>
                <c:pt idx="21">
                  <c:v>0.80400158730158722</c:v>
                </c:pt>
                <c:pt idx="22">
                  <c:v>0.80200158730158722</c:v>
                </c:pt>
                <c:pt idx="23">
                  <c:v>0.80500158730158722</c:v>
                </c:pt>
                <c:pt idx="24">
                  <c:v>0.80690158730158723</c:v>
                </c:pt>
                <c:pt idx="25">
                  <c:v>0.80770158730158714</c:v>
                </c:pt>
                <c:pt idx="26">
                  <c:v>0.80830158730158719</c:v>
                </c:pt>
                <c:pt idx="27">
                  <c:v>0.80990158730158723</c:v>
                </c:pt>
                <c:pt idx="28">
                  <c:v>0.80730158730158719</c:v>
                </c:pt>
                <c:pt idx="29">
                  <c:v>0.81670158730158715</c:v>
                </c:pt>
                <c:pt idx="30">
                  <c:v>0.81490158730158724</c:v>
                </c:pt>
                <c:pt idx="31">
                  <c:v>0.81200158730158722</c:v>
                </c:pt>
                <c:pt idx="32">
                  <c:v>0.81210158730158721</c:v>
                </c:pt>
                <c:pt idx="33">
                  <c:v>0.80580158730158724</c:v>
                </c:pt>
                <c:pt idx="34">
                  <c:v>0.81550158730158717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8F-2848-8973-57AC07B3872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'OD																													'!$B$3:$B$37</c:f>
              <c:numCache>
                <c:formatCode>General</c:formatCode>
                <c:ptCount val="35"/>
                <c:pt idx="0">
                  <c:v>0</c:v>
                </c:pt>
                <c:pt idx="1">
                  <c:v>0.23868861111111112</c:v>
                </c:pt>
                <c:pt idx="2">
                  <c:v>0.47718972222222222</c:v>
                </c:pt>
                <c:pt idx="3">
                  <c:v>0.71578444444444445</c:v>
                </c:pt>
                <c:pt idx="4">
                  <c:v>0.95429027777777786</c:v>
                </c:pt>
                <c:pt idx="5">
                  <c:v>1.1927908333333332</c:v>
                </c:pt>
                <c:pt idx="6">
                  <c:v>1.4313891666666667</c:v>
                </c:pt>
                <c:pt idx="7">
                  <c:v>1.6699052777777776</c:v>
                </c:pt>
                <c:pt idx="8">
                  <c:v>1.9083944444444445</c:v>
                </c:pt>
                <c:pt idx="9">
                  <c:v>2.1469902777777778</c:v>
                </c:pt>
                <c:pt idx="10">
                  <c:v>2.3854933333333332</c:v>
                </c:pt>
                <c:pt idx="11">
                  <c:v>2.623989166666667</c:v>
                </c:pt>
                <c:pt idx="12">
                  <c:v>2.8625891666666665</c:v>
                </c:pt>
                <c:pt idx="13">
                  <c:v>3.1010991666666667</c:v>
                </c:pt>
                <c:pt idx="14">
                  <c:v>3.3395988888888892</c:v>
                </c:pt>
                <c:pt idx="15">
                  <c:v>3.5793333333333335</c:v>
                </c:pt>
                <c:pt idx="16">
                  <c:v>3.8178136111111112</c:v>
                </c:pt>
                <c:pt idx="17">
                  <c:v>4.0563094444444445</c:v>
                </c:pt>
                <c:pt idx="18">
                  <c:v>4.2949063888888892</c:v>
                </c:pt>
                <c:pt idx="19">
                  <c:v>4.533409166666666</c:v>
                </c:pt>
                <c:pt idx="20">
                  <c:v>4.771905277777778</c:v>
                </c:pt>
                <c:pt idx="21">
                  <c:v>5.0105075000000001</c:v>
                </c:pt>
                <c:pt idx="22">
                  <c:v>5.2490100000000002</c:v>
                </c:pt>
                <c:pt idx="23">
                  <c:v>5.4875224999999999</c:v>
                </c:pt>
                <c:pt idx="24">
                  <c:v>5.7261311111111111</c:v>
                </c:pt>
                <c:pt idx="25">
                  <c:v>5.964634444444445</c:v>
                </c:pt>
                <c:pt idx="26">
                  <c:v>6.2032069444444442</c:v>
                </c:pt>
                <c:pt idx="27">
                  <c:v>6.4417997222222221</c:v>
                </c:pt>
                <c:pt idx="28">
                  <c:v>6.6803183333333331</c:v>
                </c:pt>
                <c:pt idx="29">
                  <c:v>6.918911944444444</c:v>
                </c:pt>
                <c:pt idx="30">
                  <c:v>7.1575119444444448</c:v>
                </c:pt>
                <c:pt idx="31">
                  <c:v>7.3960211111111107</c:v>
                </c:pt>
                <c:pt idx="32">
                  <c:v>7.6346319444444442</c:v>
                </c:pt>
                <c:pt idx="33">
                  <c:v>7.8731352777777781</c:v>
                </c:pt>
                <c:pt idx="34">
                  <c:v>8.111633055555556</c:v>
                </c:pt>
              </c:numCache>
            </c:numRef>
          </c:cat>
          <c:val>
            <c:numRef>
              <c:f>'OD																													'!$DD$3:$DD$37</c:f>
              <c:numCache>
                <c:formatCode>General</c:formatCode>
                <c:ptCount val="35"/>
                <c:pt idx="0">
                  <c:v>1.0501587301587206E-2</c:v>
                </c:pt>
                <c:pt idx="1">
                  <c:v>9.2015873015872107E-3</c:v>
                </c:pt>
                <c:pt idx="2">
                  <c:v>9.5015873015872054E-3</c:v>
                </c:pt>
                <c:pt idx="3">
                  <c:v>1.2201587301587213E-2</c:v>
                </c:pt>
                <c:pt idx="4">
                  <c:v>1.6701587301587204E-2</c:v>
                </c:pt>
                <c:pt idx="5">
                  <c:v>2.4301587301587213E-2</c:v>
                </c:pt>
                <c:pt idx="6">
                  <c:v>3.6201587301587221E-2</c:v>
                </c:pt>
                <c:pt idx="7">
                  <c:v>5.4601587301587221E-2</c:v>
                </c:pt>
                <c:pt idx="8">
                  <c:v>8.620158730158721E-2</c:v>
                </c:pt>
                <c:pt idx="9">
                  <c:v>0.12960158730158722</c:v>
                </c:pt>
                <c:pt idx="10">
                  <c:v>0.19670158730158721</c:v>
                </c:pt>
                <c:pt idx="11">
                  <c:v>0.29230158730158717</c:v>
                </c:pt>
                <c:pt idx="12">
                  <c:v>0.37950158730158717</c:v>
                </c:pt>
                <c:pt idx="13">
                  <c:v>0.48010158730158714</c:v>
                </c:pt>
                <c:pt idx="14">
                  <c:v>0.57840158730158719</c:v>
                </c:pt>
                <c:pt idx="15">
                  <c:v>0.64020158730158716</c:v>
                </c:pt>
                <c:pt idx="16">
                  <c:v>0.69360158730158716</c:v>
                </c:pt>
                <c:pt idx="17">
                  <c:v>0.74900158730158717</c:v>
                </c:pt>
                <c:pt idx="18">
                  <c:v>0.76840158730158714</c:v>
                </c:pt>
                <c:pt idx="19">
                  <c:v>0.78570158730158723</c:v>
                </c:pt>
                <c:pt idx="20">
                  <c:v>0.78880158730158723</c:v>
                </c:pt>
                <c:pt idx="21">
                  <c:v>0.80590158730158723</c:v>
                </c:pt>
                <c:pt idx="22">
                  <c:v>0.80540158730158717</c:v>
                </c:pt>
                <c:pt idx="23">
                  <c:v>0.81310158730158721</c:v>
                </c:pt>
                <c:pt idx="24">
                  <c:v>0.81230158730158719</c:v>
                </c:pt>
                <c:pt idx="25">
                  <c:v>0.81910158730158722</c:v>
                </c:pt>
                <c:pt idx="26">
                  <c:v>0.81500158730158723</c:v>
                </c:pt>
                <c:pt idx="27">
                  <c:v>0.81350158730158717</c:v>
                </c:pt>
                <c:pt idx="28">
                  <c:v>0.81670158730158715</c:v>
                </c:pt>
                <c:pt idx="29">
                  <c:v>0.81640158730158718</c:v>
                </c:pt>
                <c:pt idx="30">
                  <c:v>0.81780158730158714</c:v>
                </c:pt>
                <c:pt idx="31">
                  <c:v>0.81620158730158721</c:v>
                </c:pt>
                <c:pt idx="32">
                  <c:v>0.81720158730158721</c:v>
                </c:pt>
                <c:pt idx="33">
                  <c:v>0.81690158730158724</c:v>
                </c:pt>
                <c:pt idx="34">
                  <c:v>0.82260158730158717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8F-2848-8973-57AC07B38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2916544"/>
        <c:axId val="2082918256"/>
      </c:lineChart>
      <c:catAx>
        <c:axId val="208291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82918256"/>
        <c:crosses val="autoZero"/>
        <c:auto val="1"/>
        <c:lblAlgn val="ctr"/>
        <c:lblOffset val="100"/>
        <c:noMultiLvlLbl val="0"/>
      </c:catAx>
      <c:valAx>
        <c:axId val="208291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8291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575108</xdr:colOff>
      <xdr:row>45</xdr:row>
      <xdr:rowOff>179819</xdr:rowOff>
    </xdr:from>
    <xdr:to>
      <xdr:col>6</xdr:col>
      <xdr:colOff>211426</xdr:colOff>
      <xdr:row>60</xdr:row>
      <xdr:rowOff>108816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D7956-74AD-37F9-D833-DB4E1FC36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461433</xdr:colOff>
      <xdr:row>45</xdr:row>
      <xdr:rowOff>196548</xdr:rowOff>
    </xdr:from>
    <xdr:to>
      <xdr:col>12</xdr:col>
      <xdr:colOff>62895</xdr:colOff>
      <xdr:row>59</xdr:row>
      <xdr:rowOff>188081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419B5-965D-F01B-8167-FAFCF9324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222086</xdr:colOff>
      <xdr:row>45</xdr:row>
      <xdr:rowOff>171288</xdr:rowOff>
    </xdr:from>
    <xdr:to>
      <xdr:col>17</xdr:col>
      <xdr:colOff>645420</xdr:colOff>
      <xdr:row>60</xdr:row>
      <xdr:rowOff>111369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1D810-EF40-C79A-30AC-13D55D173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348074</xdr:colOff>
      <xdr:row>47</xdr:row>
      <xdr:rowOff>4235</xdr:rowOff>
    </xdr:from>
    <xdr:to>
      <xdr:col>23</xdr:col>
      <xdr:colOff>792575</xdr:colOff>
      <xdr:row>61</xdr:row>
      <xdr:rowOff>101601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84067E-0E71-5DF0-8B7E-28F812E01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144150</xdr:colOff>
      <xdr:row>46</xdr:row>
      <xdr:rowOff>114368</xdr:rowOff>
    </xdr:from>
    <xdr:to>
      <xdr:col>29</xdr:col>
      <xdr:colOff>613603</xdr:colOff>
      <xdr:row>61</xdr:row>
      <xdr:rowOff>35347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44483A-6732-A6F0-896C-493D015C6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364067</xdr:colOff>
      <xdr:row>46</xdr:row>
      <xdr:rowOff>160867</xdr:rowOff>
    </xdr:from>
    <xdr:to>
      <xdr:col>35</xdr:col>
      <xdr:colOff>787400</xdr:colOff>
      <xdr:row>61</xdr:row>
      <xdr:rowOff>93133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1B4BAC-6023-1327-01E9-AA800DEB3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214523</xdr:colOff>
      <xdr:row>46</xdr:row>
      <xdr:rowOff>153318</xdr:rowOff>
    </xdr:from>
    <xdr:to>
      <xdr:col>41</xdr:col>
      <xdr:colOff>667133</xdr:colOff>
      <xdr:row>61</xdr:row>
      <xdr:rowOff>142301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40F075-0F1D-C1A4-6314-3D9B43813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808557</xdr:colOff>
      <xdr:row>46</xdr:row>
      <xdr:rowOff>149719</xdr:rowOff>
    </xdr:from>
    <xdr:to>
      <xdr:col>47</xdr:col>
      <xdr:colOff>420367</xdr:colOff>
      <xdr:row>61</xdr:row>
      <xdr:rowOff>17447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70BD137-BD42-B6D0-6A91-1D285A9E8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48</xdr:col>
      <xdr:colOff>44914</xdr:colOff>
      <xdr:row>46</xdr:row>
      <xdr:rowOff>64268</xdr:rowOff>
    </xdr:from>
    <xdr:to>
      <xdr:col>53</xdr:col>
      <xdr:colOff>512646</xdr:colOff>
      <xdr:row>61</xdr:row>
      <xdr:rowOff>19664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E227FBF-5920-7612-4F8C-66B57D36D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62"/>
  <sheetViews>
    <sheetView topLeftCell="A21" zoomScale="83" workbookViewId="0">
      <selection activeCell="B28" sqref="A28:M3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 spans="1:11" x14ac:dyDescent="0.2">
      <c r="A21" s="2"/>
      <c r="B21" s="2"/>
      <c r="C21" s="2" t="s">
        <v>30</v>
      </c>
      <c r="D21" s="2"/>
      <c r="E21" s="2"/>
      <c r="F21" s="2"/>
      <c r="G21" s="2" t="s">
        <v>31</v>
      </c>
      <c r="H21" s="2"/>
      <c r="I21" s="2"/>
      <c r="J21" s="2"/>
      <c r="K21" s="2"/>
    </row>
    <row r="22" spans="1:11" x14ac:dyDescent="0.2">
      <c r="A22" s="2"/>
      <c r="B22" s="2"/>
      <c r="C22" s="2" t="s">
        <v>27</v>
      </c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32</v>
      </c>
      <c r="B24" s="1"/>
      <c r="C24" s="1"/>
      <c r="D24" s="1"/>
      <c r="E24" s="1" t="s">
        <v>33</v>
      </c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37" spans="1:1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1" t="s">
        <v>49</v>
      </c>
      <c r="B38" s="1"/>
      <c r="C38" s="1"/>
      <c r="D38" s="1"/>
      <c r="E38" s="1" t="s">
        <v>50</v>
      </c>
      <c r="F38" s="1"/>
      <c r="G38" s="1"/>
      <c r="H38" s="1"/>
      <c r="I38" s="1"/>
      <c r="J38" s="1"/>
      <c r="K38" s="1"/>
    </row>
    <row r="39" spans="1:11" x14ac:dyDescent="0.2">
      <c r="A39" s="1" t="s">
        <v>51</v>
      </c>
      <c r="B39" s="1"/>
      <c r="C39" s="1"/>
      <c r="D39" s="1"/>
      <c r="E39" s="1" t="s">
        <v>52</v>
      </c>
      <c r="F39" s="1"/>
      <c r="G39" s="1"/>
      <c r="H39" s="1"/>
      <c r="I39" s="1"/>
      <c r="J39" s="1"/>
      <c r="K39" s="1"/>
    </row>
    <row r="40" spans="1:11" x14ac:dyDescent="0.2">
      <c r="A40" s="1" t="s">
        <v>53</v>
      </c>
      <c r="B40" s="1"/>
      <c r="C40" s="1"/>
      <c r="D40" s="1"/>
      <c r="E40" s="1">
        <v>37</v>
      </c>
      <c r="F40" s="1"/>
      <c r="G40" s="1"/>
      <c r="H40" s="1"/>
      <c r="I40" s="1"/>
      <c r="J40" s="1"/>
      <c r="K40" s="1"/>
    </row>
    <row r="41" spans="1:11" x14ac:dyDescent="0.2">
      <c r="A41" s="1" t="s">
        <v>54</v>
      </c>
      <c r="B41" s="1"/>
      <c r="C41" s="1"/>
      <c r="D41" s="1"/>
      <c r="E41" s="1" t="s">
        <v>50</v>
      </c>
      <c r="F41" s="1"/>
      <c r="G41" s="1"/>
      <c r="H41" s="1"/>
      <c r="I41" s="1"/>
      <c r="J41" s="1"/>
      <c r="K41" s="1"/>
    </row>
    <row r="42" spans="1:1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">
      <c r="A43" s="1" t="s">
        <v>55</v>
      </c>
      <c r="B43" s="1" t="s">
        <v>26</v>
      </c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">
      <c r="A44" s="1" t="s">
        <v>56</v>
      </c>
      <c r="B44" s="1"/>
      <c r="C44" s="1"/>
      <c r="D44" s="1"/>
      <c r="E44" s="1">
        <v>35</v>
      </c>
      <c r="F44" s="1"/>
      <c r="G44" s="1"/>
      <c r="H44" s="1"/>
      <c r="I44" s="1"/>
      <c r="J44" s="1"/>
      <c r="K44" s="1"/>
    </row>
    <row r="45" spans="1:11" x14ac:dyDescent="0.2">
      <c r="A45" s="1" t="s">
        <v>57</v>
      </c>
      <c r="B45" s="1"/>
      <c r="C45" s="1"/>
      <c r="D45" s="1"/>
      <c r="E45" s="1" t="s">
        <v>58</v>
      </c>
      <c r="F45" s="1"/>
      <c r="G45" s="1"/>
      <c r="H45" s="1"/>
      <c r="I45" s="1"/>
      <c r="J45" s="1"/>
      <c r="K45" s="1"/>
    </row>
    <row r="46" spans="1:1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">
      <c r="A47" s="1" t="s">
        <v>59</v>
      </c>
      <c r="B47" s="1"/>
      <c r="C47" s="1"/>
      <c r="D47" s="1"/>
      <c r="E47" s="1">
        <v>10</v>
      </c>
      <c r="F47" s="1"/>
      <c r="G47" s="1"/>
      <c r="H47" s="1"/>
      <c r="I47" s="1"/>
      <c r="J47" s="1"/>
      <c r="K47" s="1"/>
    </row>
    <row r="48" spans="1:11" x14ac:dyDescent="0.2">
      <c r="A48" s="1" t="s">
        <v>60</v>
      </c>
      <c r="B48" s="1"/>
      <c r="C48" s="1"/>
      <c r="D48" s="1"/>
      <c r="E48" s="1" t="s">
        <v>61</v>
      </c>
      <c r="F48" s="1"/>
      <c r="G48" s="1"/>
      <c r="H48" s="1"/>
      <c r="I48" s="1"/>
      <c r="J48" s="1"/>
      <c r="K48" s="1"/>
    </row>
    <row r="49" spans="1:11" x14ac:dyDescent="0.2">
      <c r="A49" s="1" t="s">
        <v>62</v>
      </c>
      <c r="B49" s="1"/>
      <c r="C49" s="1"/>
      <c r="D49" s="1"/>
      <c r="E49" s="1">
        <v>2.5</v>
      </c>
      <c r="F49" s="1"/>
      <c r="G49" s="1"/>
      <c r="H49" s="1"/>
      <c r="I49" s="1"/>
      <c r="J49" s="1"/>
      <c r="K49" s="1"/>
    </row>
    <row r="50" spans="1:11" x14ac:dyDescent="0.2">
      <c r="A50" s="1" t="s">
        <v>63</v>
      </c>
      <c r="B50" s="1"/>
      <c r="C50" s="1"/>
      <c r="D50" s="1"/>
      <c r="E50" s="1">
        <v>216</v>
      </c>
      <c r="F50" s="1"/>
      <c r="G50" s="1"/>
      <c r="H50" s="1"/>
      <c r="I50" s="1"/>
      <c r="J50" s="1"/>
      <c r="K50" s="1"/>
    </row>
    <row r="51" spans="1:1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">
      <c r="A52" s="1" t="s">
        <v>55</v>
      </c>
      <c r="B52" s="1" t="s">
        <v>28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">
      <c r="A53" s="1" t="s">
        <v>32</v>
      </c>
      <c r="B53" s="1" t="s">
        <v>29</v>
      </c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">
      <c r="A54" s="1" t="s">
        <v>64</v>
      </c>
      <c r="B54" s="1"/>
      <c r="C54" s="1"/>
      <c r="D54" s="1"/>
      <c r="E54" s="1">
        <v>600</v>
      </c>
      <c r="F54" s="1"/>
      <c r="G54" s="1"/>
      <c r="H54" s="1"/>
      <c r="I54" s="1"/>
      <c r="J54" s="1"/>
      <c r="K54" s="1"/>
    </row>
    <row r="55" spans="1:11" x14ac:dyDescent="0.2">
      <c r="A55" s="1" t="s">
        <v>65</v>
      </c>
      <c r="B55" s="1"/>
      <c r="C55" s="1"/>
      <c r="D55" s="1"/>
      <c r="E55" s="1">
        <v>5</v>
      </c>
      <c r="F55" s="1"/>
      <c r="G55" s="1"/>
      <c r="H55" s="1"/>
      <c r="I55" s="1"/>
      <c r="J55" s="1"/>
      <c r="K55" s="1"/>
    </row>
    <row r="56" spans="1:11" x14ac:dyDescent="0.2">
      <c r="A56" s="1" t="s">
        <v>66</v>
      </c>
      <c r="B56" s="1"/>
      <c r="C56" s="1"/>
      <c r="D56" s="1"/>
      <c r="E56" s="1">
        <v>0</v>
      </c>
      <c r="F56" s="1"/>
      <c r="G56" s="1"/>
      <c r="H56" s="1"/>
      <c r="I56" s="1"/>
      <c r="J56" s="1"/>
      <c r="K56" s="1"/>
    </row>
    <row r="57" spans="1:11" x14ac:dyDescent="0.2">
      <c r="A57" s="1" t="s">
        <v>67</v>
      </c>
      <c r="B57" s="1"/>
      <c r="C57" s="1"/>
      <c r="D57" s="1"/>
      <c r="E57" s="1" t="s">
        <v>36</v>
      </c>
      <c r="F57" s="1"/>
      <c r="G57" s="1"/>
      <c r="H57" s="1"/>
      <c r="I57" s="1"/>
      <c r="J57" s="1"/>
      <c r="K57" s="1"/>
    </row>
    <row r="58" spans="1:1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">
      <c r="A59" s="1" t="s">
        <v>55</v>
      </c>
      <c r="B59" s="1" t="s">
        <v>30</v>
      </c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">
      <c r="A60" s="1" t="s">
        <v>32</v>
      </c>
      <c r="B60" s="1" t="s">
        <v>31</v>
      </c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">
      <c r="A61" s="1" t="s">
        <v>68</v>
      </c>
      <c r="B61" s="1"/>
      <c r="C61" s="1"/>
      <c r="D61" s="1"/>
      <c r="E61" s="1" t="s">
        <v>69</v>
      </c>
      <c r="F61" s="1"/>
      <c r="G61" s="1"/>
      <c r="H61" s="1"/>
      <c r="I61" s="1"/>
      <c r="J61" s="1"/>
      <c r="K61" s="1"/>
    </row>
    <row r="62" spans="1:11" x14ac:dyDescent="0.2">
      <c r="A62" s="1" t="s">
        <v>70</v>
      </c>
      <c r="B62" s="1"/>
      <c r="C62" s="1"/>
      <c r="D62" s="1"/>
      <c r="E62" s="1">
        <v>488.00000000000006</v>
      </c>
      <c r="F62" s="1"/>
      <c r="G62" s="1"/>
      <c r="H62" s="1"/>
      <c r="I62" s="1"/>
      <c r="J62" s="1"/>
      <c r="K62" s="1"/>
    </row>
    <row r="63" spans="1:11" x14ac:dyDescent="0.2">
      <c r="A63" s="1" t="s">
        <v>71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1" x14ac:dyDescent="0.2">
      <c r="A64" s="1" t="s">
        <v>72</v>
      </c>
      <c r="B64" s="1"/>
      <c r="C64" s="1"/>
      <c r="D64" s="1"/>
      <c r="E64" s="1" t="s">
        <v>69</v>
      </c>
      <c r="F64" s="1"/>
      <c r="G64" s="1"/>
      <c r="H64" s="1"/>
      <c r="I64" s="1"/>
      <c r="J64" s="1"/>
      <c r="K64" s="1"/>
    </row>
    <row r="65" spans="1:11" x14ac:dyDescent="0.2">
      <c r="A65" s="1" t="s">
        <v>73</v>
      </c>
      <c r="B65" s="1"/>
      <c r="C65" s="1"/>
      <c r="D65" s="1"/>
      <c r="E65" s="1">
        <v>528.00000000000011</v>
      </c>
      <c r="F65" s="1"/>
      <c r="G65" s="1"/>
      <c r="H65" s="1"/>
      <c r="I65" s="1"/>
      <c r="J65" s="1"/>
      <c r="K65" s="1"/>
    </row>
    <row r="66" spans="1:11" x14ac:dyDescent="0.2">
      <c r="A66" s="1" t="s">
        <v>74</v>
      </c>
      <c r="B66" s="1"/>
      <c r="C66" s="1"/>
      <c r="D66" s="1"/>
      <c r="E66" s="1">
        <v>20</v>
      </c>
      <c r="F66" s="1"/>
      <c r="G66" s="1"/>
      <c r="H66" s="1"/>
      <c r="I66" s="1"/>
      <c r="J66" s="1"/>
      <c r="K66" s="1"/>
    </row>
    <row r="67" spans="1:11" x14ac:dyDescent="0.2">
      <c r="A67" s="1" t="s">
        <v>75</v>
      </c>
      <c r="B67" s="1"/>
      <c r="C67" s="1"/>
      <c r="D67" s="1"/>
      <c r="E67" s="1">
        <v>68</v>
      </c>
      <c r="F67" s="4">
        <v>85</v>
      </c>
      <c r="G67" s="1"/>
      <c r="H67" s="1"/>
      <c r="I67" s="1"/>
      <c r="J67" s="1"/>
      <c r="K67" s="1"/>
    </row>
    <row r="68" spans="1:11" x14ac:dyDescent="0.2">
      <c r="A68" s="1" t="s">
        <v>76</v>
      </c>
      <c r="B68" s="1"/>
      <c r="C68" s="1"/>
      <c r="D68" s="1"/>
      <c r="E68" s="1" t="s">
        <v>77</v>
      </c>
      <c r="F68" s="1"/>
      <c r="G68" s="1"/>
      <c r="H68" s="1"/>
      <c r="I68" s="1"/>
      <c r="J68" s="1"/>
      <c r="K68" s="1"/>
    </row>
    <row r="69" spans="1:11" x14ac:dyDescent="0.2">
      <c r="A69" s="1" t="s">
        <v>65</v>
      </c>
      <c r="B69" s="1"/>
      <c r="C69" s="1"/>
      <c r="D69" s="1"/>
      <c r="E69" s="1">
        <v>5</v>
      </c>
      <c r="F69" s="1"/>
      <c r="G69" s="1"/>
      <c r="H69" s="1"/>
      <c r="I69" s="1"/>
      <c r="J69" s="1"/>
      <c r="K69" s="1"/>
    </row>
    <row r="70" spans="1:11" x14ac:dyDescent="0.2">
      <c r="A70" s="1" t="s">
        <v>78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 spans="1:11" x14ac:dyDescent="0.2">
      <c r="A71" s="1" t="s">
        <v>79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 spans="1:11" x14ac:dyDescent="0.2">
      <c r="A72" s="1" t="s">
        <v>66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 spans="1:11" x14ac:dyDescent="0.2">
      <c r="A73" s="1" t="s">
        <v>80</v>
      </c>
      <c r="B73" s="1"/>
      <c r="C73" s="1"/>
      <c r="D73" s="1"/>
      <c r="E73" s="1">
        <v>24000</v>
      </c>
      <c r="F73" s="1"/>
      <c r="G73" s="1"/>
      <c r="H73" s="1"/>
      <c r="I73" s="1"/>
      <c r="J73" s="1"/>
      <c r="K73" s="1"/>
    </row>
    <row r="74" spans="1:11" x14ac:dyDescent="0.2">
      <c r="A74" s="1" t="s">
        <v>81</v>
      </c>
      <c r="B74" s="1"/>
      <c r="C74" s="1"/>
      <c r="D74" s="1"/>
      <c r="E74" s="1" t="s">
        <v>82</v>
      </c>
      <c r="F74" s="1"/>
      <c r="G74" s="1"/>
      <c r="H74" s="1"/>
      <c r="I74" s="1"/>
      <c r="J74" s="1"/>
      <c r="K74" s="1"/>
    </row>
    <row r="75" spans="1:11" x14ac:dyDescent="0.2">
      <c r="A75" s="1" t="s">
        <v>67</v>
      </c>
      <c r="B75" s="1"/>
      <c r="C75" s="1"/>
      <c r="D75" s="1"/>
      <c r="E75" s="1" t="s">
        <v>36</v>
      </c>
      <c r="F75" s="1"/>
      <c r="G75" s="1"/>
      <c r="H75" s="1"/>
      <c r="I75" s="1"/>
      <c r="J75" s="1"/>
      <c r="K75" s="1"/>
    </row>
    <row r="76" spans="1:1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">
      <c r="A77" s="1" t="s">
        <v>59</v>
      </c>
      <c r="B77" s="1"/>
      <c r="C77" s="1"/>
      <c r="D77" s="1"/>
      <c r="E77" s="1">
        <v>835</v>
      </c>
      <c r="F77" s="1"/>
      <c r="G77" s="1"/>
      <c r="H77" s="1"/>
      <c r="I77" s="1"/>
      <c r="J77" s="1"/>
      <c r="K77" s="1"/>
    </row>
    <row r="78" spans="1:11" x14ac:dyDescent="0.2">
      <c r="A78" s="1" t="s">
        <v>60</v>
      </c>
      <c r="B78" s="1"/>
      <c r="C78" s="1"/>
      <c r="D78" s="1"/>
      <c r="E78" s="1" t="s">
        <v>61</v>
      </c>
      <c r="F78" s="1"/>
      <c r="G78" s="1"/>
      <c r="H78" s="1"/>
      <c r="I78" s="1"/>
      <c r="J78" s="1"/>
      <c r="K78" s="1"/>
    </row>
    <row r="79" spans="1:11" x14ac:dyDescent="0.2">
      <c r="A79" s="1" t="s">
        <v>62</v>
      </c>
      <c r="B79" s="1"/>
      <c r="C79" s="1"/>
      <c r="D79" s="1"/>
      <c r="E79" s="1">
        <v>2.5</v>
      </c>
      <c r="F79" s="1"/>
      <c r="G79" s="1"/>
      <c r="H79" s="1"/>
      <c r="I79" s="1"/>
      <c r="J79" s="1"/>
      <c r="K79" s="1"/>
    </row>
    <row r="80" spans="1:11" x14ac:dyDescent="0.2">
      <c r="A80" s="1" t="s">
        <v>63</v>
      </c>
      <c r="B80" s="1"/>
      <c r="C80" s="1"/>
      <c r="D80" s="1"/>
      <c r="E80" s="1">
        <v>216</v>
      </c>
      <c r="F80" s="1"/>
      <c r="G80" s="1"/>
      <c r="H80" s="1"/>
      <c r="I80" s="1"/>
      <c r="J80" s="1"/>
      <c r="K80" s="1"/>
    </row>
    <row r="81" spans="1:99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99" x14ac:dyDescent="0.2">
      <c r="A82" s="1" t="s">
        <v>49</v>
      </c>
      <c r="B82" s="1"/>
      <c r="C82" s="1"/>
      <c r="D82" s="1"/>
      <c r="E82" s="1" t="s">
        <v>83</v>
      </c>
      <c r="F82" s="1"/>
      <c r="G82" s="1"/>
      <c r="H82" s="1"/>
      <c r="I82" s="1"/>
      <c r="J82" s="1"/>
      <c r="K82" s="1"/>
    </row>
    <row r="83" spans="1:99" ht="16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99" ht="16" thickBot="1" x14ac:dyDescent="0.25">
      <c r="A84" s="1" t="s">
        <v>29</v>
      </c>
      <c r="B84" s="1"/>
      <c r="C84" s="1"/>
      <c r="D84" s="1"/>
      <c r="E84" s="1"/>
      <c r="F84" s="1"/>
      <c r="G84" s="1"/>
      <c r="H84" s="1"/>
      <c r="I84" s="1"/>
      <c r="J84" s="1"/>
      <c r="K84" s="1"/>
      <c r="AO84" s="9" t="s">
        <v>217</v>
      </c>
      <c r="AP84" s="10" t="s">
        <v>218</v>
      </c>
      <c r="AQ84" s="10" t="s">
        <v>219</v>
      </c>
      <c r="AR84" s="10" t="s">
        <v>220</v>
      </c>
      <c r="AS84" s="10" t="s">
        <v>221</v>
      </c>
      <c r="AT84" s="10" t="s">
        <v>222</v>
      </c>
      <c r="AU84" s="10" t="s">
        <v>223</v>
      </c>
      <c r="AV84" s="10" t="s">
        <v>224</v>
      </c>
      <c r="AW84" s="11" t="s">
        <v>225</v>
      </c>
      <c r="BA84" s="24" t="s">
        <v>226</v>
      </c>
      <c r="BB84" s="25" t="s">
        <v>227</v>
      </c>
      <c r="BC84" s="25" t="s">
        <v>228</v>
      </c>
      <c r="BD84" s="25" t="s">
        <v>229</v>
      </c>
      <c r="BE84" s="25" t="s">
        <v>230</v>
      </c>
      <c r="BF84" s="25" t="s">
        <v>231</v>
      </c>
      <c r="BG84" s="25" t="s">
        <v>232</v>
      </c>
      <c r="BH84" s="25" t="s">
        <v>233</v>
      </c>
      <c r="BI84" s="26" t="s">
        <v>234</v>
      </c>
      <c r="BM84" s="24" t="s">
        <v>235</v>
      </c>
      <c r="BN84" s="25" t="s">
        <v>236</v>
      </c>
      <c r="BO84" s="25" t="s">
        <v>237</v>
      </c>
      <c r="BP84" s="25" t="s">
        <v>238</v>
      </c>
      <c r="BQ84" s="25" t="s">
        <v>239</v>
      </c>
      <c r="BR84" s="25" t="s">
        <v>240</v>
      </c>
      <c r="BS84" s="25" t="s">
        <v>241</v>
      </c>
      <c r="BT84" s="25" t="s">
        <v>242</v>
      </c>
      <c r="BU84" s="26" t="s">
        <v>243</v>
      </c>
    </row>
    <row r="85" spans="1:99" x14ac:dyDescent="0.2">
      <c r="A85" s="3" t="s">
        <v>84</v>
      </c>
      <c r="B85" s="3" t="s">
        <v>85</v>
      </c>
      <c r="C85" s="3" t="s">
        <v>86</v>
      </c>
      <c r="D85" s="3" t="s">
        <v>87</v>
      </c>
      <c r="E85" s="3" t="s">
        <v>88</v>
      </c>
      <c r="F85" s="3" t="s">
        <v>89</v>
      </c>
      <c r="G85" s="3" t="s">
        <v>90</v>
      </c>
      <c r="H85" s="3" t="s">
        <v>91</v>
      </c>
      <c r="I85" s="3" t="s">
        <v>92</v>
      </c>
      <c r="J85" s="3" t="s">
        <v>93</v>
      </c>
      <c r="K85" s="3" t="s">
        <v>94</v>
      </c>
      <c r="L85" s="3" t="s">
        <v>95</v>
      </c>
      <c r="M85" s="3" t="s">
        <v>96</v>
      </c>
      <c r="N85" s="3" t="s">
        <v>97</v>
      </c>
      <c r="O85" s="3" t="s">
        <v>98</v>
      </c>
      <c r="P85" s="3" t="s">
        <v>99</v>
      </c>
      <c r="Q85" s="3" t="s">
        <v>100</v>
      </c>
      <c r="R85" s="3" t="s">
        <v>101</v>
      </c>
      <c r="S85" s="3" t="s">
        <v>102</v>
      </c>
      <c r="T85" s="3" t="s">
        <v>103</v>
      </c>
      <c r="U85" s="3" t="s">
        <v>104</v>
      </c>
      <c r="V85" s="3" t="s">
        <v>105</v>
      </c>
      <c r="W85" s="3" t="s">
        <v>106</v>
      </c>
      <c r="X85" s="3" t="s">
        <v>107</v>
      </c>
      <c r="Y85" s="3" t="s">
        <v>108</v>
      </c>
      <c r="Z85" s="3" t="s">
        <v>109</v>
      </c>
      <c r="AA85" s="3" t="s">
        <v>110</v>
      </c>
      <c r="AB85" s="3" t="s">
        <v>111</v>
      </c>
      <c r="AC85" s="3" t="s">
        <v>112</v>
      </c>
      <c r="AD85" s="3" t="s">
        <v>113</v>
      </c>
      <c r="AE85" s="3" t="s">
        <v>114</v>
      </c>
      <c r="AF85" s="3" t="s">
        <v>115</v>
      </c>
      <c r="AG85" s="3" t="s">
        <v>116</v>
      </c>
      <c r="AH85" s="3" t="s">
        <v>117</v>
      </c>
      <c r="AI85" s="3" t="s">
        <v>118</v>
      </c>
      <c r="AJ85" s="3" t="s">
        <v>119</v>
      </c>
      <c r="AK85" s="3" t="s">
        <v>120</v>
      </c>
      <c r="AL85" s="3" t="s">
        <v>121</v>
      </c>
      <c r="AM85" s="3" t="s">
        <v>122</v>
      </c>
      <c r="AN85" s="3" t="s">
        <v>123</v>
      </c>
      <c r="AO85" s="3" t="s">
        <v>124</v>
      </c>
      <c r="AP85" s="3" t="s">
        <v>125</v>
      </c>
      <c r="AQ85" s="3" t="s">
        <v>126</v>
      </c>
      <c r="AR85" s="3" t="s">
        <v>127</v>
      </c>
      <c r="AS85" s="3" t="s">
        <v>128</v>
      </c>
      <c r="AT85" s="3" t="s">
        <v>129</v>
      </c>
      <c r="AU85" s="3" t="s">
        <v>130</v>
      </c>
      <c r="AV85" s="3" t="s">
        <v>131</v>
      </c>
      <c r="AW85" s="3" t="s">
        <v>132</v>
      </c>
      <c r="AX85" s="3" t="s">
        <v>133</v>
      </c>
      <c r="AY85" s="3" t="s">
        <v>134</v>
      </c>
      <c r="AZ85" s="3" t="s">
        <v>135</v>
      </c>
      <c r="BA85" s="3" t="s">
        <v>136</v>
      </c>
      <c r="BB85" s="3" t="s">
        <v>137</v>
      </c>
      <c r="BC85" s="3" t="s">
        <v>138</v>
      </c>
      <c r="BD85" s="3" t="s">
        <v>139</v>
      </c>
      <c r="BE85" s="3" t="s">
        <v>140</v>
      </c>
      <c r="BF85" s="3" t="s">
        <v>141</v>
      </c>
      <c r="BG85" s="3" t="s">
        <v>142</v>
      </c>
      <c r="BH85" s="3" t="s">
        <v>143</v>
      </c>
      <c r="BI85" s="3" t="s">
        <v>144</v>
      </c>
      <c r="BJ85" s="3" t="s">
        <v>145</v>
      </c>
      <c r="BK85" s="3" t="s">
        <v>146</v>
      </c>
      <c r="BL85" s="3" t="s">
        <v>147</v>
      </c>
      <c r="BM85" s="3" t="s">
        <v>148</v>
      </c>
      <c r="BN85" s="3" t="s">
        <v>149</v>
      </c>
      <c r="BO85" s="3" t="s">
        <v>150</v>
      </c>
      <c r="BP85" s="3" t="s">
        <v>151</v>
      </c>
      <c r="BQ85" s="3" t="s">
        <v>152</v>
      </c>
      <c r="BR85" s="3" t="s">
        <v>153</v>
      </c>
      <c r="BS85" s="3" t="s">
        <v>154</v>
      </c>
      <c r="BT85" s="3" t="s">
        <v>155</v>
      </c>
      <c r="BU85" s="3" t="s">
        <v>156</v>
      </c>
      <c r="BV85" s="3" t="s">
        <v>157</v>
      </c>
      <c r="BW85" s="3" t="s">
        <v>158</v>
      </c>
      <c r="BX85" s="3" t="s">
        <v>159</v>
      </c>
      <c r="BY85" s="3" t="s">
        <v>160</v>
      </c>
      <c r="BZ85" s="3" t="s">
        <v>161</v>
      </c>
      <c r="CA85" s="3" t="s">
        <v>162</v>
      </c>
      <c r="CB85" s="3" t="s">
        <v>163</v>
      </c>
      <c r="CC85" s="3" t="s">
        <v>164</v>
      </c>
      <c r="CD85" s="3" t="s">
        <v>165</v>
      </c>
      <c r="CE85" s="3" t="s">
        <v>166</v>
      </c>
      <c r="CF85" s="3" t="s">
        <v>167</v>
      </c>
      <c r="CG85" s="3" t="s">
        <v>168</v>
      </c>
      <c r="CH85" s="3" t="s">
        <v>169</v>
      </c>
      <c r="CI85" s="3" t="s">
        <v>170</v>
      </c>
      <c r="CJ85" s="3" t="s">
        <v>171</v>
      </c>
      <c r="CK85" s="3" t="s">
        <v>172</v>
      </c>
      <c r="CL85" s="3" t="s">
        <v>173</v>
      </c>
      <c r="CM85" s="3" t="s">
        <v>174</v>
      </c>
      <c r="CN85" s="3" t="s">
        <v>175</v>
      </c>
      <c r="CO85" s="3" t="s">
        <v>176</v>
      </c>
      <c r="CP85" s="3" t="s">
        <v>177</v>
      </c>
      <c r="CQ85" s="3" t="s">
        <v>178</v>
      </c>
      <c r="CR85" s="3" t="s">
        <v>179</v>
      </c>
      <c r="CS85" s="3" t="s">
        <v>180</v>
      </c>
      <c r="CT85" s="3" t="s">
        <v>181</v>
      </c>
      <c r="CU85" s="3" t="s">
        <v>182</v>
      </c>
    </row>
    <row r="86" spans="1:99" x14ac:dyDescent="0.2">
      <c r="A86" s="3" t="s">
        <v>37</v>
      </c>
      <c r="B86" s="1">
        <v>0</v>
      </c>
      <c r="C86" s="1">
        <v>31.5</v>
      </c>
      <c r="D86" s="1">
        <f>B86/3600</f>
        <v>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>
        <v>0.1066</v>
      </c>
      <c r="AP86" s="1">
        <v>0.10539999999999999</v>
      </c>
      <c r="AQ86" s="1">
        <v>0.1042</v>
      </c>
      <c r="AR86" s="1">
        <v>0.10249999999999999</v>
      </c>
      <c r="AS86" s="1">
        <v>0.10440000000000001</v>
      </c>
      <c r="AT86" s="1">
        <v>0.1047</v>
      </c>
      <c r="AU86" s="1">
        <v>9.9400000000000002E-2</v>
      </c>
      <c r="AV86" s="1">
        <v>0.1011</v>
      </c>
      <c r="AW86" s="1">
        <v>0.1147</v>
      </c>
      <c r="AX86" s="1"/>
      <c r="AY86" s="1"/>
      <c r="AZ86" s="1"/>
      <c r="BA86" s="1">
        <v>0.1062</v>
      </c>
      <c r="BB86" s="1">
        <v>0.1051</v>
      </c>
      <c r="BC86" s="1">
        <v>0.11070000000000001</v>
      </c>
      <c r="BD86" s="1">
        <v>0.1137</v>
      </c>
      <c r="BE86" s="1">
        <v>0.11119999999999999</v>
      </c>
      <c r="BF86" s="1">
        <v>0.1111</v>
      </c>
      <c r="BG86" s="1">
        <v>0.10340000000000001</v>
      </c>
      <c r="BH86" s="1">
        <v>0.1055</v>
      </c>
      <c r="BI86" s="1">
        <v>0.10979999999999999</v>
      </c>
      <c r="BJ86" s="1"/>
      <c r="BK86" s="1"/>
      <c r="BL86" s="1"/>
      <c r="BM86" s="1">
        <v>0.10680000000000001</v>
      </c>
      <c r="BN86" s="1">
        <v>0.10100000000000001</v>
      </c>
      <c r="BO86" s="1">
        <v>0.10879999999999999</v>
      </c>
      <c r="BP86" s="1">
        <v>0.10780000000000001</v>
      </c>
      <c r="BQ86" s="1">
        <v>0.10879999999999999</v>
      </c>
      <c r="BR86" s="1">
        <v>0.11070000000000001</v>
      </c>
      <c r="BS86" s="1">
        <v>0.1047</v>
      </c>
      <c r="BT86" s="1">
        <v>0.1057</v>
      </c>
      <c r="BU86" s="1">
        <v>0.1075</v>
      </c>
      <c r="BV86" s="1"/>
      <c r="BW86" s="1"/>
      <c r="BX86" s="1"/>
      <c r="BY86" s="1">
        <v>9.7600000000000006E-2</v>
      </c>
      <c r="BZ86" s="1">
        <v>0.10009999999999999</v>
      </c>
      <c r="CA86" s="1">
        <v>9.8299999999999998E-2</v>
      </c>
      <c r="CB86" s="1">
        <v>9.9199999999999997E-2</v>
      </c>
      <c r="CC86" s="1">
        <v>9.7500000000000003E-2</v>
      </c>
      <c r="CD86" s="1">
        <v>9.7500000000000003E-2</v>
      </c>
      <c r="CE86" s="1">
        <v>9.7600000000000006E-2</v>
      </c>
      <c r="CF86" s="1">
        <v>9.6600000000000005E-2</v>
      </c>
      <c r="CG86" s="1">
        <v>9.7900000000000001E-2</v>
      </c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 x14ac:dyDescent="0.2">
      <c r="A87" s="3" t="s">
        <v>38</v>
      </c>
      <c r="B87" s="1">
        <v>859.279</v>
      </c>
      <c r="C87" s="1">
        <v>34.1</v>
      </c>
      <c r="D87" s="1">
        <f t="shared" ref="D87:D120" si="0">B87/3600</f>
        <v>0.23868861111111112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>
        <v>0.1027</v>
      </c>
      <c r="AP87" s="1">
        <v>0.1026</v>
      </c>
      <c r="AQ87" s="1">
        <v>0.1023</v>
      </c>
      <c r="AR87" s="1">
        <v>0.1027</v>
      </c>
      <c r="AS87" s="1">
        <v>0.1021</v>
      </c>
      <c r="AT87" s="1">
        <v>0.10299999999999999</v>
      </c>
      <c r="AU87" s="1">
        <v>0.1019</v>
      </c>
      <c r="AV87" s="1">
        <v>0.1024</v>
      </c>
      <c r="AW87" s="1">
        <v>0.1084</v>
      </c>
      <c r="AX87" s="1"/>
      <c r="AY87" s="1"/>
      <c r="AZ87" s="1"/>
      <c r="BA87" s="1">
        <v>0.107</v>
      </c>
      <c r="BB87" s="1">
        <v>0.10349999999999999</v>
      </c>
      <c r="BC87" s="1">
        <v>0.1027</v>
      </c>
      <c r="BD87" s="1">
        <v>0.10299999999999999</v>
      </c>
      <c r="BE87" s="1">
        <v>0.1026</v>
      </c>
      <c r="BF87" s="1">
        <v>0.10440000000000001</v>
      </c>
      <c r="BG87" s="1">
        <v>0.10340000000000001</v>
      </c>
      <c r="BH87" s="1">
        <v>0.1042</v>
      </c>
      <c r="BI87" s="1">
        <v>0.1065</v>
      </c>
      <c r="BJ87" s="1"/>
      <c r="BK87" s="1"/>
      <c r="BL87" s="1"/>
      <c r="BM87" s="1">
        <v>0.1041</v>
      </c>
      <c r="BN87" s="1">
        <v>0.1038</v>
      </c>
      <c r="BO87" s="1">
        <v>0.1032</v>
      </c>
      <c r="BP87" s="1">
        <v>0.1032</v>
      </c>
      <c r="BQ87" s="1">
        <v>0.1026</v>
      </c>
      <c r="BR87" s="1">
        <v>0.1045</v>
      </c>
      <c r="BS87" s="1">
        <v>0.10390000000000001</v>
      </c>
      <c r="BT87" s="1">
        <v>0.10349999999999999</v>
      </c>
      <c r="BU87" s="1">
        <v>0.1062</v>
      </c>
      <c r="BV87" s="1"/>
      <c r="BW87" s="1"/>
      <c r="BX87" s="1"/>
      <c r="BY87" s="1">
        <v>9.7299999999999998E-2</v>
      </c>
      <c r="BZ87" s="1">
        <v>0.1</v>
      </c>
      <c r="CA87" s="1">
        <v>9.7799999999999998E-2</v>
      </c>
      <c r="CB87" s="1">
        <v>9.8199999999999996E-2</v>
      </c>
      <c r="CC87" s="1">
        <v>9.69E-2</v>
      </c>
      <c r="CD87" s="1">
        <v>9.6799999999999997E-2</v>
      </c>
      <c r="CE87" s="1">
        <v>9.6699999999999994E-2</v>
      </c>
      <c r="CF87" s="1">
        <v>9.7100000000000006E-2</v>
      </c>
      <c r="CG87" s="1">
        <v>9.74E-2</v>
      </c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 x14ac:dyDescent="0.2">
      <c r="A88" s="3" t="s">
        <v>39</v>
      </c>
      <c r="B88" s="1">
        <v>1717.883</v>
      </c>
      <c r="C88" s="1">
        <v>36.6</v>
      </c>
      <c r="D88" s="1">
        <f t="shared" si="0"/>
        <v>0.47718972222222222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>
        <v>0.10390000000000001</v>
      </c>
      <c r="AP88" s="1">
        <v>0.1027</v>
      </c>
      <c r="AQ88" s="1">
        <v>0.10290000000000001</v>
      </c>
      <c r="AR88" s="1">
        <v>0.1037</v>
      </c>
      <c r="AS88" s="1">
        <v>0.10249999999999999</v>
      </c>
      <c r="AT88" s="1">
        <v>0.1038</v>
      </c>
      <c r="AU88" s="1">
        <v>0.1027</v>
      </c>
      <c r="AV88" s="1">
        <v>0.1028</v>
      </c>
      <c r="AW88" s="1">
        <v>0.1089</v>
      </c>
      <c r="AX88" s="1"/>
      <c r="AY88" s="1"/>
      <c r="AZ88" s="1"/>
      <c r="BA88" s="1">
        <v>0.1081</v>
      </c>
      <c r="BB88" s="1">
        <v>0.1042</v>
      </c>
      <c r="BC88" s="1">
        <v>0.1033</v>
      </c>
      <c r="BD88" s="1">
        <v>0.1037</v>
      </c>
      <c r="BE88" s="1">
        <v>0.1028</v>
      </c>
      <c r="BF88" s="1">
        <v>0.1045</v>
      </c>
      <c r="BG88" s="1">
        <v>0.1037</v>
      </c>
      <c r="BH88" s="1">
        <v>0.1045</v>
      </c>
      <c r="BI88" s="1">
        <v>0.107</v>
      </c>
      <c r="BJ88" s="1"/>
      <c r="BK88" s="1"/>
      <c r="BL88" s="1"/>
      <c r="BM88" s="1">
        <v>0.1055</v>
      </c>
      <c r="BN88" s="1">
        <v>0.1038</v>
      </c>
      <c r="BO88" s="1">
        <v>0.1038</v>
      </c>
      <c r="BP88" s="1">
        <v>0.10390000000000001</v>
      </c>
      <c r="BQ88" s="1">
        <v>0.10340000000000001</v>
      </c>
      <c r="BR88" s="1">
        <v>0.10489999999999999</v>
      </c>
      <c r="BS88" s="1">
        <v>0.10390000000000001</v>
      </c>
      <c r="BT88" s="1">
        <v>0.1037</v>
      </c>
      <c r="BU88" s="1">
        <v>0.1065</v>
      </c>
      <c r="BV88" s="1"/>
      <c r="BW88" s="1"/>
      <c r="BX88" s="1"/>
      <c r="BY88" s="1">
        <v>9.7199999999999995E-2</v>
      </c>
      <c r="BZ88" s="1">
        <v>9.9500000000000005E-2</v>
      </c>
      <c r="CA88" s="1">
        <v>9.7600000000000006E-2</v>
      </c>
      <c r="CB88" s="1">
        <v>9.8100000000000007E-2</v>
      </c>
      <c r="CC88" s="1">
        <v>9.6799999999999997E-2</v>
      </c>
      <c r="CD88" s="1">
        <v>9.6699999999999994E-2</v>
      </c>
      <c r="CE88" s="1">
        <v>9.8000000000000004E-2</v>
      </c>
      <c r="CF88" s="1">
        <v>9.5799999999999996E-2</v>
      </c>
      <c r="CG88" s="1">
        <v>9.7299999999999998E-2</v>
      </c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spans="1:99" x14ac:dyDescent="0.2">
      <c r="A89" s="3" t="s">
        <v>40</v>
      </c>
      <c r="B89" s="1">
        <v>2576.8240000000001</v>
      </c>
      <c r="C89" s="1">
        <v>37.1</v>
      </c>
      <c r="D89" s="1">
        <f t="shared" si="0"/>
        <v>0.71578444444444445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>
        <v>0.1074</v>
      </c>
      <c r="AP89" s="1">
        <v>0.106</v>
      </c>
      <c r="AQ89" s="1">
        <v>0.1055</v>
      </c>
      <c r="AR89" s="1">
        <v>0.1071</v>
      </c>
      <c r="AS89" s="1">
        <v>0.1048</v>
      </c>
      <c r="AT89" s="1">
        <v>0.10639999999999999</v>
      </c>
      <c r="AU89" s="1">
        <v>0.1051</v>
      </c>
      <c r="AV89" s="1">
        <v>0.1052</v>
      </c>
      <c r="AW89" s="1">
        <v>0.112</v>
      </c>
      <c r="AX89" s="1"/>
      <c r="AY89" s="1"/>
      <c r="AZ89" s="1"/>
      <c r="BA89" s="1">
        <v>0.1114</v>
      </c>
      <c r="BB89" s="1">
        <v>0.107</v>
      </c>
      <c r="BC89" s="1">
        <v>0.106</v>
      </c>
      <c r="BD89" s="1">
        <v>0.10680000000000001</v>
      </c>
      <c r="BE89" s="1">
        <v>0.1055</v>
      </c>
      <c r="BF89" s="1">
        <v>0.1067</v>
      </c>
      <c r="BG89" s="1">
        <v>0.1061</v>
      </c>
      <c r="BH89" s="1">
        <v>0.1067</v>
      </c>
      <c r="BI89" s="1">
        <v>0.1095</v>
      </c>
      <c r="BJ89" s="1"/>
      <c r="BK89" s="1"/>
      <c r="BL89" s="1"/>
      <c r="BM89" s="1">
        <v>0.10920000000000001</v>
      </c>
      <c r="BN89" s="1">
        <v>0.10730000000000001</v>
      </c>
      <c r="BO89" s="1">
        <v>0.1065</v>
      </c>
      <c r="BP89" s="1">
        <v>0.10680000000000001</v>
      </c>
      <c r="BQ89" s="1">
        <v>0.1055</v>
      </c>
      <c r="BR89" s="1">
        <v>0.1077</v>
      </c>
      <c r="BS89" s="1">
        <v>0.1062</v>
      </c>
      <c r="BT89" s="1">
        <v>0.1062</v>
      </c>
      <c r="BU89" s="1">
        <v>0.10920000000000001</v>
      </c>
      <c r="BV89" s="1"/>
      <c r="BW89" s="1"/>
      <c r="BX89" s="1"/>
      <c r="BY89" s="1">
        <v>9.7000000000000003E-2</v>
      </c>
      <c r="BZ89" s="1">
        <v>9.9599999999999994E-2</v>
      </c>
      <c r="CA89" s="1">
        <v>9.7699999999999995E-2</v>
      </c>
      <c r="CB89" s="1">
        <v>9.8100000000000007E-2</v>
      </c>
      <c r="CC89" s="1">
        <v>9.6500000000000002E-2</v>
      </c>
      <c r="CD89" s="1">
        <v>9.6699999999999994E-2</v>
      </c>
      <c r="CE89" s="1">
        <v>9.7199999999999995E-2</v>
      </c>
      <c r="CF89" s="1">
        <v>9.6600000000000005E-2</v>
      </c>
      <c r="CG89" s="1">
        <v>9.7699999999999995E-2</v>
      </c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spans="1:99" x14ac:dyDescent="0.2">
      <c r="A90" s="3" t="s">
        <v>41</v>
      </c>
      <c r="B90" s="1">
        <v>3435.4450000000002</v>
      </c>
      <c r="C90" s="1">
        <v>37.1</v>
      </c>
      <c r="D90" s="1">
        <f t="shared" si="0"/>
        <v>0.95429027777777786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>
        <v>0.112</v>
      </c>
      <c r="AP90" s="1">
        <v>0.1095</v>
      </c>
      <c r="AQ90" s="1">
        <v>0.1099</v>
      </c>
      <c r="AR90" s="1">
        <v>0.1119</v>
      </c>
      <c r="AS90" s="1">
        <v>0.1086</v>
      </c>
      <c r="AT90" s="1">
        <v>0.1116</v>
      </c>
      <c r="AU90" s="1">
        <v>0.10929999999999999</v>
      </c>
      <c r="AV90" s="1">
        <v>0.10920000000000001</v>
      </c>
      <c r="AW90" s="1">
        <v>0.11700000000000001</v>
      </c>
      <c r="AX90" s="1"/>
      <c r="AY90" s="1"/>
      <c r="AZ90" s="1"/>
      <c r="BA90" s="1">
        <v>0.1181</v>
      </c>
      <c r="BB90" s="1">
        <v>0.1128</v>
      </c>
      <c r="BC90" s="1">
        <v>0.1116</v>
      </c>
      <c r="BD90" s="1">
        <v>0.11269999999999999</v>
      </c>
      <c r="BE90" s="1">
        <v>0.11</v>
      </c>
      <c r="BF90" s="1">
        <v>0.1118</v>
      </c>
      <c r="BG90" s="1">
        <v>0.1105</v>
      </c>
      <c r="BH90" s="1">
        <v>0.1115</v>
      </c>
      <c r="BI90" s="1">
        <v>0.1145</v>
      </c>
      <c r="BJ90" s="1"/>
      <c r="BK90" s="1"/>
      <c r="BL90" s="1"/>
      <c r="BM90" s="1">
        <v>0.11609999999999999</v>
      </c>
      <c r="BN90" s="1">
        <v>0.1135</v>
      </c>
      <c r="BO90" s="1">
        <v>0.1111</v>
      </c>
      <c r="BP90" s="1">
        <v>0.11260000000000001</v>
      </c>
      <c r="BQ90" s="1">
        <v>0.10970000000000001</v>
      </c>
      <c r="BR90" s="1">
        <v>0.11260000000000001</v>
      </c>
      <c r="BS90" s="1">
        <v>0.1104</v>
      </c>
      <c r="BT90" s="1">
        <v>0.1106</v>
      </c>
      <c r="BU90" s="1">
        <v>0.1137</v>
      </c>
      <c r="BV90" s="1"/>
      <c r="BW90" s="1"/>
      <c r="BX90" s="1"/>
      <c r="BY90" s="1">
        <v>9.7100000000000006E-2</v>
      </c>
      <c r="BZ90" s="1">
        <v>0.1</v>
      </c>
      <c r="CA90" s="1">
        <v>9.7299999999999998E-2</v>
      </c>
      <c r="CB90" s="1">
        <v>9.8199999999999996E-2</v>
      </c>
      <c r="CC90" s="1">
        <v>9.6699999999999994E-2</v>
      </c>
      <c r="CD90" s="1">
        <v>9.6299999999999997E-2</v>
      </c>
      <c r="CE90" s="1">
        <v>9.6600000000000005E-2</v>
      </c>
      <c r="CF90" s="1">
        <v>9.6500000000000002E-2</v>
      </c>
      <c r="CG90" s="1">
        <v>9.74E-2</v>
      </c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spans="1:99" x14ac:dyDescent="0.2">
      <c r="A91" s="3" t="s">
        <v>42</v>
      </c>
      <c r="B91" s="1">
        <v>4294.0469999999996</v>
      </c>
      <c r="C91" s="1">
        <v>36.4</v>
      </c>
      <c r="D91" s="1">
        <f t="shared" si="0"/>
        <v>1.1927908333333332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>
        <v>0.1202</v>
      </c>
      <c r="AP91" s="1">
        <v>0.1171</v>
      </c>
      <c r="AQ91" s="1">
        <v>0.11700000000000001</v>
      </c>
      <c r="AR91" s="1">
        <v>0.1207</v>
      </c>
      <c r="AS91" s="1">
        <v>0.1152</v>
      </c>
      <c r="AT91" s="1">
        <v>0.1197</v>
      </c>
      <c r="AU91" s="1">
        <v>0.1167</v>
      </c>
      <c r="AV91" s="1">
        <v>0.1173</v>
      </c>
      <c r="AW91" s="1">
        <v>0.1255</v>
      </c>
      <c r="AX91" s="1"/>
      <c r="AY91" s="1"/>
      <c r="AZ91" s="1"/>
      <c r="BA91" s="1">
        <v>0.12770000000000001</v>
      </c>
      <c r="BB91" s="1">
        <v>0.1208</v>
      </c>
      <c r="BC91" s="1">
        <v>0.1192</v>
      </c>
      <c r="BD91" s="1">
        <v>0.12130000000000001</v>
      </c>
      <c r="BE91" s="1">
        <v>0.1171</v>
      </c>
      <c r="BF91" s="1">
        <v>0.11890000000000001</v>
      </c>
      <c r="BG91" s="1">
        <v>0.1171</v>
      </c>
      <c r="BH91" s="1">
        <v>0.1198</v>
      </c>
      <c r="BI91" s="1">
        <v>0.1231</v>
      </c>
      <c r="BJ91" s="1"/>
      <c r="BK91" s="1"/>
      <c r="BL91" s="1"/>
      <c r="BM91" s="1">
        <v>0.12590000000000001</v>
      </c>
      <c r="BN91" s="1">
        <v>0.1226</v>
      </c>
      <c r="BO91" s="1">
        <v>0.11899999999999999</v>
      </c>
      <c r="BP91" s="1">
        <v>0.12139999999999999</v>
      </c>
      <c r="BQ91" s="1">
        <v>0.1171</v>
      </c>
      <c r="BR91" s="1">
        <v>0.12130000000000001</v>
      </c>
      <c r="BS91" s="1">
        <v>0.1178</v>
      </c>
      <c r="BT91" s="1">
        <v>0.1183</v>
      </c>
      <c r="BU91" s="1">
        <v>0.12130000000000001</v>
      </c>
      <c r="BV91" s="1"/>
      <c r="BW91" s="1"/>
      <c r="BX91" s="1"/>
      <c r="BY91" s="1">
        <v>9.7000000000000003E-2</v>
      </c>
      <c r="BZ91" s="1">
        <v>9.8799999999999999E-2</v>
      </c>
      <c r="CA91" s="1">
        <v>9.7100000000000006E-2</v>
      </c>
      <c r="CB91" s="1">
        <v>9.8000000000000004E-2</v>
      </c>
      <c r="CC91" s="1">
        <v>9.69E-2</v>
      </c>
      <c r="CD91" s="1">
        <v>9.64E-2</v>
      </c>
      <c r="CE91" s="1">
        <v>9.7699999999999995E-2</v>
      </c>
      <c r="CF91" s="1">
        <v>9.5899999999999999E-2</v>
      </c>
      <c r="CG91" s="1">
        <v>9.74E-2</v>
      </c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spans="1:99" x14ac:dyDescent="0.2">
      <c r="A92" s="3" t="s">
        <v>43</v>
      </c>
      <c r="B92" s="1">
        <v>5153.0010000000002</v>
      </c>
      <c r="C92" s="1">
        <v>37.9</v>
      </c>
      <c r="D92" s="1">
        <f t="shared" si="0"/>
        <v>1.4313891666666667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>
        <v>0.1358</v>
      </c>
      <c r="AP92" s="1">
        <v>0.12970000000000001</v>
      </c>
      <c r="AQ92" s="1">
        <v>0.1285</v>
      </c>
      <c r="AR92" s="1">
        <v>0.1356</v>
      </c>
      <c r="AS92" s="1">
        <v>0.12590000000000001</v>
      </c>
      <c r="AT92" s="1">
        <v>0.1331</v>
      </c>
      <c r="AU92" s="1">
        <v>0.128</v>
      </c>
      <c r="AV92" s="1">
        <v>0.12920000000000001</v>
      </c>
      <c r="AW92" s="1">
        <v>0.1371</v>
      </c>
      <c r="AX92" s="1"/>
      <c r="AY92" s="1"/>
      <c r="AZ92" s="1"/>
      <c r="BA92" s="1">
        <v>0.14299999999999999</v>
      </c>
      <c r="BB92" s="1">
        <v>0.1323</v>
      </c>
      <c r="BC92" s="1">
        <v>0.13159999999999999</v>
      </c>
      <c r="BD92" s="1">
        <v>0.13539999999999999</v>
      </c>
      <c r="BE92" s="1">
        <v>0.12690000000000001</v>
      </c>
      <c r="BF92" s="1">
        <v>0.13020000000000001</v>
      </c>
      <c r="BG92" s="1">
        <v>0.1288</v>
      </c>
      <c r="BH92" s="1">
        <v>0.1313</v>
      </c>
      <c r="BI92" s="1">
        <v>0.13450000000000001</v>
      </c>
      <c r="BJ92" s="1"/>
      <c r="BK92" s="1"/>
      <c r="BL92" s="1"/>
      <c r="BM92" s="1">
        <v>0.14460000000000001</v>
      </c>
      <c r="BN92" s="1">
        <v>0.13780000000000001</v>
      </c>
      <c r="BO92" s="1">
        <v>0.13109999999999999</v>
      </c>
      <c r="BP92" s="1">
        <v>0.13600000000000001</v>
      </c>
      <c r="BQ92" s="1">
        <v>0.1278</v>
      </c>
      <c r="BR92" s="1">
        <v>0.13320000000000001</v>
      </c>
      <c r="BS92" s="1">
        <v>0.1295</v>
      </c>
      <c r="BT92" s="1">
        <v>0.1305</v>
      </c>
      <c r="BU92" s="1">
        <v>0.13320000000000001</v>
      </c>
      <c r="BV92" s="1"/>
      <c r="BW92" s="1"/>
      <c r="BX92" s="1"/>
      <c r="BY92" s="1">
        <v>9.7100000000000006E-2</v>
      </c>
      <c r="BZ92" s="1">
        <v>9.9000000000000005E-2</v>
      </c>
      <c r="CA92" s="1">
        <v>9.7299999999999998E-2</v>
      </c>
      <c r="CB92" s="1">
        <v>9.8000000000000004E-2</v>
      </c>
      <c r="CC92" s="1">
        <v>9.6600000000000005E-2</v>
      </c>
      <c r="CD92" s="1">
        <v>9.6100000000000005E-2</v>
      </c>
      <c r="CE92" s="1">
        <v>9.6600000000000005E-2</v>
      </c>
      <c r="CF92" s="1">
        <v>9.6500000000000002E-2</v>
      </c>
      <c r="CG92" s="1">
        <v>9.7299999999999998E-2</v>
      </c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spans="1:99" x14ac:dyDescent="0.2">
      <c r="A93" s="3" t="s">
        <v>44</v>
      </c>
      <c r="B93" s="1">
        <v>6011.6589999999997</v>
      </c>
      <c r="C93" s="1">
        <v>37</v>
      </c>
      <c r="D93" s="1">
        <f t="shared" si="0"/>
        <v>1.6699052777777776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>
        <v>0.16309999999999999</v>
      </c>
      <c r="AP93" s="1">
        <v>0.15409999999999999</v>
      </c>
      <c r="AQ93" s="1">
        <v>0.15049999999999999</v>
      </c>
      <c r="AR93" s="1">
        <v>0.16120000000000001</v>
      </c>
      <c r="AS93" s="1">
        <v>0.14430000000000001</v>
      </c>
      <c r="AT93" s="1">
        <v>0.15529999999999999</v>
      </c>
      <c r="AU93" s="1">
        <v>0.14810000000000001</v>
      </c>
      <c r="AV93" s="1">
        <v>0.14949999999999999</v>
      </c>
      <c r="AW93" s="1">
        <v>0.15909999999999999</v>
      </c>
      <c r="AX93" s="1"/>
      <c r="AY93" s="1"/>
      <c r="AZ93" s="1"/>
      <c r="BA93" s="1">
        <v>0.1734</v>
      </c>
      <c r="BB93" s="1">
        <v>0.15640000000000001</v>
      </c>
      <c r="BC93" s="1">
        <v>0.15379999999999999</v>
      </c>
      <c r="BD93" s="1">
        <v>0.1613</v>
      </c>
      <c r="BE93" s="1">
        <v>0.14549999999999999</v>
      </c>
      <c r="BF93" s="1">
        <v>0.15079999999999999</v>
      </c>
      <c r="BG93" s="1">
        <v>0.14910000000000001</v>
      </c>
      <c r="BH93" s="1">
        <v>0.15029999999999999</v>
      </c>
      <c r="BI93" s="1">
        <v>0.15440000000000001</v>
      </c>
      <c r="BJ93" s="1"/>
      <c r="BK93" s="1"/>
      <c r="BL93" s="1"/>
      <c r="BM93" s="1">
        <v>0.17510000000000001</v>
      </c>
      <c r="BN93" s="1">
        <v>0.1636</v>
      </c>
      <c r="BO93" s="1">
        <v>0.152</v>
      </c>
      <c r="BP93" s="1">
        <v>0.15989999999999999</v>
      </c>
      <c r="BQ93" s="1">
        <v>0.14560000000000001</v>
      </c>
      <c r="BR93" s="1">
        <v>0.15490000000000001</v>
      </c>
      <c r="BS93" s="1">
        <v>0.1472</v>
      </c>
      <c r="BT93" s="1">
        <v>0.15</v>
      </c>
      <c r="BU93" s="1">
        <v>0.15160000000000001</v>
      </c>
      <c r="BV93" s="1"/>
      <c r="BW93" s="1"/>
      <c r="BX93" s="1"/>
      <c r="BY93" s="1">
        <v>9.69E-2</v>
      </c>
      <c r="BZ93" s="1">
        <v>9.8500000000000004E-2</v>
      </c>
      <c r="CA93" s="1">
        <v>9.74E-2</v>
      </c>
      <c r="CB93" s="1">
        <v>9.8299999999999998E-2</v>
      </c>
      <c r="CC93" s="1">
        <v>9.6600000000000005E-2</v>
      </c>
      <c r="CD93" s="1">
        <v>9.6500000000000002E-2</v>
      </c>
      <c r="CE93" s="1">
        <v>9.6799999999999997E-2</v>
      </c>
      <c r="CF93" s="1">
        <v>9.6500000000000002E-2</v>
      </c>
      <c r="CG93" s="1">
        <v>9.7100000000000006E-2</v>
      </c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spans="1:99" x14ac:dyDescent="0.2">
      <c r="A94" s="3" t="s">
        <v>45</v>
      </c>
      <c r="B94" s="1">
        <v>6870.22</v>
      </c>
      <c r="C94" s="1">
        <v>36.4</v>
      </c>
      <c r="D94" s="1">
        <f t="shared" si="0"/>
        <v>1.9083944444444445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>
        <v>0.20760000000000001</v>
      </c>
      <c r="AP94" s="1">
        <v>0.18959999999999999</v>
      </c>
      <c r="AQ94" s="1">
        <v>0.1862</v>
      </c>
      <c r="AR94" s="1">
        <v>0.2041</v>
      </c>
      <c r="AS94" s="1">
        <v>0.1759</v>
      </c>
      <c r="AT94" s="1">
        <v>0.1933</v>
      </c>
      <c r="AU94" s="1">
        <v>0.1835</v>
      </c>
      <c r="AV94" s="1">
        <v>0.18690000000000001</v>
      </c>
      <c r="AW94" s="1">
        <v>0.19570000000000001</v>
      </c>
      <c r="AX94" s="1"/>
      <c r="AY94" s="1"/>
      <c r="AZ94" s="1"/>
      <c r="BA94" s="1">
        <v>0.22059999999999999</v>
      </c>
      <c r="BB94" s="1">
        <v>0.1946</v>
      </c>
      <c r="BC94" s="1">
        <v>0.19009999999999999</v>
      </c>
      <c r="BD94" s="1">
        <v>0.20330000000000001</v>
      </c>
      <c r="BE94" s="1">
        <v>0.17599999999999999</v>
      </c>
      <c r="BF94" s="1">
        <v>0.18329999999999999</v>
      </c>
      <c r="BG94" s="1">
        <v>0.1817</v>
      </c>
      <c r="BH94" s="1">
        <v>0.18490000000000001</v>
      </c>
      <c r="BI94" s="1">
        <v>0.18579999999999999</v>
      </c>
      <c r="BJ94" s="1"/>
      <c r="BK94" s="1"/>
      <c r="BL94" s="1"/>
      <c r="BM94" s="1">
        <v>0.22520000000000001</v>
      </c>
      <c r="BN94" s="1">
        <v>0.20630000000000001</v>
      </c>
      <c r="BO94" s="1">
        <v>0.18709999999999999</v>
      </c>
      <c r="BP94" s="1">
        <v>0.2029</v>
      </c>
      <c r="BQ94" s="1">
        <v>0.17660000000000001</v>
      </c>
      <c r="BR94" s="1">
        <v>0.19109999999999999</v>
      </c>
      <c r="BS94" s="1">
        <v>0.17960000000000001</v>
      </c>
      <c r="BT94" s="1">
        <v>0.18429999999999999</v>
      </c>
      <c r="BU94" s="1">
        <v>0.1832</v>
      </c>
      <c r="BV94" s="1"/>
      <c r="BW94" s="1"/>
      <c r="BX94" s="1"/>
      <c r="BY94" s="1">
        <v>9.6799999999999997E-2</v>
      </c>
      <c r="BZ94" s="1">
        <v>9.7900000000000001E-2</v>
      </c>
      <c r="CA94" s="1">
        <v>9.74E-2</v>
      </c>
      <c r="CB94" s="1">
        <v>9.8199999999999996E-2</v>
      </c>
      <c r="CC94" s="1">
        <v>9.6500000000000002E-2</v>
      </c>
      <c r="CD94" s="1">
        <v>9.6799999999999997E-2</v>
      </c>
      <c r="CE94" s="1">
        <v>9.7199999999999995E-2</v>
      </c>
      <c r="CF94" s="1">
        <v>9.6000000000000002E-2</v>
      </c>
      <c r="CG94" s="1">
        <v>9.7299999999999998E-2</v>
      </c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spans="1:99" x14ac:dyDescent="0.2">
      <c r="A95" s="3" t="s">
        <v>46</v>
      </c>
      <c r="B95" s="1">
        <v>7729.165</v>
      </c>
      <c r="C95" s="1">
        <v>37.700000000000003</v>
      </c>
      <c r="D95" s="1">
        <f t="shared" si="0"/>
        <v>2.1469902777777778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>
        <v>0.27900000000000003</v>
      </c>
      <c r="AP95" s="1">
        <v>0.25230000000000002</v>
      </c>
      <c r="AQ95" s="1">
        <v>0.24340000000000001</v>
      </c>
      <c r="AR95" s="1">
        <v>0.27400000000000002</v>
      </c>
      <c r="AS95" s="1">
        <v>0.2223</v>
      </c>
      <c r="AT95" s="1">
        <v>0.24560000000000001</v>
      </c>
      <c r="AU95" s="1">
        <v>0.23230000000000001</v>
      </c>
      <c r="AV95" s="1">
        <v>0.23669999999999999</v>
      </c>
      <c r="AW95" s="1">
        <v>0.24440000000000001</v>
      </c>
      <c r="AX95" s="1"/>
      <c r="AY95" s="1"/>
      <c r="AZ95" s="1"/>
      <c r="BA95" s="1">
        <v>0.29349999999999998</v>
      </c>
      <c r="BB95" s="1">
        <v>0.25330000000000003</v>
      </c>
      <c r="BC95" s="1">
        <v>0.24679999999999999</v>
      </c>
      <c r="BD95" s="1">
        <v>0.26669999999999999</v>
      </c>
      <c r="BE95" s="1">
        <v>0.2205</v>
      </c>
      <c r="BF95" s="1">
        <v>0.23219999999999999</v>
      </c>
      <c r="BG95" s="1">
        <v>0.23069999999999999</v>
      </c>
      <c r="BH95" s="1">
        <v>0.23669999999999999</v>
      </c>
      <c r="BI95" s="1">
        <v>0.23130000000000001</v>
      </c>
      <c r="BJ95" s="1"/>
      <c r="BK95" s="1"/>
      <c r="BL95" s="1"/>
      <c r="BM95" s="1">
        <v>0.30449999999999999</v>
      </c>
      <c r="BN95" s="1">
        <v>0.27210000000000001</v>
      </c>
      <c r="BO95" s="1">
        <v>0.24379999999999999</v>
      </c>
      <c r="BP95" s="1">
        <v>0.26590000000000003</v>
      </c>
      <c r="BQ95" s="1">
        <v>0.22090000000000001</v>
      </c>
      <c r="BR95" s="1">
        <v>0.2414</v>
      </c>
      <c r="BS95" s="1">
        <v>0.22509999999999999</v>
      </c>
      <c r="BT95" s="1">
        <v>0.2326</v>
      </c>
      <c r="BU95" s="1">
        <v>0.2266</v>
      </c>
      <c r="BV95" s="1"/>
      <c r="BW95" s="1"/>
      <c r="BX95" s="1"/>
      <c r="BY95" s="1">
        <v>9.69E-2</v>
      </c>
      <c r="BZ95" s="1">
        <v>9.8100000000000007E-2</v>
      </c>
      <c r="CA95" s="1">
        <v>9.7299999999999998E-2</v>
      </c>
      <c r="CB95" s="1">
        <v>9.8500000000000004E-2</v>
      </c>
      <c r="CC95" s="1">
        <v>9.6500000000000002E-2</v>
      </c>
      <c r="CD95" s="1">
        <v>9.6600000000000005E-2</v>
      </c>
      <c r="CE95" s="1">
        <v>9.6799999999999997E-2</v>
      </c>
      <c r="CF95" s="1">
        <v>9.6600000000000005E-2</v>
      </c>
      <c r="CG95" s="1">
        <v>9.7299999999999998E-2</v>
      </c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spans="1:99" x14ac:dyDescent="0.2">
      <c r="A96" s="3" t="s">
        <v>47</v>
      </c>
      <c r="B96" s="1">
        <v>8587.7759999999998</v>
      </c>
      <c r="C96" s="1">
        <v>37</v>
      </c>
      <c r="D96" s="1">
        <f t="shared" si="0"/>
        <v>2.3854933333333332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>
        <v>0.34289999999999998</v>
      </c>
      <c r="AP96" s="1">
        <v>0.34029999999999999</v>
      </c>
      <c r="AQ96" s="1">
        <v>0.33400000000000002</v>
      </c>
      <c r="AR96" s="1">
        <v>0.35589999999999999</v>
      </c>
      <c r="AS96" s="1">
        <v>0.29659999999999997</v>
      </c>
      <c r="AT96" s="1">
        <v>0.33379999999999999</v>
      </c>
      <c r="AU96" s="1">
        <v>0.31319999999999998</v>
      </c>
      <c r="AV96" s="1">
        <v>0.31940000000000002</v>
      </c>
      <c r="AW96" s="1">
        <v>0.32029999999999997</v>
      </c>
      <c r="AX96" s="1"/>
      <c r="AY96" s="1"/>
      <c r="AZ96" s="1"/>
      <c r="BA96" s="1">
        <v>0.37</v>
      </c>
      <c r="BB96" s="1">
        <v>0.3458</v>
      </c>
      <c r="BC96" s="1">
        <v>0.34260000000000002</v>
      </c>
      <c r="BD96" s="1">
        <v>0.35930000000000001</v>
      </c>
      <c r="BE96" s="1">
        <v>0.2928</v>
      </c>
      <c r="BF96" s="1">
        <v>0.31080000000000002</v>
      </c>
      <c r="BG96" s="1">
        <v>0.30859999999999999</v>
      </c>
      <c r="BH96" s="1">
        <v>0.31580000000000003</v>
      </c>
      <c r="BI96" s="1">
        <v>0.30120000000000002</v>
      </c>
      <c r="BJ96" s="1"/>
      <c r="BK96" s="1"/>
      <c r="BL96" s="1"/>
      <c r="BM96" s="1">
        <v>0.38069999999999998</v>
      </c>
      <c r="BN96" s="1">
        <v>0.3634</v>
      </c>
      <c r="BO96" s="1">
        <v>0.3306</v>
      </c>
      <c r="BP96" s="1">
        <v>0.36770000000000003</v>
      </c>
      <c r="BQ96" s="1">
        <v>0.29310000000000003</v>
      </c>
      <c r="BR96" s="1">
        <v>0.32500000000000001</v>
      </c>
      <c r="BS96" s="1">
        <v>0.3</v>
      </c>
      <c r="BT96" s="1">
        <v>0.31340000000000001</v>
      </c>
      <c r="BU96" s="1">
        <v>0.29370000000000002</v>
      </c>
      <c r="BV96" s="1"/>
      <c r="BW96" s="1"/>
      <c r="BX96" s="1"/>
      <c r="BY96" s="1">
        <v>9.7000000000000003E-2</v>
      </c>
      <c r="BZ96" s="1">
        <v>9.74E-2</v>
      </c>
      <c r="CA96" s="1">
        <v>9.7600000000000006E-2</v>
      </c>
      <c r="CB96" s="1">
        <v>9.7699999999999995E-2</v>
      </c>
      <c r="CC96" s="1">
        <v>9.6699999999999994E-2</v>
      </c>
      <c r="CD96" s="1">
        <v>9.6600000000000005E-2</v>
      </c>
      <c r="CE96" s="1">
        <v>9.6600000000000005E-2</v>
      </c>
      <c r="CF96" s="1">
        <v>9.6199999999999994E-2</v>
      </c>
      <c r="CG96" s="1">
        <v>9.7199999999999995E-2</v>
      </c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spans="1:99" x14ac:dyDescent="0.2">
      <c r="A97" s="3" t="s">
        <v>48</v>
      </c>
      <c r="B97" s="1">
        <v>9446.3610000000008</v>
      </c>
      <c r="C97" s="1">
        <v>36.299999999999997</v>
      </c>
      <c r="D97" s="1">
        <f t="shared" si="0"/>
        <v>2.623989166666667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>
        <v>0.43130000000000002</v>
      </c>
      <c r="AP97" s="1">
        <v>0.4037</v>
      </c>
      <c r="AQ97" s="1">
        <v>0.3997</v>
      </c>
      <c r="AR97" s="1">
        <v>0.44450000000000001</v>
      </c>
      <c r="AS97" s="1">
        <v>0.37309999999999999</v>
      </c>
      <c r="AT97" s="1">
        <v>0.41160000000000002</v>
      </c>
      <c r="AU97" s="1">
        <v>0.40050000000000002</v>
      </c>
      <c r="AV97" s="1">
        <v>0.4113</v>
      </c>
      <c r="AW97" s="1">
        <v>0.41270000000000001</v>
      </c>
      <c r="AX97" s="1"/>
      <c r="AY97" s="1"/>
      <c r="AZ97" s="1"/>
      <c r="BA97" s="1">
        <v>0.46689999999999998</v>
      </c>
      <c r="BB97" s="1">
        <v>0.41880000000000001</v>
      </c>
      <c r="BC97" s="1">
        <v>0.41099999999999998</v>
      </c>
      <c r="BD97" s="1">
        <v>0.44590000000000002</v>
      </c>
      <c r="BE97" s="1">
        <v>0.37380000000000002</v>
      </c>
      <c r="BF97" s="1">
        <v>0.39479999999999998</v>
      </c>
      <c r="BG97" s="1">
        <v>0.39290000000000003</v>
      </c>
      <c r="BH97" s="1">
        <v>0.40079999999999999</v>
      </c>
      <c r="BI97" s="1">
        <v>0.39179999999999998</v>
      </c>
      <c r="BJ97" s="1"/>
      <c r="BK97" s="1"/>
      <c r="BL97" s="1"/>
      <c r="BM97" s="1">
        <v>0.48609999999999998</v>
      </c>
      <c r="BN97" s="1">
        <v>0.44590000000000002</v>
      </c>
      <c r="BO97" s="1">
        <v>0.40050000000000002</v>
      </c>
      <c r="BP97" s="1">
        <v>0.4491</v>
      </c>
      <c r="BQ97" s="1">
        <v>0.38319999999999999</v>
      </c>
      <c r="BR97" s="1">
        <v>0.41120000000000001</v>
      </c>
      <c r="BS97" s="1">
        <v>0.39439999999999997</v>
      </c>
      <c r="BT97" s="1">
        <v>0.40410000000000001</v>
      </c>
      <c r="BU97" s="1">
        <v>0.38929999999999998</v>
      </c>
      <c r="BV97" s="1"/>
      <c r="BW97" s="1"/>
      <c r="BX97" s="1"/>
      <c r="BY97" s="1">
        <v>9.7100000000000006E-2</v>
      </c>
      <c r="BZ97" s="1">
        <v>9.7000000000000003E-2</v>
      </c>
      <c r="CA97" s="1">
        <v>9.6799999999999997E-2</v>
      </c>
      <c r="CB97" s="1">
        <v>9.7600000000000006E-2</v>
      </c>
      <c r="CC97" s="1">
        <v>9.6500000000000002E-2</v>
      </c>
      <c r="CD97" s="1">
        <v>9.64E-2</v>
      </c>
      <c r="CE97" s="1">
        <v>9.7900000000000001E-2</v>
      </c>
      <c r="CF97" s="1">
        <v>9.5899999999999999E-2</v>
      </c>
      <c r="CG97" s="1">
        <v>9.74E-2</v>
      </c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spans="1:99" x14ac:dyDescent="0.2">
      <c r="A98" s="3" t="s">
        <v>183</v>
      </c>
      <c r="B98" s="1">
        <v>10305.321</v>
      </c>
      <c r="C98" s="1">
        <v>37.6</v>
      </c>
      <c r="D98" s="1">
        <f t="shared" si="0"/>
        <v>2.8625891666666665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>
        <v>0.52410000000000001</v>
      </c>
      <c r="AP98" s="1">
        <v>0.50860000000000005</v>
      </c>
      <c r="AQ98" s="1">
        <v>0.50070000000000003</v>
      </c>
      <c r="AR98" s="1">
        <v>0.54359999999999997</v>
      </c>
      <c r="AS98" s="1">
        <v>0.47099999999999997</v>
      </c>
      <c r="AT98" s="1">
        <v>0.50590000000000002</v>
      </c>
      <c r="AU98" s="1">
        <v>0.50149999999999995</v>
      </c>
      <c r="AV98" s="1">
        <v>0.50890000000000002</v>
      </c>
      <c r="AW98" s="1">
        <v>0.4995</v>
      </c>
      <c r="AX98" s="1"/>
      <c r="AY98" s="1"/>
      <c r="AZ98" s="1"/>
      <c r="BA98" s="1">
        <v>0.55830000000000002</v>
      </c>
      <c r="BB98" s="1">
        <v>0.51319999999999999</v>
      </c>
      <c r="BC98" s="1">
        <v>0.50729999999999997</v>
      </c>
      <c r="BD98" s="1">
        <v>0.54500000000000004</v>
      </c>
      <c r="BE98" s="1">
        <v>0.46960000000000002</v>
      </c>
      <c r="BF98" s="1">
        <v>0.49590000000000001</v>
      </c>
      <c r="BG98" s="1">
        <v>0.49530000000000002</v>
      </c>
      <c r="BH98" s="1">
        <v>0.50290000000000001</v>
      </c>
      <c r="BI98" s="1">
        <v>0.47910000000000003</v>
      </c>
      <c r="BJ98" s="1"/>
      <c r="BK98" s="1"/>
      <c r="BL98" s="1"/>
      <c r="BM98" s="1">
        <v>0.58899999999999997</v>
      </c>
      <c r="BN98" s="1">
        <v>0.54210000000000003</v>
      </c>
      <c r="BO98" s="1">
        <v>0.50519999999999998</v>
      </c>
      <c r="BP98" s="1">
        <v>0.55330000000000001</v>
      </c>
      <c r="BQ98" s="1">
        <v>0.47960000000000003</v>
      </c>
      <c r="BR98" s="1">
        <v>0.51390000000000002</v>
      </c>
      <c r="BS98" s="1">
        <v>0.4919</v>
      </c>
      <c r="BT98" s="1">
        <v>0.5071</v>
      </c>
      <c r="BU98" s="1">
        <v>0.47649999999999998</v>
      </c>
      <c r="BV98" s="1"/>
      <c r="BW98" s="1"/>
      <c r="BX98" s="1"/>
      <c r="BY98" s="1">
        <v>9.6699999999999994E-2</v>
      </c>
      <c r="BZ98" s="1">
        <v>9.7199999999999995E-2</v>
      </c>
      <c r="CA98" s="1">
        <v>9.7199999999999995E-2</v>
      </c>
      <c r="CB98" s="1">
        <v>9.7699999999999995E-2</v>
      </c>
      <c r="CC98" s="1">
        <v>9.6299999999999997E-2</v>
      </c>
      <c r="CD98" s="1">
        <v>9.6000000000000002E-2</v>
      </c>
      <c r="CE98" s="1">
        <v>9.64E-2</v>
      </c>
      <c r="CF98" s="1">
        <v>9.5899999999999999E-2</v>
      </c>
      <c r="CG98" s="1">
        <v>9.69E-2</v>
      </c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spans="1:99" x14ac:dyDescent="0.2">
      <c r="A99" s="3" t="s">
        <v>184</v>
      </c>
      <c r="B99" s="1">
        <v>11163.957</v>
      </c>
      <c r="C99" s="1">
        <v>37.1</v>
      </c>
      <c r="D99" s="1">
        <f t="shared" si="0"/>
        <v>3.1010991666666667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>
        <v>0.60499999999999998</v>
      </c>
      <c r="AP99" s="1">
        <v>0.6028</v>
      </c>
      <c r="AQ99" s="1">
        <v>0.59819999999999995</v>
      </c>
      <c r="AR99" s="1">
        <v>0.63839999999999997</v>
      </c>
      <c r="AS99" s="1">
        <v>0.57399999999999995</v>
      </c>
      <c r="AT99" s="1">
        <v>0.60399999999999998</v>
      </c>
      <c r="AU99" s="1">
        <v>0.6089</v>
      </c>
      <c r="AV99" s="1">
        <v>0.61650000000000005</v>
      </c>
      <c r="AW99" s="1">
        <v>0.60229999999999995</v>
      </c>
      <c r="AX99" s="1"/>
      <c r="AY99" s="1"/>
      <c r="AZ99" s="1"/>
      <c r="BA99" s="1">
        <v>0.64870000000000005</v>
      </c>
      <c r="BB99" s="1">
        <v>0.61250000000000004</v>
      </c>
      <c r="BC99" s="1">
        <v>0.61</v>
      </c>
      <c r="BD99" s="1">
        <v>0.64749999999999996</v>
      </c>
      <c r="BE99" s="1">
        <v>0.57720000000000005</v>
      </c>
      <c r="BF99" s="1">
        <v>0.60419999999999996</v>
      </c>
      <c r="BG99" s="1">
        <v>0.60340000000000005</v>
      </c>
      <c r="BH99" s="1">
        <v>0.60650000000000004</v>
      </c>
      <c r="BI99" s="1">
        <v>0.5827</v>
      </c>
      <c r="BJ99" s="1"/>
      <c r="BK99" s="1"/>
      <c r="BL99" s="1"/>
      <c r="BM99" s="1">
        <v>0.6865</v>
      </c>
      <c r="BN99" s="1">
        <v>0.64019999999999999</v>
      </c>
      <c r="BO99" s="1">
        <v>0.60029999999999994</v>
      </c>
      <c r="BP99" s="1">
        <v>0.65349999999999997</v>
      </c>
      <c r="BQ99" s="1">
        <v>0.58440000000000003</v>
      </c>
      <c r="BR99" s="1">
        <v>0.61909999999999998</v>
      </c>
      <c r="BS99" s="1">
        <v>0.59860000000000002</v>
      </c>
      <c r="BT99" s="1">
        <v>0.6149</v>
      </c>
      <c r="BU99" s="1">
        <v>0.57709999999999995</v>
      </c>
      <c r="BV99" s="1"/>
      <c r="BW99" s="1"/>
      <c r="BX99" s="1"/>
      <c r="BY99" s="1">
        <v>9.6799999999999997E-2</v>
      </c>
      <c r="BZ99" s="1">
        <v>9.69E-2</v>
      </c>
      <c r="CA99" s="1">
        <v>9.7600000000000006E-2</v>
      </c>
      <c r="CB99" s="1">
        <v>9.8299999999999998E-2</v>
      </c>
      <c r="CC99" s="1">
        <v>9.6600000000000005E-2</v>
      </c>
      <c r="CD99" s="1">
        <v>9.6199999999999994E-2</v>
      </c>
      <c r="CE99" s="1">
        <v>9.6699999999999994E-2</v>
      </c>
      <c r="CF99" s="1">
        <v>9.7299999999999998E-2</v>
      </c>
      <c r="CG99" s="1">
        <v>9.7199999999999995E-2</v>
      </c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spans="1:99" x14ac:dyDescent="0.2">
      <c r="A100" s="3" t="s">
        <v>185</v>
      </c>
      <c r="B100" s="1">
        <v>12022.556</v>
      </c>
      <c r="C100" s="1">
        <v>36.6</v>
      </c>
      <c r="D100" s="1">
        <f t="shared" si="0"/>
        <v>3.3395988888888892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>
        <v>0.65580000000000005</v>
      </c>
      <c r="AP100" s="1">
        <v>0.66659999999999997</v>
      </c>
      <c r="AQ100" s="1">
        <v>0.67110000000000003</v>
      </c>
      <c r="AR100" s="1">
        <v>0.70760000000000001</v>
      </c>
      <c r="AS100" s="1">
        <v>0.66500000000000004</v>
      </c>
      <c r="AT100" s="1">
        <v>0.68359999999999999</v>
      </c>
      <c r="AU100" s="1">
        <v>0.69479999999999997</v>
      </c>
      <c r="AV100" s="1">
        <v>0.69569999999999999</v>
      </c>
      <c r="AW100" s="1">
        <v>0.69199999999999995</v>
      </c>
      <c r="AX100" s="1"/>
      <c r="AY100" s="1"/>
      <c r="AZ100" s="1"/>
      <c r="BA100" s="1">
        <v>0.71140000000000003</v>
      </c>
      <c r="BB100" s="1">
        <v>0.68779999999999997</v>
      </c>
      <c r="BC100" s="1">
        <v>0.6865</v>
      </c>
      <c r="BD100" s="1">
        <v>0.71619999999999995</v>
      </c>
      <c r="BE100" s="1">
        <v>0.67149999999999999</v>
      </c>
      <c r="BF100" s="1">
        <v>0.69259999999999999</v>
      </c>
      <c r="BG100" s="1">
        <v>0.68530000000000002</v>
      </c>
      <c r="BH100" s="1">
        <v>0.68400000000000005</v>
      </c>
      <c r="BI100" s="1">
        <v>0.67510000000000003</v>
      </c>
      <c r="BJ100" s="1"/>
      <c r="BK100" s="1"/>
      <c r="BL100" s="1"/>
      <c r="BM100" s="1">
        <v>0.75349999999999995</v>
      </c>
      <c r="BN100" s="1">
        <v>0.7117</v>
      </c>
      <c r="BO100" s="1">
        <v>0.68459999999999999</v>
      </c>
      <c r="BP100" s="1">
        <v>0.73309999999999997</v>
      </c>
      <c r="BQ100" s="1">
        <v>0.68510000000000004</v>
      </c>
      <c r="BR100" s="1">
        <v>0.70930000000000004</v>
      </c>
      <c r="BS100" s="1">
        <v>0.69289999999999996</v>
      </c>
      <c r="BT100" s="1">
        <v>0.69889999999999997</v>
      </c>
      <c r="BU100" s="1">
        <v>0.6754</v>
      </c>
      <c r="BV100" s="1"/>
      <c r="BW100" s="1"/>
      <c r="BX100" s="1"/>
      <c r="BY100" s="1">
        <v>9.6500000000000002E-2</v>
      </c>
      <c r="BZ100" s="1">
        <v>9.7100000000000006E-2</v>
      </c>
      <c r="CA100" s="1">
        <v>9.7299999999999998E-2</v>
      </c>
      <c r="CB100" s="1">
        <v>9.7799999999999998E-2</v>
      </c>
      <c r="CC100" s="1">
        <v>9.6299999999999997E-2</v>
      </c>
      <c r="CD100" s="1">
        <v>9.64E-2</v>
      </c>
      <c r="CE100" s="1">
        <v>9.7600000000000006E-2</v>
      </c>
      <c r="CF100" s="1">
        <v>9.5699999999999993E-2</v>
      </c>
      <c r="CG100" s="1">
        <v>9.7000000000000003E-2</v>
      </c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spans="1:99" x14ac:dyDescent="0.2">
      <c r="A101" s="3" t="s">
        <v>186</v>
      </c>
      <c r="B101" s="1">
        <v>12885.6</v>
      </c>
      <c r="C101" s="1">
        <v>38.1</v>
      </c>
      <c r="D101" s="1">
        <f t="shared" si="0"/>
        <v>3.5793333333333335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>
        <v>0.6885</v>
      </c>
      <c r="AP101" s="1">
        <v>0.72040000000000004</v>
      </c>
      <c r="AQ101" s="1">
        <v>0.72</v>
      </c>
      <c r="AR101" s="1">
        <v>0.745</v>
      </c>
      <c r="AS101" s="1">
        <v>0.72240000000000004</v>
      </c>
      <c r="AT101" s="1">
        <v>0.7349</v>
      </c>
      <c r="AU101" s="1">
        <v>0.74829999999999997</v>
      </c>
      <c r="AV101" s="1">
        <v>0.74570000000000003</v>
      </c>
      <c r="AW101" s="1">
        <v>0.74360000000000004</v>
      </c>
      <c r="AX101" s="1"/>
      <c r="AY101" s="1"/>
      <c r="AZ101" s="1"/>
      <c r="BA101" s="1">
        <v>0.74129999999999996</v>
      </c>
      <c r="BB101" s="1">
        <v>0.72809999999999997</v>
      </c>
      <c r="BC101" s="1">
        <v>0.73229999999999995</v>
      </c>
      <c r="BD101" s="1">
        <v>0.75660000000000005</v>
      </c>
      <c r="BE101" s="1">
        <v>0.73370000000000002</v>
      </c>
      <c r="BF101" s="1">
        <v>0.75119999999999998</v>
      </c>
      <c r="BG101" s="1">
        <v>0.74780000000000002</v>
      </c>
      <c r="BH101" s="1">
        <v>0.74080000000000001</v>
      </c>
      <c r="BI101" s="1">
        <v>0.73629999999999995</v>
      </c>
      <c r="BJ101" s="1"/>
      <c r="BK101" s="1"/>
      <c r="BL101" s="1"/>
      <c r="BM101" s="1">
        <v>0.79510000000000003</v>
      </c>
      <c r="BN101" s="1">
        <v>0.75629999999999997</v>
      </c>
      <c r="BO101" s="1">
        <v>0.73680000000000001</v>
      </c>
      <c r="BP101" s="1">
        <v>0.77459999999999996</v>
      </c>
      <c r="BQ101" s="1">
        <v>0.74970000000000003</v>
      </c>
      <c r="BR101" s="1">
        <v>0.76590000000000003</v>
      </c>
      <c r="BS101" s="1">
        <v>0.75490000000000002</v>
      </c>
      <c r="BT101" s="1">
        <v>0.75309999999999999</v>
      </c>
      <c r="BU101" s="1">
        <v>0.73719999999999997</v>
      </c>
      <c r="BV101" s="1"/>
      <c r="BW101" s="1"/>
      <c r="BX101" s="1"/>
      <c r="BY101" s="1">
        <v>9.6699999999999994E-2</v>
      </c>
      <c r="BZ101" s="1">
        <v>9.7000000000000003E-2</v>
      </c>
      <c r="CA101" s="1">
        <v>9.7199999999999995E-2</v>
      </c>
      <c r="CB101" s="1">
        <v>9.8100000000000007E-2</v>
      </c>
      <c r="CC101" s="1">
        <v>9.6500000000000002E-2</v>
      </c>
      <c r="CD101" s="1">
        <v>9.6500000000000002E-2</v>
      </c>
      <c r="CE101" s="1">
        <v>9.6500000000000002E-2</v>
      </c>
      <c r="CF101" s="1">
        <v>9.6600000000000005E-2</v>
      </c>
      <c r="CG101" s="1">
        <v>9.7000000000000003E-2</v>
      </c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spans="1:99" x14ac:dyDescent="0.2">
      <c r="A102" s="3" t="s">
        <v>187</v>
      </c>
      <c r="B102" s="1">
        <v>13744.129000000001</v>
      </c>
      <c r="C102" s="1">
        <v>36.6</v>
      </c>
      <c r="D102" s="1">
        <f t="shared" si="0"/>
        <v>3.8178136111111112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>
        <v>0.69510000000000005</v>
      </c>
      <c r="AP102" s="1">
        <v>0.74219999999999997</v>
      </c>
      <c r="AQ102" s="1">
        <v>0.74690000000000001</v>
      </c>
      <c r="AR102" s="1">
        <v>0.77349999999999997</v>
      </c>
      <c r="AS102" s="1">
        <v>0.76259999999999994</v>
      </c>
      <c r="AT102" s="1">
        <v>0.76959999999999995</v>
      </c>
      <c r="AU102" s="1">
        <v>0.78949999999999998</v>
      </c>
      <c r="AV102" s="1">
        <v>0.78839999999999999</v>
      </c>
      <c r="AW102" s="1">
        <v>0.79020000000000001</v>
      </c>
      <c r="AX102" s="1"/>
      <c r="AY102" s="1"/>
      <c r="AZ102" s="1"/>
      <c r="BA102" s="1">
        <v>0.7601</v>
      </c>
      <c r="BB102" s="1">
        <v>0.75560000000000005</v>
      </c>
      <c r="BC102" s="1">
        <v>0.7601</v>
      </c>
      <c r="BD102" s="1">
        <v>0.79110000000000003</v>
      </c>
      <c r="BE102" s="1">
        <v>0.77680000000000005</v>
      </c>
      <c r="BF102" s="1">
        <v>0.79330000000000001</v>
      </c>
      <c r="BG102" s="1">
        <v>0.78949999999999998</v>
      </c>
      <c r="BH102" s="1">
        <v>0.78420000000000001</v>
      </c>
      <c r="BI102" s="1">
        <v>0.79379999999999995</v>
      </c>
      <c r="BJ102" s="1"/>
      <c r="BK102" s="1"/>
      <c r="BL102" s="1"/>
      <c r="BM102" s="1">
        <v>0.8367</v>
      </c>
      <c r="BN102" s="1">
        <v>0.78890000000000005</v>
      </c>
      <c r="BO102" s="1">
        <v>0.77639999999999998</v>
      </c>
      <c r="BP102" s="1">
        <v>0.80989999999999995</v>
      </c>
      <c r="BQ102" s="1">
        <v>0.79490000000000005</v>
      </c>
      <c r="BR102" s="1">
        <v>0.80759999999999998</v>
      </c>
      <c r="BS102" s="1">
        <v>0.80030000000000001</v>
      </c>
      <c r="BT102" s="1">
        <v>0.80210000000000004</v>
      </c>
      <c r="BU102" s="1">
        <v>0.79059999999999997</v>
      </c>
      <c r="BV102" s="1"/>
      <c r="BW102" s="1"/>
      <c r="BX102" s="1"/>
      <c r="BY102" s="1">
        <v>9.7100000000000006E-2</v>
      </c>
      <c r="BZ102" s="1">
        <v>9.7100000000000006E-2</v>
      </c>
      <c r="CA102" s="1">
        <v>9.7100000000000006E-2</v>
      </c>
      <c r="CB102" s="1">
        <v>9.8199999999999996E-2</v>
      </c>
      <c r="CC102" s="1">
        <v>9.69E-2</v>
      </c>
      <c r="CD102" s="1">
        <v>9.6699999999999994E-2</v>
      </c>
      <c r="CE102" s="1">
        <v>9.6699999999999994E-2</v>
      </c>
      <c r="CF102" s="1">
        <v>9.6199999999999994E-2</v>
      </c>
      <c r="CG102" s="1">
        <v>9.7100000000000006E-2</v>
      </c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spans="1:99" x14ac:dyDescent="0.2">
      <c r="A103" s="3" t="s">
        <v>188</v>
      </c>
      <c r="B103" s="1">
        <v>14602.714</v>
      </c>
      <c r="C103" s="1">
        <v>36.799999999999997</v>
      </c>
      <c r="D103" s="1">
        <f t="shared" si="0"/>
        <v>4.0563094444444445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>
        <v>0.69910000000000005</v>
      </c>
      <c r="AP103" s="1">
        <v>0.74809999999999999</v>
      </c>
      <c r="AQ103" s="1">
        <v>0.76539999999999997</v>
      </c>
      <c r="AR103" s="1">
        <v>0.78459999999999996</v>
      </c>
      <c r="AS103" s="1">
        <v>0.79069999999999996</v>
      </c>
      <c r="AT103" s="1">
        <v>0.79149999999999998</v>
      </c>
      <c r="AU103" s="1">
        <v>0.81530000000000002</v>
      </c>
      <c r="AV103" s="1">
        <v>0.81879999999999997</v>
      </c>
      <c r="AW103" s="1">
        <v>0.82920000000000005</v>
      </c>
      <c r="AX103" s="1"/>
      <c r="AY103" s="1"/>
      <c r="AZ103" s="1"/>
      <c r="BA103" s="1">
        <v>0.76680000000000004</v>
      </c>
      <c r="BB103" s="1">
        <v>0.76680000000000004</v>
      </c>
      <c r="BC103" s="1">
        <v>0.76470000000000005</v>
      </c>
      <c r="BD103" s="1">
        <v>0.79749999999999999</v>
      </c>
      <c r="BE103" s="1">
        <v>0.80079999999999996</v>
      </c>
      <c r="BF103" s="1">
        <v>0.81730000000000003</v>
      </c>
      <c r="BG103" s="1">
        <v>0.81759999999999999</v>
      </c>
      <c r="BH103" s="1">
        <v>0.8175</v>
      </c>
      <c r="BI103" s="1">
        <v>0.83730000000000004</v>
      </c>
      <c r="BJ103" s="1"/>
      <c r="BK103" s="1"/>
      <c r="BL103" s="1"/>
      <c r="BM103" s="1">
        <v>0.84179999999999999</v>
      </c>
      <c r="BN103" s="1">
        <v>0.79830000000000001</v>
      </c>
      <c r="BO103" s="1">
        <v>0.79269999999999996</v>
      </c>
      <c r="BP103" s="1">
        <v>0.82789999999999997</v>
      </c>
      <c r="BQ103" s="1">
        <v>0.83009999999999995</v>
      </c>
      <c r="BR103" s="1">
        <v>0.84530000000000005</v>
      </c>
      <c r="BS103" s="1">
        <v>0.84750000000000003</v>
      </c>
      <c r="BT103" s="1">
        <v>0.85360000000000003</v>
      </c>
      <c r="BU103" s="1">
        <v>0.84599999999999997</v>
      </c>
      <c r="BV103" s="1"/>
      <c r="BW103" s="1"/>
      <c r="BX103" s="1"/>
      <c r="BY103" s="1">
        <v>9.6699999999999994E-2</v>
      </c>
      <c r="BZ103" s="1">
        <v>9.7000000000000003E-2</v>
      </c>
      <c r="CA103" s="1">
        <v>9.7199999999999995E-2</v>
      </c>
      <c r="CB103" s="1">
        <v>9.7799999999999998E-2</v>
      </c>
      <c r="CC103" s="1">
        <v>9.64E-2</v>
      </c>
      <c r="CD103" s="1">
        <v>9.6299999999999997E-2</v>
      </c>
      <c r="CE103" s="1">
        <v>9.6299999999999997E-2</v>
      </c>
      <c r="CF103" s="1">
        <v>9.5899999999999999E-2</v>
      </c>
      <c r="CG103" s="1">
        <v>9.7000000000000003E-2</v>
      </c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spans="1:99" x14ac:dyDescent="0.2">
      <c r="A104" s="3" t="s">
        <v>189</v>
      </c>
      <c r="B104" s="1">
        <v>15461.663</v>
      </c>
      <c r="C104" s="1">
        <v>37.5</v>
      </c>
      <c r="D104" s="1">
        <f t="shared" si="0"/>
        <v>4.2949063888888892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>
        <v>0.70409999999999995</v>
      </c>
      <c r="AP104" s="1">
        <v>0.75970000000000004</v>
      </c>
      <c r="AQ104" s="1">
        <v>0.76929999999999998</v>
      </c>
      <c r="AR104" s="1">
        <v>0.79220000000000002</v>
      </c>
      <c r="AS104" s="1">
        <v>0.80189999999999995</v>
      </c>
      <c r="AT104" s="1">
        <v>0.8044</v>
      </c>
      <c r="AU104" s="1">
        <v>0.82879999999999998</v>
      </c>
      <c r="AV104" s="1">
        <v>0.83830000000000005</v>
      </c>
      <c r="AW104" s="1">
        <v>0.84240000000000004</v>
      </c>
      <c r="AX104" s="1"/>
      <c r="AY104" s="1"/>
      <c r="AZ104" s="1"/>
      <c r="BA104" s="1">
        <v>0.76829999999999998</v>
      </c>
      <c r="BB104" s="1">
        <v>0.77</v>
      </c>
      <c r="BC104" s="1">
        <v>0.77510000000000001</v>
      </c>
      <c r="BD104" s="1">
        <v>0.81059999999999999</v>
      </c>
      <c r="BE104" s="1">
        <v>0.81510000000000005</v>
      </c>
      <c r="BF104" s="1">
        <v>0.83209999999999995</v>
      </c>
      <c r="BG104" s="1">
        <v>0.83540000000000003</v>
      </c>
      <c r="BH104" s="1">
        <v>0.83689999999999998</v>
      </c>
      <c r="BI104" s="1">
        <v>0.86240000000000006</v>
      </c>
      <c r="BJ104" s="1"/>
      <c r="BK104" s="1"/>
      <c r="BL104" s="1"/>
      <c r="BM104" s="1">
        <v>0.86750000000000005</v>
      </c>
      <c r="BN104" s="1">
        <v>0.80210000000000004</v>
      </c>
      <c r="BO104" s="1">
        <v>0.8095</v>
      </c>
      <c r="BP104" s="1">
        <v>0.83679999999999999</v>
      </c>
      <c r="BQ104" s="1">
        <v>0.84150000000000003</v>
      </c>
      <c r="BR104" s="1">
        <v>0.85170000000000001</v>
      </c>
      <c r="BS104" s="1">
        <v>0.85909999999999997</v>
      </c>
      <c r="BT104" s="1">
        <v>0.86160000000000003</v>
      </c>
      <c r="BU104" s="1">
        <v>0.86539999999999995</v>
      </c>
      <c r="BV104" s="1"/>
      <c r="BW104" s="1"/>
      <c r="BX104" s="1"/>
      <c r="BY104" s="1">
        <v>9.69E-2</v>
      </c>
      <c r="BZ104" s="1">
        <v>9.7000000000000003E-2</v>
      </c>
      <c r="CA104" s="1">
        <v>9.7000000000000003E-2</v>
      </c>
      <c r="CB104" s="1">
        <v>9.7900000000000001E-2</v>
      </c>
      <c r="CC104" s="1">
        <v>9.64E-2</v>
      </c>
      <c r="CD104" s="1">
        <v>9.6699999999999994E-2</v>
      </c>
      <c r="CE104" s="1">
        <v>9.6600000000000005E-2</v>
      </c>
      <c r="CF104" s="1">
        <v>9.7299999999999998E-2</v>
      </c>
      <c r="CG104" s="1">
        <v>9.7199999999999995E-2</v>
      </c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spans="1:99" x14ac:dyDescent="0.2">
      <c r="A105" s="3" t="s">
        <v>190</v>
      </c>
      <c r="B105" s="1">
        <v>16320.272999999999</v>
      </c>
      <c r="C105" s="1">
        <v>36.4</v>
      </c>
      <c r="D105" s="1">
        <f t="shared" si="0"/>
        <v>4.533409166666666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>
        <v>0.70760000000000001</v>
      </c>
      <c r="AP105" s="1">
        <v>0.76049999999999995</v>
      </c>
      <c r="AQ105" s="1">
        <v>0.76819999999999999</v>
      </c>
      <c r="AR105" s="1">
        <v>0.79690000000000005</v>
      </c>
      <c r="AS105" s="1">
        <v>0.81069999999999998</v>
      </c>
      <c r="AT105" s="1">
        <v>0.81540000000000001</v>
      </c>
      <c r="AU105" s="1">
        <v>0.83850000000000002</v>
      </c>
      <c r="AV105" s="1">
        <v>0.85040000000000004</v>
      </c>
      <c r="AW105" s="1">
        <v>0.85460000000000003</v>
      </c>
      <c r="AX105" s="1"/>
      <c r="AY105" s="1"/>
      <c r="AZ105" s="1"/>
      <c r="BA105" s="1">
        <v>0.77539999999999998</v>
      </c>
      <c r="BB105" s="1">
        <v>0.7782</v>
      </c>
      <c r="BC105" s="1">
        <v>0.78290000000000004</v>
      </c>
      <c r="BD105" s="1">
        <v>0.81710000000000005</v>
      </c>
      <c r="BE105" s="1">
        <v>0.82650000000000001</v>
      </c>
      <c r="BF105" s="1">
        <v>0.84609999999999996</v>
      </c>
      <c r="BG105" s="1">
        <v>0.84950000000000003</v>
      </c>
      <c r="BH105" s="1">
        <v>0.84960000000000002</v>
      </c>
      <c r="BI105" s="1">
        <v>0.88180000000000003</v>
      </c>
      <c r="BJ105" s="1"/>
      <c r="BK105" s="1"/>
      <c r="BL105" s="1"/>
      <c r="BM105" s="1">
        <v>0.87809999999999999</v>
      </c>
      <c r="BN105" s="1">
        <v>0.80410000000000004</v>
      </c>
      <c r="BO105" s="1">
        <v>0.81220000000000003</v>
      </c>
      <c r="BP105" s="1">
        <v>0.83930000000000005</v>
      </c>
      <c r="BQ105" s="1">
        <v>0.8569</v>
      </c>
      <c r="BR105" s="1">
        <v>0.86550000000000005</v>
      </c>
      <c r="BS105" s="1">
        <v>0.87629999999999997</v>
      </c>
      <c r="BT105" s="1">
        <v>0.87419999999999998</v>
      </c>
      <c r="BU105" s="1">
        <v>0.88270000000000004</v>
      </c>
      <c r="BV105" s="1"/>
      <c r="BW105" s="1"/>
      <c r="BX105" s="1"/>
      <c r="BY105" s="1">
        <v>9.69E-2</v>
      </c>
      <c r="BZ105" s="1">
        <v>9.7199999999999995E-2</v>
      </c>
      <c r="CA105" s="1">
        <v>9.7199999999999995E-2</v>
      </c>
      <c r="CB105" s="1">
        <v>9.8199999999999996E-2</v>
      </c>
      <c r="CC105" s="1">
        <v>9.6500000000000002E-2</v>
      </c>
      <c r="CD105" s="1">
        <v>9.6500000000000002E-2</v>
      </c>
      <c r="CE105" s="1">
        <v>9.64E-2</v>
      </c>
      <c r="CF105" s="1">
        <v>9.7199999999999995E-2</v>
      </c>
      <c r="CG105" s="1">
        <v>9.7000000000000003E-2</v>
      </c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spans="1:99" x14ac:dyDescent="0.2">
      <c r="A106" s="3" t="s">
        <v>191</v>
      </c>
      <c r="B106" s="1">
        <v>17178.859</v>
      </c>
      <c r="C106" s="1">
        <v>38</v>
      </c>
      <c r="D106" s="1">
        <f t="shared" si="0"/>
        <v>4.771905277777778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>
        <v>0.71079999999999999</v>
      </c>
      <c r="AP106" s="1">
        <v>0.75529999999999997</v>
      </c>
      <c r="AQ106" s="1">
        <v>0.77190000000000003</v>
      </c>
      <c r="AR106" s="1">
        <v>0.79469999999999996</v>
      </c>
      <c r="AS106" s="1">
        <v>0.81299999999999994</v>
      </c>
      <c r="AT106" s="1">
        <v>0.81469999999999998</v>
      </c>
      <c r="AU106" s="1">
        <v>0.84099999999999997</v>
      </c>
      <c r="AV106" s="1">
        <v>0.85540000000000005</v>
      </c>
      <c r="AW106" s="1">
        <v>0.86270000000000002</v>
      </c>
      <c r="AX106" s="1"/>
      <c r="AY106" s="1"/>
      <c r="AZ106" s="1"/>
      <c r="BA106" s="1">
        <v>0.79059999999999997</v>
      </c>
      <c r="BB106" s="1">
        <v>0.7883</v>
      </c>
      <c r="BC106" s="1">
        <v>0.79020000000000001</v>
      </c>
      <c r="BD106" s="1">
        <v>0.82320000000000004</v>
      </c>
      <c r="BE106" s="1">
        <v>0.83489999999999998</v>
      </c>
      <c r="BF106" s="1">
        <v>0.85170000000000001</v>
      </c>
      <c r="BG106" s="1">
        <v>0.85970000000000002</v>
      </c>
      <c r="BH106" s="1">
        <v>0.85570000000000002</v>
      </c>
      <c r="BI106" s="1">
        <v>0.89549999999999996</v>
      </c>
      <c r="BJ106" s="1"/>
      <c r="BK106" s="1"/>
      <c r="BL106" s="1"/>
      <c r="BM106" s="1">
        <v>0.87280000000000002</v>
      </c>
      <c r="BN106" s="1">
        <v>0.82010000000000005</v>
      </c>
      <c r="BO106" s="1">
        <v>0.81359999999999999</v>
      </c>
      <c r="BP106" s="1">
        <v>0.84809999999999997</v>
      </c>
      <c r="BQ106" s="1">
        <v>0.85570000000000002</v>
      </c>
      <c r="BR106" s="1">
        <v>0.86839999999999995</v>
      </c>
      <c r="BS106" s="1">
        <v>0.87529999999999997</v>
      </c>
      <c r="BT106" s="1">
        <v>0.87280000000000002</v>
      </c>
      <c r="BU106" s="1">
        <v>0.88580000000000003</v>
      </c>
      <c r="BV106" s="1"/>
      <c r="BW106" s="1"/>
      <c r="BX106" s="1"/>
      <c r="BY106" s="1">
        <v>9.6699999999999994E-2</v>
      </c>
      <c r="BZ106" s="1">
        <v>9.7000000000000003E-2</v>
      </c>
      <c r="CA106" s="1">
        <v>9.74E-2</v>
      </c>
      <c r="CB106" s="1">
        <v>9.7799999999999998E-2</v>
      </c>
      <c r="CC106" s="1">
        <v>9.64E-2</v>
      </c>
      <c r="CD106" s="1">
        <v>9.6500000000000002E-2</v>
      </c>
      <c r="CE106" s="1">
        <v>9.69E-2</v>
      </c>
      <c r="CF106" s="1">
        <v>9.6000000000000002E-2</v>
      </c>
      <c r="CG106" s="1">
        <v>9.7000000000000003E-2</v>
      </c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 spans="1:99" x14ac:dyDescent="0.2">
      <c r="A107" s="3" t="s">
        <v>192</v>
      </c>
      <c r="B107" s="1">
        <v>18037.827000000001</v>
      </c>
      <c r="C107" s="1">
        <v>36.5</v>
      </c>
      <c r="D107" s="1">
        <f t="shared" si="0"/>
        <v>5.0105075000000001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>
        <v>0.71399999999999997</v>
      </c>
      <c r="AP107" s="1">
        <v>0.77010000000000001</v>
      </c>
      <c r="AQ107" s="1">
        <v>0.7732</v>
      </c>
      <c r="AR107" s="1">
        <v>0.80449999999999999</v>
      </c>
      <c r="AS107" s="1">
        <v>0.81840000000000002</v>
      </c>
      <c r="AT107" s="1">
        <v>0.82110000000000005</v>
      </c>
      <c r="AU107" s="1">
        <v>0.84550000000000003</v>
      </c>
      <c r="AV107" s="1">
        <v>0.8609</v>
      </c>
      <c r="AW107" s="1">
        <v>0.86670000000000003</v>
      </c>
      <c r="AX107" s="1"/>
      <c r="AY107" s="1"/>
      <c r="AZ107" s="1"/>
      <c r="BA107" s="1">
        <v>0.78490000000000004</v>
      </c>
      <c r="BB107" s="1">
        <v>0.78879999999999995</v>
      </c>
      <c r="BC107" s="1">
        <v>0.7944</v>
      </c>
      <c r="BD107" s="1">
        <v>0.82779999999999998</v>
      </c>
      <c r="BE107" s="1">
        <v>0.84199999999999997</v>
      </c>
      <c r="BF107" s="1">
        <v>0.85709999999999997</v>
      </c>
      <c r="BG107" s="1">
        <v>0.86150000000000004</v>
      </c>
      <c r="BH107" s="1">
        <v>0.86399999999999999</v>
      </c>
      <c r="BI107" s="1">
        <v>0.90100000000000002</v>
      </c>
      <c r="BJ107" s="1"/>
      <c r="BK107" s="1"/>
      <c r="BL107" s="1"/>
      <c r="BM107" s="1">
        <v>0.87560000000000004</v>
      </c>
      <c r="BN107" s="1">
        <v>0.81110000000000004</v>
      </c>
      <c r="BO107" s="1">
        <v>0.81859999999999999</v>
      </c>
      <c r="BP107" s="1">
        <v>0.84570000000000001</v>
      </c>
      <c r="BQ107" s="1">
        <v>0.86619999999999997</v>
      </c>
      <c r="BR107" s="1">
        <v>0.87229999999999996</v>
      </c>
      <c r="BS107" s="1">
        <v>0.88690000000000002</v>
      </c>
      <c r="BT107" s="1">
        <v>0.88449999999999995</v>
      </c>
      <c r="BU107" s="1">
        <v>0.90290000000000004</v>
      </c>
      <c r="BV107" s="1"/>
      <c r="BW107" s="1"/>
      <c r="BX107" s="1"/>
      <c r="BY107" s="1">
        <v>9.7100000000000006E-2</v>
      </c>
      <c r="BZ107" s="1">
        <v>9.7000000000000003E-2</v>
      </c>
      <c r="CA107" s="1">
        <v>9.7100000000000006E-2</v>
      </c>
      <c r="CB107" s="1">
        <v>9.7900000000000001E-2</v>
      </c>
      <c r="CC107" s="1">
        <v>9.6299999999999997E-2</v>
      </c>
      <c r="CD107" s="1">
        <v>9.6299999999999997E-2</v>
      </c>
      <c r="CE107" s="1">
        <v>9.6199999999999994E-2</v>
      </c>
      <c r="CF107" s="1">
        <v>9.7299999999999998E-2</v>
      </c>
      <c r="CG107" s="1">
        <v>9.7299999999999998E-2</v>
      </c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</row>
    <row r="108" spans="1:99" x14ac:dyDescent="0.2">
      <c r="A108" s="3" t="s">
        <v>193</v>
      </c>
      <c r="B108" s="1">
        <v>18896.436000000002</v>
      </c>
      <c r="C108" s="1">
        <v>36.9</v>
      </c>
      <c r="D108" s="1">
        <f t="shared" si="0"/>
        <v>5.2490100000000002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>
        <v>0.7167</v>
      </c>
      <c r="AP108" s="1">
        <v>0.75860000000000005</v>
      </c>
      <c r="AQ108" s="1">
        <v>0.77459999999999996</v>
      </c>
      <c r="AR108" s="1">
        <v>0.8044</v>
      </c>
      <c r="AS108" s="1">
        <v>0.81569999999999998</v>
      </c>
      <c r="AT108" s="1">
        <v>0.81730000000000003</v>
      </c>
      <c r="AU108" s="1">
        <v>0.85150000000000003</v>
      </c>
      <c r="AV108" s="1">
        <v>0.85829999999999995</v>
      </c>
      <c r="AW108" s="1">
        <v>0.87139999999999995</v>
      </c>
      <c r="AX108" s="1"/>
      <c r="AY108" s="1"/>
      <c r="AZ108" s="1"/>
      <c r="BA108" s="1">
        <v>0.77990000000000004</v>
      </c>
      <c r="BB108" s="1">
        <v>0.7853</v>
      </c>
      <c r="BC108" s="1">
        <v>0.79079999999999995</v>
      </c>
      <c r="BD108" s="1">
        <v>0.82140000000000002</v>
      </c>
      <c r="BE108" s="1">
        <v>0.83499999999999996</v>
      </c>
      <c r="BF108" s="1">
        <v>0.85499999999999998</v>
      </c>
      <c r="BG108" s="1">
        <v>0.86270000000000002</v>
      </c>
      <c r="BH108" s="1">
        <v>0.86050000000000004</v>
      </c>
      <c r="BI108" s="1">
        <v>0.89900000000000002</v>
      </c>
      <c r="BJ108" s="1"/>
      <c r="BK108" s="1"/>
      <c r="BL108" s="1"/>
      <c r="BM108" s="1">
        <v>0.86539999999999995</v>
      </c>
      <c r="BN108" s="1">
        <v>0.81010000000000004</v>
      </c>
      <c r="BO108" s="1">
        <v>0.8135</v>
      </c>
      <c r="BP108" s="1">
        <v>0.84509999999999996</v>
      </c>
      <c r="BQ108" s="1">
        <v>0.85960000000000003</v>
      </c>
      <c r="BR108" s="1">
        <v>0.86909999999999998</v>
      </c>
      <c r="BS108" s="1">
        <v>0.8841</v>
      </c>
      <c r="BT108" s="1">
        <v>0.88360000000000005</v>
      </c>
      <c r="BU108" s="1">
        <v>0.90239999999999998</v>
      </c>
      <c r="BV108" s="1"/>
      <c r="BW108" s="1"/>
      <c r="BX108" s="1"/>
      <c r="BY108" s="1">
        <v>9.6600000000000005E-2</v>
      </c>
      <c r="BZ108" s="1">
        <v>9.7199999999999995E-2</v>
      </c>
      <c r="CA108" s="1">
        <v>9.74E-2</v>
      </c>
      <c r="CB108" s="1">
        <v>9.8199999999999996E-2</v>
      </c>
      <c r="CC108" s="1">
        <v>9.6799999999999997E-2</v>
      </c>
      <c r="CD108" s="1">
        <v>9.6799999999999997E-2</v>
      </c>
      <c r="CE108" s="1">
        <v>9.7000000000000003E-2</v>
      </c>
      <c r="CF108" s="1">
        <v>9.6500000000000002E-2</v>
      </c>
      <c r="CG108" s="1">
        <v>9.7299999999999998E-2</v>
      </c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</row>
    <row r="109" spans="1:99" x14ac:dyDescent="0.2">
      <c r="A109" s="3" t="s">
        <v>194</v>
      </c>
      <c r="B109" s="1">
        <v>19755.080999999998</v>
      </c>
      <c r="C109" s="1">
        <v>37.200000000000003</v>
      </c>
      <c r="D109" s="1">
        <f t="shared" si="0"/>
        <v>5.4875224999999999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>
        <v>0.7208</v>
      </c>
      <c r="AP109" s="1">
        <v>0.76529999999999998</v>
      </c>
      <c r="AQ109" s="1">
        <v>0.7853</v>
      </c>
      <c r="AR109" s="1">
        <v>0.80489999999999995</v>
      </c>
      <c r="AS109" s="1">
        <v>0.82030000000000003</v>
      </c>
      <c r="AT109" s="1">
        <v>0.82379999999999998</v>
      </c>
      <c r="AU109" s="1">
        <v>0.84709999999999996</v>
      </c>
      <c r="AV109" s="1">
        <v>0.86509999999999998</v>
      </c>
      <c r="AW109" s="1">
        <v>0.86699999999999999</v>
      </c>
      <c r="AX109" s="1"/>
      <c r="AY109" s="1"/>
      <c r="AZ109" s="1"/>
      <c r="BA109" s="1">
        <v>0.79420000000000002</v>
      </c>
      <c r="BB109" s="1">
        <v>0.79249999999999998</v>
      </c>
      <c r="BC109" s="1">
        <v>0.79510000000000003</v>
      </c>
      <c r="BD109" s="1">
        <v>0.82479999999999998</v>
      </c>
      <c r="BE109" s="1">
        <v>0.83930000000000005</v>
      </c>
      <c r="BF109" s="1">
        <v>0.85299999999999998</v>
      </c>
      <c r="BG109" s="1">
        <v>0.85850000000000004</v>
      </c>
      <c r="BH109" s="1">
        <v>0.86219999999999997</v>
      </c>
      <c r="BI109" s="1">
        <v>0.90200000000000002</v>
      </c>
      <c r="BJ109" s="1"/>
      <c r="BK109" s="1"/>
      <c r="BL109" s="1"/>
      <c r="BM109" s="1">
        <v>0.8629</v>
      </c>
      <c r="BN109" s="1">
        <v>0.82489999999999997</v>
      </c>
      <c r="BO109" s="1">
        <v>0.81710000000000005</v>
      </c>
      <c r="BP109" s="1">
        <v>0.85509999999999997</v>
      </c>
      <c r="BQ109" s="1">
        <v>0.86119999999999997</v>
      </c>
      <c r="BR109" s="1">
        <v>0.87970000000000004</v>
      </c>
      <c r="BS109" s="1">
        <v>0.89049999999999996</v>
      </c>
      <c r="BT109" s="1">
        <v>0.89390000000000003</v>
      </c>
      <c r="BU109" s="1">
        <v>0.91010000000000002</v>
      </c>
      <c r="BV109" s="1"/>
      <c r="BW109" s="1"/>
      <c r="BX109" s="1"/>
      <c r="BY109" s="1">
        <v>9.6799999999999997E-2</v>
      </c>
      <c r="BZ109" s="1">
        <v>9.6799999999999997E-2</v>
      </c>
      <c r="CA109" s="1">
        <v>9.7100000000000006E-2</v>
      </c>
      <c r="CB109" s="1">
        <v>9.7699999999999995E-2</v>
      </c>
      <c r="CC109" s="1">
        <v>9.6500000000000002E-2</v>
      </c>
      <c r="CD109" s="1">
        <v>9.64E-2</v>
      </c>
      <c r="CE109" s="1">
        <v>9.7799999999999998E-2</v>
      </c>
      <c r="CF109" s="1">
        <v>9.5799999999999996E-2</v>
      </c>
      <c r="CG109" s="1">
        <v>9.7199999999999995E-2</v>
      </c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</row>
    <row r="110" spans="1:99" x14ac:dyDescent="0.2">
      <c r="A110" s="3" t="s">
        <v>195</v>
      </c>
      <c r="B110" s="1">
        <v>20614.072</v>
      </c>
      <c r="C110" s="1">
        <v>36.4</v>
      </c>
      <c r="D110" s="1">
        <f t="shared" si="0"/>
        <v>5.7261311111111111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>
        <v>0.72230000000000005</v>
      </c>
      <c r="AP110" s="1">
        <v>0.77590000000000003</v>
      </c>
      <c r="AQ110" s="1">
        <v>0.78369999999999995</v>
      </c>
      <c r="AR110" s="1">
        <v>0.80740000000000001</v>
      </c>
      <c r="AS110" s="1">
        <v>0.82279999999999998</v>
      </c>
      <c r="AT110" s="1">
        <v>0.82540000000000002</v>
      </c>
      <c r="AU110" s="1">
        <v>0.85240000000000005</v>
      </c>
      <c r="AV110" s="1">
        <v>0.87029999999999996</v>
      </c>
      <c r="AW110" s="1">
        <v>0.86870000000000003</v>
      </c>
      <c r="AX110" s="1"/>
      <c r="AY110" s="1"/>
      <c r="AZ110" s="1"/>
      <c r="BA110" s="1">
        <v>0.78580000000000005</v>
      </c>
      <c r="BB110" s="1">
        <v>0.78900000000000003</v>
      </c>
      <c r="BC110" s="1">
        <v>0.7974</v>
      </c>
      <c r="BD110" s="1">
        <v>0.82989999999999997</v>
      </c>
      <c r="BE110" s="1">
        <v>0.84299999999999997</v>
      </c>
      <c r="BF110" s="1">
        <v>0.85870000000000002</v>
      </c>
      <c r="BG110" s="1">
        <v>0.86509999999999998</v>
      </c>
      <c r="BH110" s="1">
        <v>0.86880000000000002</v>
      </c>
      <c r="BI110" s="1">
        <v>0.90390000000000004</v>
      </c>
      <c r="BJ110" s="1"/>
      <c r="BK110" s="1"/>
      <c r="BL110" s="1"/>
      <c r="BM110" s="1">
        <v>0.88090000000000002</v>
      </c>
      <c r="BN110" s="1">
        <v>0.81810000000000005</v>
      </c>
      <c r="BO110" s="1">
        <v>0.8256</v>
      </c>
      <c r="BP110" s="1">
        <v>0.85360000000000003</v>
      </c>
      <c r="BQ110" s="1">
        <v>0.86650000000000005</v>
      </c>
      <c r="BR110" s="1">
        <v>0.87660000000000005</v>
      </c>
      <c r="BS110" s="1">
        <v>0.89229999999999998</v>
      </c>
      <c r="BT110" s="1">
        <v>0.89280000000000004</v>
      </c>
      <c r="BU110" s="1">
        <v>0.9093</v>
      </c>
      <c r="BV110" s="1"/>
      <c r="BW110" s="1"/>
      <c r="BX110" s="1"/>
      <c r="BY110" s="1">
        <v>9.7000000000000003E-2</v>
      </c>
      <c r="BZ110" s="1">
        <v>9.74E-2</v>
      </c>
      <c r="CA110" s="1">
        <v>9.7500000000000003E-2</v>
      </c>
      <c r="CB110" s="1">
        <v>9.8100000000000007E-2</v>
      </c>
      <c r="CC110" s="1">
        <v>9.6600000000000005E-2</v>
      </c>
      <c r="CD110" s="1">
        <v>9.64E-2</v>
      </c>
      <c r="CE110" s="1">
        <v>9.6699999999999994E-2</v>
      </c>
      <c r="CF110" s="1">
        <v>9.74E-2</v>
      </c>
      <c r="CG110" s="1">
        <v>9.7199999999999995E-2</v>
      </c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</row>
    <row r="111" spans="1:99" x14ac:dyDescent="0.2">
      <c r="A111" s="3" t="s">
        <v>196</v>
      </c>
      <c r="B111" s="1">
        <v>21472.684000000001</v>
      </c>
      <c r="C111" s="1">
        <v>38</v>
      </c>
      <c r="D111" s="1">
        <f t="shared" si="0"/>
        <v>5.964634444444445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>
        <v>0.7258</v>
      </c>
      <c r="AP111" s="1">
        <v>0.76790000000000003</v>
      </c>
      <c r="AQ111" s="1">
        <v>0.78049999999999997</v>
      </c>
      <c r="AR111" s="1">
        <v>0.80489999999999995</v>
      </c>
      <c r="AS111" s="1">
        <v>0.82</v>
      </c>
      <c r="AT111" s="1">
        <v>0.82540000000000002</v>
      </c>
      <c r="AU111" s="1">
        <v>0.85019999999999996</v>
      </c>
      <c r="AV111" s="1">
        <v>0.87460000000000004</v>
      </c>
      <c r="AW111" s="1">
        <v>0.86860000000000004</v>
      </c>
      <c r="AX111" s="1"/>
      <c r="AY111" s="1"/>
      <c r="AZ111" s="1"/>
      <c r="BA111" s="1">
        <v>0.79369999999999996</v>
      </c>
      <c r="BB111" s="1">
        <v>0.79359999999999997</v>
      </c>
      <c r="BC111" s="1">
        <v>0.79759999999999998</v>
      </c>
      <c r="BD111" s="1">
        <v>0.82689999999999997</v>
      </c>
      <c r="BE111" s="1">
        <v>0.83979999999999999</v>
      </c>
      <c r="BF111" s="1">
        <v>0.85599999999999998</v>
      </c>
      <c r="BG111" s="1">
        <v>0.8639</v>
      </c>
      <c r="BH111" s="1">
        <v>0.86870000000000003</v>
      </c>
      <c r="BI111" s="1">
        <v>0.90469999999999995</v>
      </c>
      <c r="BJ111" s="1"/>
      <c r="BK111" s="1"/>
      <c r="BL111" s="1"/>
      <c r="BM111" s="1">
        <v>0.86240000000000006</v>
      </c>
      <c r="BN111" s="1">
        <v>0.82579999999999998</v>
      </c>
      <c r="BO111" s="1">
        <v>0.82069999999999999</v>
      </c>
      <c r="BP111" s="1">
        <v>0.85829999999999995</v>
      </c>
      <c r="BQ111" s="1">
        <v>0.86550000000000005</v>
      </c>
      <c r="BR111" s="1">
        <v>0.89029999999999998</v>
      </c>
      <c r="BS111" s="1">
        <v>0.90359999999999996</v>
      </c>
      <c r="BT111" s="1">
        <v>0.90529999999999999</v>
      </c>
      <c r="BU111" s="1">
        <v>0.91610000000000003</v>
      </c>
      <c r="BV111" s="1"/>
      <c r="BW111" s="1"/>
      <c r="BX111" s="1"/>
      <c r="BY111" s="1">
        <v>9.6600000000000005E-2</v>
      </c>
      <c r="BZ111" s="1">
        <v>9.69E-2</v>
      </c>
      <c r="CA111" s="1">
        <v>9.7100000000000006E-2</v>
      </c>
      <c r="CB111" s="1">
        <v>9.7500000000000003E-2</v>
      </c>
      <c r="CC111" s="1">
        <v>9.64E-2</v>
      </c>
      <c r="CD111" s="1">
        <v>9.6299999999999997E-2</v>
      </c>
      <c r="CE111" s="1">
        <v>9.7199999999999995E-2</v>
      </c>
      <c r="CF111" s="1">
        <v>9.7000000000000003E-2</v>
      </c>
      <c r="CG111" s="1">
        <v>9.7100000000000006E-2</v>
      </c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</row>
    <row r="112" spans="1:99" x14ac:dyDescent="0.2">
      <c r="A112" s="3" t="s">
        <v>197</v>
      </c>
      <c r="B112" s="1">
        <v>22331.544999999998</v>
      </c>
      <c r="C112" s="1">
        <v>37</v>
      </c>
      <c r="D112" s="1">
        <f t="shared" si="0"/>
        <v>6.2032069444444442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>
        <v>0.72899999999999998</v>
      </c>
      <c r="AP112" s="1">
        <v>0.77259999999999995</v>
      </c>
      <c r="AQ112" s="1">
        <v>0.78359999999999996</v>
      </c>
      <c r="AR112" s="1">
        <v>0.80589999999999995</v>
      </c>
      <c r="AS112" s="1">
        <v>0.82279999999999998</v>
      </c>
      <c r="AT112" s="1">
        <v>0.82879999999999998</v>
      </c>
      <c r="AU112" s="1">
        <v>0.8538</v>
      </c>
      <c r="AV112" s="1">
        <v>0.87329999999999997</v>
      </c>
      <c r="AW112" s="1">
        <v>0.872</v>
      </c>
      <c r="AX112" s="1"/>
      <c r="AY112" s="1"/>
      <c r="AZ112" s="1"/>
      <c r="BA112" s="1">
        <v>0.79420000000000002</v>
      </c>
      <c r="BB112" s="1">
        <v>0.80020000000000002</v>
      </c>
      <c r="BC112" s="1">
        <v>0.80330000000000001</v>
      </c>
      <c r="BD112" s="1">
        <v>0.83130000000000004</v>
      </c>
      <c r="BE112" s="1">
        <v>0.84550000000000003</v>
      </c>
      <c r="BF112" s="1">
        <v>0.86360000000000003</v>
      </c>
      <c r="BG112" s="1">
        <v>0.873</v>
      </c>
      <c r="BH112" s="1">
        <v>0.87480000000000002</v>
      </c>
      <c r="BI112" s="1">
        <v>0.90529999999999999</v>
      </c>
      <c r="BJ112" s="1"/>
      <c r="BK112" s="1"/>
      <c r="BL112" s="1"/>
      <c r="BM112" s="1">
        <v>0.877</v>
      </c>
      <c r="BN112" s="1">
        <v>0.83130000000000004</v>
      </c>
      <c r="BO112" s="1">
        <v>0.82379999999999998</v>
      </c>
      <c r="BP112" s="1">
        <v>0.86070000000000002</v>
      </c>
      <c r="BQ112" s="1">
        <v>0.85950000000000004</v>
      </c>
      <c r="BR112" s="1">
        <v>0.88229999999999997</v>
      </c>
      <c r="BS112" s="1">
        <v>0.89649999999999996</v>
      </c>
      <c r="BT112" s="1">
        <v>0.90210000000000001</v>
      </c>
      <c r="BU112" s="1">
        <v>0.91200000000000003</v>
      </c>
      <c r="BV112" s="1"/>
      <c r="BW112" s="1"/>
      <c r="BX112" s="1"/>
      <c r="BY112" s="1">
        <v>9.6799999999999997E-2</v>
      </c>
      <c r="BZ112" s="1">
        <v>9.7100000000000006E-2</v>
      </c>
      <c r="CA112" s="1">
        <v>9.74E-2</v>
      </c>
      <c r="CB112" s="1">
        <v>9.7699999999999995E-2</v>
      </c>
      <c r="CC112" s="1">
        <v>9.6299999999999997E-2</v>
      </c>
      <c r="CD112" s="1">
        <v>9.6299999999999997E-2</v>
      </c>
      <c r="CE112" s="1">
        <v>9.8000000000000004E-2</v>
      </c>
      <c r="CF112" s="1">
        <v>9.5699999999999993E-2</v>
      </c>
      <c r="CG112" s="1">
        <v>9.7500000000000003E-2</v>
      </c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</row>
    <row r="113" spans="1:99" x14ac:dyDescent="0.2">
      <c r="A113" s="3" t="s">
        <v>198</v>
      </c>
      <c r="B113" s="1">
        <v>23190.478999999999</v>
      </c>
      <c r="C113" s="1">
        <v>36.700000000000003</v>
      </c>
      <c r="D113" s="1">
        <f t="shared" si="0"/>
        <v>6.4417997222222221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>
        <v>0.72970000000000002</v>
      </c>
      <c r="AP113" s="1">
        <v>0.78049999999999997</v>
      </c>
      <c r="AQ113" s="1">
        <v>0.7873</v>
      </c>
      <c r="AR113" s="1">
        <v>0.8085</v>
      </c>
      <c r="AS113" s="1">
        <v>0.8276</v>
      </c>
      <c r="AT113" s="1">
        <v>0.83289999999999997</v>
      </c>
      <c r="AU113" s="1">
        <v>0.85860000000000003</v>
      </c>
      <c r="AV113" s="1">
        <v>0.87250000000000005</v>
      </c>
      <c r="AW113" s="1">
        <v>0.86929999999999996</v>
      </c>
      <c r="AX113" s="1"/>
      <c r="AY113" s="1"/>
      <c r="AZ113" s="1"/>
      <c r="BA113" s="1">
        <v>0.79400000000000004</v>
      </c>
      <c r="BB113" s="1">
        <v>0.79590000000000005</v>
      </c>
      <c r="BC113" s="1">
        <v>0.80379999999999996</v>
      </c>
      <c r="BD113" s="1">
        <v>0.83379999999999999</v>
      </c>
      <c r="BE113" s="1">
        <v>0.84399999999999997</v>
      </c>
      <c r="BF113" s="1">
        <v>0.86019999999999996</v>
      </c>
      <c r="BG113" s="1">
        <v>0.86929999999999996</v>
      </c>
      <c r="BH113" s="1">
        <v>0.87309999999999999</v>
      </c>
      <c r="BI113" s="1">
        <v>0.90690000000000004</v>
      </c>
      <c r="BJ113" s="1"/>
      <c r="BK113" s="1"/>
      <c r="BL113" s="1"/>
      <c r="BM113" s="1">
        <v>0.88749999999999996</v>
      </c>
      <c r="BN113" s="1">
        <v>0.83120000000000005</v>
      </c>
      <c r="BO113" s="1">
        <v>0.83840000000000003</v>
      </c>
      <c r="BP113" s="1">
        <v>0.86460000000000004</v>
      </c>
      <c r="BQ113" s="1">
        <v>0.8679</v>
      </c>
      <c r="BR113" s="1">
        <v>0.88770000000000004</v>
      </c>
      <c r="BS113" s="1">
        <v>0.9032</v>
      </c>
      <c r="BT113" s="1">
        <v>0.90369999999999995</v>
      </c>
      <c r="BU113" s="1">
        <v>0.91049999999999998</v>
      </c>
      <c r="BV113" s="1"/>
      <c r="BW113" s="1"/>
      <c r="BX113" s="1"/>
      <c r="BY113" s="1">
        <v>9.7000000000000003E-2</v>
      </c>
      <c r="BZ113" s="1">
        <v>9.7100000000000006E-2</v>
      </c>
      <c r="CA113" s="1">
        <v>9.7100000000000006E-2</v>
      </c>
      <c r="CB113" s="1">
        <v>9.8199999999999996E-2</v>
      </c>
      <c r="CC113" s="1">
        <v>9.6799999999999997E-2</v>
      </c>
      <c r="CD113" s="1">
        <v>9.6299999999999997E-2</v>
      </c>
      <c r="CE113" s="1">
        <v>9.6799999999999997E-2</v>
      </c>
      <c r="CF113" s="1">
        <v>9.6100000000000005E-2</v>
      </c>
      <c r="CG113" s="1">
        <v>9.7199999999999995E-2</v>
      </c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</row>
    <row r="114" spans="1:99" x14ac:dyDescent="0.2">
      <c r="A114" s="3" t="s">
        <v>199</v>
      </c>
      <c r="B114" s="1">
        <v>24049.146000000001</v>
      </c>
      <c r="C114" s="1">
        <v>37.799999999999997</v>
      </c>
      <c r="D114" s="1">
        <f t="shared" si="0"/>
        <v>6.6803183333333331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>
        <v>0.72670000000000001</v>
      </c>
      <c r="AP114" s="1">
        <v>0.77010000000000001</v>
      </c>
      <c r="AQ114" s="1">
        <v>0.78859999999999997</v>
      </c>
      <c r="AR114" s="1">
        <v>0.81159999999999999</v>
      </c>
      <c r="AS114" s="1">
        <v>0.82430000000000003</v>
      </c>
      <c r="AT114" s="1">
        <v>0.83130000000000004</v>
      </c>
      <c r="AU114" s="1">
        <v>0.85209999999999997</v>
      </c>
      <c r="AV114" s="1">
        <v>0.87239999999999995</v>
      </c>
      <c r="AW114" s="1">
        <v>0.86799999999999999</v>
      </c>
      <c r="AX114" s="1"/>
      <c r="AY114" s="1"/>
      <c r="AZ114" s="1"/>
      <c r="BA114" s="1">
        <v>0.8075</v>
      </c>
      <c r="BB114" s="1">
        <v>0.80930000000000002</v>
      </c>
      <c r="BC114" s="1">
        <v>0.81379999999999997</v>
      </c>
      <c r="BD114" s="1">
        <v>0.84209999999999996</v>
      </c>
      <c r="BE114" s="1">
        <v>0.85050000000000003</v>
      </c>
      <c r="BF114" s="1">
        <v>0.86519999999999997</v>
      </c>
      <c r="BG114" s="1">
        <v>0.87860000000000005</v>
      </c>
      <c r="BH114" s="1">
        <v>0.878</v>
      </c>
      <c r="BI114" s="1">
        <v>0.90429999999999999</v>
      </c>
      <c r="BJ114" s="1"/>
      <c r="BK114" s="1"/>
      <c r="BL114" s="1"/>
      <c r="BM114" s="1">
        <v>0.86960000000000004</v>
      </c>
      <c r="BN114" s="1">
        <v>0.84419999999999995</v>
      </c>
      <c r="BO114" s="1">
        <v>0.83150000000000002</v>
      </c>
      <c r="BP114" s="1">
        <v>0.86350000000000005</v>
      </c>
      <c r="BQ114" s="1">
        <v>0.86250000000000004</v>
      </c>
      <c r="BR114" s="1">
        <v>0.88319999999999999</v>
      </c>
      <c r="BS114" s="1">
        <v>0.89680000000000004</v>
      </c>
      <c r="BT114" s="1">
        <v>0.90339999999999998</v>
      </c>
      <c r="BU114" s="1">
        <v>0.91369999999999996</v>
      </c>
      <c r="BV114" s="1"/>
      <c r="BW114" s="1"/>
      <c r="BX114" s="1"/>
      <c r="BY114" s="1">
        <v>9.6799999999999997E-2</v>
      </c>
      <c r="BZ114" s="1">
        <v>9.7199999999999995E-2</v>
      </c>
      <c r="CA114" s="1">
        <v>9.7500000000000003E-2</v>
      </c>
      <c r="CB114" s="1">
        <v>9.8000000000000004E-2</v>
      </c>
      <c r="CC114" s="1">
        <v>9.6699999999999994E-2</v>
      </c>
      <c r="CD114" s="1">
        <v>9.6500000000000002E-2</v>
      </c>
      <c r="CE114" s="1">
        <v>9.6699999999999994E-2</v>
      </c>
      <c r="CF114" s="1">
        <v>9.6000000000000002E-2</v>
      </c>
      <c r="CG114" s="1">
        <v>9.7100000000000006E-2</v>
      </c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</row>
    <row r="115" spans="1:99" x14ac:dyDescent="0.2">
      <c r="A115" s="3" t="s">
        <v>200</v>
      </c>
      <c r="B115" s="1">
        <v>24908.082999999999</v>
      </c>
      <c r="C115" s="1">
        <v>36.700000000000003</v>
      </c>
      <c r="D115" s="1">
        <f t="shared" si="0"/>
        <v>6.918911944444444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>
        <v>0.7288</v>
      </c>
      <c r="AP115" s="1">
        <v>0.76870000000000005</v>
      </c>
      <c r="AQ115" s="1">
        <v>0.78349999999999997</v>
      </c>
      <c r="AR115" s="1">
        <v>0.80769999999999997</v>
      </c>
      <c r="AS115" s="1">
        <v>0.8246</v>
      </c>
      <c r="AT115" s="1">
        <v>0.83279999999999998</v>
      </c>
      <c r="AU115" s="1">
        <v>0.85570000000000002</v>
      </c>
      <c r="AV115" s="1">
        <v>0.87829999999999997</v>
      </c>
      <c r="AW115" s="1">
        <v>0.87360000000000004</v>
      </c>
      <c r="AX115" s="1"/>
      <c r="AY115" s="1"/>
      <c r="AZ115" s="1"/>
      <c r="BA115" s="1">
        <v>0.80700000000000005</v>
      </c>
      <c r="BB115" s="1">
        <v>0.80879999999999996</v>
      </c>
      <c r="BC115" s="1">
        <v>0.81020000000000003</v>
      </c>
      <c r="BD115" s="1">
        <v>0.83430000000000004</v>
      </c>
      <c r="BE115" s="1">
        <v>0.84770000000000001</v>
      </c>
      <c r="BF115" s="1">
        <v>0.86240000000000006</v>
      </c>
      <c r="BG115" s="1">
        <v>0.87460000000000004</v>
      </c>
      <c r="BH115" s="1">
        <v>0.88100000000000001</v>
      </c>
      <c r="BI115" s="1">
        <v>0.91369999999999996</v>
      </c>
      <c r="BJ115" s="1"/>
      <c r="BK115" s="1"/>
      <c r="BL115" s="1"/>
      <c r="BM115" s="1">
        <v>0.878</v>
      </c>
      <c r="BN115" s="1">
        <v>0.83960000000000001</v>
      </c>
      <c r="BO115" s="1">
        <v>0.83350000000000002</v>
      </c>
      <c r="BP115" s="1">
        <v>0.86629999999999996</v>
      </c>
      <c r="BQ115" s="1">
        <v>0.86780000000000002</v>
      </c>
      <c r="BR115" s="1">
        <v>0.89049999999999996</v>
      </c>
      <c r="BS115" s="1">
        <v>0.90180000000000005</v>
      </c>
      <c r="BT115" s="1">
        <v>0.90839999999999999</v>
      </c>
      <c r="BU115" s="1">
        <v>0.91339999999999999</v>
      </c>
      <c r="BV115" s="1"/>
      <c r="BW115" s="1"/>
      <c r="BX115" s="1"/>
      <c r="BY115" s="1">
        <v>9.7199999999999995E-2</v>
      </c>
      <c r="BZ115" s="1">
        <v>9.7500000000000003E-2</v>
      </c>
      <c r="CA115" s="1">
        <v>9.74E-2</v>
      </c>
      <c r="CB115" s="1">
        <v>9.7799999999999998E-2</v>
      </c>
      <c r="CC115" s="1">
        <v>9.7000000000000003E-2</v>
      </c>
      <c r="CD115" s="1">
        <v>9.6600000000000005E-2</v>
      </c>
      <c r="CE115" s="1">
        <v>9.8100000000000007E-2</v>
      </c>
      <c r="CF115" s="1">
        <v>9.69E-2</v>
      </c>
      <c r="CG115" s="1">
        <v>9.7500000000000003E-2</v>
      </c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 spans="1:99" x14ac:dyDescent="0.2">
      <c r="A116" s="3" t="s">
        <v>201</v>
      </c>
      <c r="B116" s="1">
        <v>25767.043000000001</v>
      </c>
      <c r="C116" s="1">
        <v>36.9</v>
      </c>
      <c r="D116" s="1">
        <f t="shared" si="0"/>
        <v>7.1575119444444448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>
        <v>0.72889999999999999</v>
      </c>
      <c r="AP116" s="1">
        <v>0.77580000000000005</v>
      </c>
      <c r="AQ116" s="1">
        <v>0.78569999999999995</v>
      </c>
      <c r="AR116" s="1">
        <v>0.81289999999999996</v>
      </c>
      <c r="AS116" s="1">
        <v>0.82750000000000001</v>
      </c>
      <c r="AT116" s="1">
        <v>0.84150000000000003</v>
      </c>
      <c r="AU116" s="1">
        <v>0.86140000000000005</v>
      </c>
      <c r="AV116" s="1">
        <v>0.87760000000000005</v>
      </c>
      <c r="AW116" s="1">
        <v>0.86970000000000003</v>
      </c>
      <c r="AX116" s="1"/>
      <c r="AY116" s="1"/>
      <c r="AZ116" s="1"/>
      <c r="BA116" s="1">
        <v>0.7903</v>
      </c>
      <c r="BB116" s="1">
        <v>0.79300000000000004</v>
      </c>
      <c r="BC116" s="1">
        <v>0.80679999999999996</v>
      </c>
      <c r="BD116" s="1">
        <v>0.83309999999999995</v>
      </c>
      <c r="BE116" s="1">
        <v>0.84930000000000005</v>
      </c>
      <c r="BF116" s="1">
        <v>0.86560000000000004</v>
      </c>
      <c r="BG116" s="1">
        <v>0.87570000000000003</v>
      </c>
      <c r="BH116" s="1">
        <v>0.87919999999999998</v>
      </c>
      <c r="BI116" s="1">
        <v>0.91190000000000004</v>
      </c>
      <c r="BJ116" s="1"/>
      <c r="BK116" s="1"/>
      <c r="BL116" s="1"/>
      <c r="BM116" s="1">
        <v>0.87350000000000005</v>
      </c>
      <c r="BN116" s="1">
        <v>0.82809999999999995</v>
      </c>
      <c r="BO116" s="1">
        <v>0.83340000000000003</v>
      </c>
      <c r="BP116" s="1">
        <v>0.86609999999999998</v>
      </c>
      <c r="BQ116" s="1">
        <v>0.87039999999999995</v>
      </c>
      <c r="BR116" s="1">
        <v>0.89229999999999998</v>
      </c>
      <c r="BS116" s="1">
        <v>0.90529999999999999</v>
      </c>
      <c r="BT116" s="1">
        <v>0.91010000000000002</v>
      </c>
      <c r="BU116" s="1">
        <v>0.91479999999999995</v>
      </c>
      <c r="BV116" s="1"/>
      <c r="BW116" s="1"/>
      <c r="BX116" s="1"/>
      <c r="BY116" s="1">
        <v>9.7000000000000003E-2</v>
      </c>
      <c r="BZ116" s="1">
        <v>9.7299999999999998E-2</v>
      </c>
      <c r="CA116" s="1">
        <v>9.7299999999999998E-2</v>
      </c>
      <c r="CB116" s="1">
        <v>9.8100000000000007E-2</v>
      </c>
      <c r="CC116" s="1">
        <v>9.64E-2</v>
      </c>
      <c r="CD116" s="1">
        <v>9.6699999999999994E-2</v>
      </c>
      <c r="CE116" s="1">
        <v>9.6600000000000005E-2</v>
      </c>
      <c r="CF116" s="1">
        <v>9.6100000000000005E-2</v>
      </c>
      <c r="CG116" s="1">
        <v>9.7100000000000006E-2</v>
      </c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</row>
    <row r="117" spans="1:99" x14ac:dyDescent="0.2">
      <c r="A117" s="3" t="s">
        <v>202</v>
      </c>
      <c r="B117" s="1">
        <v>26625.675999999999</v>
      </c>
      <c r="C117" s="1">
        <v>37.6</v>
      </c>
      <c r="D117" s="1">
        <f t="shared" si="0"/>
        <v>7.3960211111111107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>
        <v>0.73129999999999995</v>
      </c>
      <c r="AP117" s="1">
        <v>0.77100000000000002</v>
      </c>
      <c r="AQ117" s="1">
        <v>0.78620000000000001</v>
      </c>
      <c r="AR117" s="1">
        <v>0.8095</v>
      </c>
      <c r="AS117" s="1">
        <v>0.8266</v>
      </c>
      <c r="AT117" s="1">
        <v>0.83679999999999999</v>
      </c>
      <c r="AU117" s="1">
        <v>0.85529999999999995</v>
      </c>
      <c r="AV117" s="1">
        <v>0.874</v>
      </c>
      <c r="AW117" s="1">
        <v>0.86729999999999996</v>
      </c>
      <c r="AX117" s="1"/>
      <c r="AY117" s="1"/>
      <c r="AZ117" s="1"/>
      <c r="BA117" s="1">
        <v>0.80100000000000005</v>
      </c>
      <c r="BB117" s="1">
        <v>0.80159999999999998</v>
      </c>
      <c r="BC117" s="1">
        <v>0.8075</v>
      </c>
      <c r="BD117" s="1">
        <v>0.82979999999999998</v>
      </c>
      <c r="BE117" s="1">
        <v>0.84360000000000002</v>
      </c>
      <c r="BF117" s="1">
        <v>0.85850000000000004</v>
      </c>
      <c r="BG117" s="1">
        <v>0.87309999999999999</v>
      </c>
      <c r="BH117" s="1">
        <v>0.88029999999999997</v>
      </c>
      <c r="BI117" s="1">
        <v>0.90900000000000003</v>
      </c>
      <c r="BJ117" s="1"/>
      <c r="BK117" s="1"/>
      <c r="BL117" s="1"/>
      <c r="BM117" s="1">
        <v>0.87709999999999999</v>
      </c>
      <c r="BN117" s="1">
        <v>0.8407</v>
      </c>
      <c r="BO117" s="1">
        <v>0.83240000000000003</v>
      </c>
      <c r="BP117" s="1">
        <v>0.86650000000000005</v>
      </c>
      <c r="BQ117" s="1">
        <v>0.86670000000000003</v>
      </c>
      <c r="BR117" s="1">
        <v>0.88880000000000003</v>
      </c>
      <c r="BS117" s="1">
        <v>0.9032</v>
      </c>
      <c r="BT117" s="1">
        <v>0.9083</v>
      </c>
      <c r="BU117" s="1">
        <v>0.91320000000000001</v>
      </c>
      <c r="BV117" s="1"/>
      <c r="BW117" s="1"/>
      <c r="BX117" s="1"/>
      <c r="BY117" s="1">
        <v>9.6799999999999997E-2</v>
      </c>
      <c r="BZ117" s="1">
        <v>9.7199999999999995E-2</v>
      </c>
      <c r="CA117" s="1">
        <v>9.7199999999999995E-2</v>
      </c>
      <c r="CB117" s="1">
        <v>9.8400000000000001E-2</v>
      </c>
      <c r="CC117" s="1">
        <v>9.6500000000000002E-2</v>
      </c>
      <c r="CD117" s="1">
        <v>9.6500000000000002E-2</v>
      </c>
      <c r="CE117" s="1">
        <v>9.6500000000000002E-2</v>
      </c>
      <c r="CF117" s="1">
        <v>9.7000000000000003E-2</v>
      </c>
      <c r="CG117" s="1">
        <v>9.74E-2</v>
      </c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spans="1:99" x14ac:dyDescent="0.2">
      <c r="A118" s="3" t="s">
        <v>203</v>
      </c>
      <c r="B118" s="1">
        <v>27484.674999999999</v>
      </c>
      <c r="C118" s="1">
        <v>36.6</v>
      </c>
      <c r="D118" s="1">
        <f t="shared" si="0"/>
        <v>7.6346319444444442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>
        <v>0.72989999999999999</v>
      </c>
      <c r="AP118" s="1">
        <v>0.77580000000000005</v>
      </c>
      <c r="AQ118" s="1">
        <v>0.78349999999999997</v>
      </c>
      <c r="AR118" s="1">
        <v>0.81220000000000003</v>
      </c>
      <c r="AS118" s="1">
        <v>0.8266</v>
      </c>
      <c r="AT118" s="1">
        <v>0.84379999999999999</v>
      </c>
      <c r="AU118" s="1">
        <v>0.85680000000000001</v>
      </c>
      <c r="AV118" s="1">
        <v>0.87860000000000005</v>
      </c>
      <c r="AW118" s="1">
        <v>0.86819999999999997</v>
      </c>
      <c r="AX118" s="1"/>
      <c r="AY118" s="1"/>
      <c r="AZ118" s="1"/>
      <c r="BA118" s="1">
        <v>0.79610000000000003</v>
      </c>
      <c r="BB118" s="1">
        <v>0.79910000000000003</v>
      </c>
      <c r="BC118" s="1">
        <v>0.81069999999999998</v>
      </c>
      <c r="BD118" s="1">
        <v>0.83819999999999995</v>
      </c>
      <c r="BE118" s="1">
        <v>0.85350000000000004</v>
      </c>
      <c r="BF118" s="1">
        <v>0.87029999999999996</v>
      </c>
      <c r="BG118" s="1">
        <v>0.87990000000000002</v>
      </c>
      <c r="BH118" s="1">
        <v>0.8851</v>
      </c>
      <c r="BI118" s="1">
        <v>0.90910000000000002</v>
      </c>
      <c r="BJ118" s="1"/>
      <c r="BK118" s="1"/>
      <c r="BL118" s="1"/>
      <c r="BM118" s="1">
        <v>0.89290000000000003</v>
      </c>
      <c r="BN118" s="1">
        <v>0.83150000000000002</v>
      </c>
      <c r="BO118" s="1">
        <v>0.84060000000000001</v>
      </c>
      <c r="BP118" s="1">
        <v>0.86160000000000003</v>
      </c>
      <c r="BQ118" s="1">
        <v>0.87209999999999999</v>
      </c>
      <c r="BR118" s="1">
        <v>0.88790000000000002</v>
      </c>
      <c r="BS118" s="1">
        <v>0.90600000000000003</v>
      </c>
      <c r="BT118" s="1">
        <v>0.9083</v>
      </c>
      <c r="BU118" s="1">
        <v>0.91420000000000001</v>
      </c>
      <c r="BV118" s="1"/>
      <c r="BW118" s="1"/>
      <c r="BX118" s="1"/>
      <c r="BY118" s="1">
        <v>9.6699999999999994E-2</v>
      </c>
      <c r="BZ118" s="1">
        <v>9.7100000000000006E-2</v>
      </c>
      <c r="CA118" s="1">
        <v>9.74E-2</v>
      </c>
      <c r="CB118" s="1">
        <v>9.8199999999999996E-2</v>
      </c>
      <c r="CC118" s="1">
        <v>9.6500000000000002E-2</v>
      </c>
      <c r="CD118" s="1">
        <v>9.6600000000000005E-2</v>
      </c>
      <c r="CE118" s="1">
        <v>9.6600000000000005E-2</v>
      </c>
      <c r="CF118" s="1">
        <v>9.6600000000000005E-2</v>
      </c>
      <c r="CG118" s="1">
        <v>9.7199999999999995E-2</v>
      </c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spans="1:99" x14ac:dyDescent="0.2">
      <c r="A119" s="3" t="s">
        <v>204</v>
      </c>
      <c r="B119" s="1">
        <v>28343.287</v>
      </c>
      <c r="C119" s="1">
        <v>37.799999999999997</v>
      </c>
      <c r="D119" s="1">
        <f t="shared" si="0"/>
        <v>7.8731352777777781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>
        <v>0.72850000000000004</v>
      </c>
      <c r="AP119" s="1">
        <v>0.77680000000000005</v>
      </c>
      <c r="AQ119" s="1">
        <v>0.78620000000000001</v>
      </c>
      <c r="AR119" s="1">
        <v>0.81</v>
      </c>
      <c r="AS119" s="1">
        <v>0.8246</v>
      </c>
      <c r="AT119" s="1">
        <v>0.84219999999999995</v>
      </c>
      <c r="AU119" s="1">
        <v>0.85580000000000001</v>
      </c>
      <c r="AV119" s="1">
        <v>0.874</v>
      </c>
      <c r="AW119" s="1">
        <v>0.86599999999999999</v>
      </c>
      <c r="AX119" s="1"/>
      <c r="AY119" s="1"/>
      <c r="AZ119" s="1"/>
      <c r="BA119" s="1">
        <v>0.79410000000000003</v>
      </c>
      <c r="BB119" s="1">
        <v>0.8004</v>
      </c>
      <c r="BC119" s="1">
        <v>0.8105</v>
      </c>
      <c r="BD119" s="1">
        <v>0.83760000000000001</v>
      </c>
      <c r="BE119" s="1">
        <v>0.85009999999999997</v>
      </c>
      <c r="BF119" s="1">
        <v>0.86519999999999997</v>
      </c>
      <c r="BG119" s="1">
        <v>0.87760000000000005</v>
      </c>
      <c r="BH119" s="1">
        <v>0.88319999999999999</v>
      </c>
      <c r="BI119" s="1">
        <v>0.90280000000000005</v>
      </c>
      <c r="BJ119" s="1"/>
      <c r="BK119" s="1"/>
      <c r="BL119" s="1"/>
      <c r="BM119" s="1">
        <v>0.87270000000000003</v>
      </c>
      <c r="BN119" s="1">
        <v>0.82769999999999999</v>
      </c>
      <c r="BO119" s="1">
        <v>0.83340000000000003</v>
      </c>
      <c r="BP119" s="1">
        <v>0.86080000000000001</v>
      </c>
      <c r="BQ119" s="1">
        <v>0.86780000000000002</v>
      </c>
      <c r="BR119" s="1">
        <v>0.88780000000000003</v>
      </c>
      <c r="BS119" s="1">
        <v>0.90759999999999996</v>
      </c>
      <c r="BT119" s="1">
        <v>0.91139999999999999</v>
      </c>
      <c r="BU119" s="1">
        <v>0.91390000000000005</v>
      </c>
      <c r="BV119" s="1"/>
      <c r="BW119" s="1"/>
      <c r="BX119" s="1"/>
      <c r="BY119" s="1">
        <v>9.6699999999999994E-2</v>
      </c>
      <c r="BZ119" s="1">
        <v>9.69E-2</v>
      </c>
      <c r="CA119" s="1">
        <v>9.7199999999999995E-2</v>
      </c>
      <c r="CB119" s="1">
        <v>9.7900000000000001E-2</v>
      </c>
      <c r="CC119" s="1">
        <v>9.6500000000000002E-2</v>
      </c>
      <c r="CD119" s="1">
        <v>9.6100000000000005E-2</v>
      </c>
      <c r="CE119" s="1">
        <v>9.6000000000000002E-2</v>
      </c>
      <c r="CF119" s="1">
        <v>9.69E-2</v>
      </c>
      <c r="CG119" s="1">
        <v>9.69E-2</v>
      </c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 spans="1:99" x14ac:dyDescent="0.2">
      <c r="A120" s="3" t="s">
        <v>205</v>
      </c>
      <c r="B120" s="1">
        <v>29201.879000000001</v>
      </c>
      <c r="C120" s="1">
        <v>37</v>
      </c>
      <c r="D120" s="1">
        <f t="shared" si="0"/>
        <v>8.111633055555556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>
        <v>0.72919999999999996</v>
      </c>
      <c r="AP120" s="1">
        <v>0.76590000000000003</v>
      </c>
      <c r="AQ120" s="1">
        <v>0.78120000000000001</v>
      </c>
      <c r="AR120" s="1">
        <v>0.80859999999999999</v>
      </c>
      <c r="AS120" s="1">
        <v>0.82330000000000003</v>
      </c>
      <c r="AT120" s="1">
        <v>0.83750000000000002</v>
      </c>
      <c r="AU120" s="1">
        <v>0.85240000000000005</v>
      </c>
      <c r="AV120" s="1">
        <v>0.87450000000000006</v>
      </c>
      <c r="AW120" s="1">
        <v>0.87050000000000005</v>
      </c>
      <c r="AX120" s="1"/>
      <c r="AY120" s="1"/>
      <c r="AZ120" s="1"/>
      <c r="BA120" s="1">
        <v>0.80730000000000002</v>
      </c>
      <c r="BB120" s="1">
        <v>0.81530000000000002</v>
      </c>
      <c r="BC120" s="1">
        <v>0.81659999999999999</v>
      </c>
      <c r="BD120" s="1">
        <v>0.83460000000000001</v>
      </c>
      <c r="BE120" s="1">
        <v>0.84789999999999999</v>
      </c>
      <c r="BF120" s="1">
        <v>0.86380000000000001</v>
      </c>
      <c r="BG120" s="1">
        <v>0.87809999999999999</v>
      </c>
      <c r="BH120" s="1">
        <v>0.88339999999999996</v>
      </c>
      <c r="BI120" s="1">
        <v>0.91249999999999998</v>
      </c>
      <c r="BJ120" s="1"/>
      <c r="BK120" s="1"/>
      <c r="BL120" s="1"/>
      <c r="BM120" s="1">
        <v>0.81720000000000004</v>
      </c>
      <c r="BN120" s="1">
        <v>0.83560000000000001</v>
      </c>
      <c r="BO120" s="1">
        <v>0.83860000000000001</v>
      </c>
      <c r="BP120" s="1">
        <v>0.87</v>
      </c>
      <c r="BQ120" s="1">
        <v>0.86890000000000001</v>
      </c>
      <c r="BR120" s="1">
        <v>0.89249999999999996</v>
      </c>
      <c r="BS120" s="1">
        <v>0.91069999999999995</v>
      </c>
      <c r="BT120" s="1">
        <v>0.91520000000000001</v>
      </c>
      <c r="BU120" s="1">
        <v>0.91959999999999997</v>
      </c>
      <c r="BV120" s="1"/>
      <c r="BW120" s="1"/>
      <c r="BX120" s="1"/>
      <c r="BY120" s="1">
        <v>9.6699999999999994E-2</v>
      </c>
      <c r="BZ120" s="1">
        <v>9.6799999999999997E-2</v>
      </c>
      <c r="CA120" s="1">
        <v>9.7299999999999998E-2</v>
      </c>
      <c r="CB120" s="1">
        <v>9.8000000000000004E-2</v>
      </c>
      <c r="CC120" s="1">
        <v>9.64E-2</v>
      </c>
      <c r="CD120" s="1">
        <v>9.7100000000000006E-2</v>
      </c>
      <c r="CE120" s="1">
        <v>9.6699999999999994E-2</v>
      </c>
      <c r="CF120" s="1">
        <v>9.6600000000000005E-2</v>
      </c>
      <c r="CG120" s="1">
        <v>9.74E-2</v>
      </c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</row>
    <row r="121" spans="1:99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99" x14ac:dyDescent="0.2">
      <c r="A122" s="1" t="s">
        <v>31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99" x14ac:dyDescent="0.2">
      <c r="A123" s="3" t="s">
        <v>84</v>
      </c>
      <c r="B123" s="3" t="s">
        <v>85</v>
      </c>
      <c r="C123" s="3" t="s">
        <v>86</v>
      </c>
      <c r="D123" s="3" t="s">
        <v>87</v>
      </c>
      <c r="E123" s="3" t="s">
        <v>88</v>
      </c>
      <c r="F123" s="3" t="s">
        <v>89</v>
      </c>
      <c r="G123" s="3" t="s">
        <v>90</v>
      </c>
      <c r="H123" s="3" t="s">
        <v>91</v>
      </c>
      <c r="I123" s="3" t="s">
        <v>92</v>
      </c>
      <c r="J123" s="3" t="s">
        <v>93</v>
      </c>
      <c r="K123" s="3" t="s">
        <v>94</v>
      </c>
      <c r="L123" s="3" t="s">
        <v>95</v>
      </c>
      <c r="M123" s="3" t="s">
        <v>96</v>
      </c>
      <c r="N123" s="3" t="s">
        <v>97</v>
      </c>
      <c r="O123" s="3" t="s">
        <v>98</v>
      </c>
      <c r="P123" s="3" t="s">
        <v>99</v>
      </c>
      <c r="Q123" s="3" t="s">
        <v>100</v>
      </c>
      <c r="R123" s="3" t="s">
        <v>101</v>
      </c>
      <c r="S123" s="3" t="s">
        <v>102</v>
      </c>
      <c r="T123" s="3" t="s">
        <v>103</v>
      </c>
      <c r="U123" s="3" t="s">
        <v>104</v>
      </c>
      <c r="V123" s="3" t="s">
        <v>105</v>
      </c>
      <c r="W123" s="3" t="s">
        <v>106</v>
      </c>
      <c r="X123" s="3" t="s">
        <v>107</v>
      </c>
      <c r="Y123" s="3" t="s">
        <v>108</v>
      </c>
      <c r="Z123" s="3" t="s">
        <v>109</v>
      </c>
      <c r="AA123" s="3" t="s">
        <v>110</v>
      </c>
      <c r="AB123" s="3" t="s">
        <v>111</v>
      </c>
      <c r="AC123" s="3" t="s">
        <v>112</v>
      </c>
      <c r="AD123" s="3" t="s">
        <v>113</v>
      </c>
      <c r="AE123" s="3" t="s">
        <v>114</v>
      </c>
      <c r="AF123" s="3" t="s">
        <v>115</v>
      </c>
      <c r="AG123" s="3" t="s">
        <v>116</v>
      </c>
      <c r="AH123" s="3" t="s">
        <v>117</v>
      </c>
      <c r="AI123" s="3" t="s">
        <v>118</v>
      </c>
      <c r="AJ123" s="3" t="s">
        <v>119</v>
      </c>
      <c r="AK123" s="3" t="s">
        <v>120</v>
      </c>
      <c r="AL123" s="3" t="s">
        <v>121</v>
      </c>
      <c r="AM123" s="3" t="s">
        <v>122</v>
      </c>
      <c r="AN123" s="3" t="s">
        <v>123</v>
      </c>
      <c r="AO123" s="3" t="s">
        <v>124</v>
      </c>
      <c r="AP123" s="3" t="s">
        <v>125</v>
      </c>
      <c r="AQ123" s="3" t="s">
        <v>126</v>
      </c>
      <c r="AR123" s="3" t="s">
        <v>127</v>
      </c>
      <c r="AS123" s="3" t="s">
        <v>128</v>
      </c>
      <c r="AT123" s="3" t="s">
        <v>129</v>
      </c>
      <c r="AU123" s="3" t="s">
        <v>130</v>
      </c>
      <c r="AV123" s="3" t="s">
        <v>131</v>
      </c>
      <c r="AW123" s="3" t="s">
        <v>132</v>
      </c>
      <c r="AX123" s="3" t="s">
        <v>133</v>
      </c>
      <c r="AY123" s="3" t="s">
        <v>134</v>
      </c>
      <c r="AZ123" s="3" t="s">
        <v>135</v>
      </c>
      <c r="BA123" s="3" t="s">
        <v>136</v>
      </c>
      <c r="BB123" s="3" t="s">
        <v>137</v>
      </c>
      <c r="BC123" s="3" t="s">
        <v>138</v>
      </c>
      <c r="BD123" s="3" t="s">
        <v>139</v>
      </c>
      <c r="BE123" s="3" t="s">
        <v>140</v>
      </c>
      <c r="BF123" s="3" t="s">
        <v>141</v>
      </c>
      <c r="BG123" s="3" t="s">
        <v>142</v>
      </c>
      <c r="BH123" s="3" t="s">
        <v>143</v>
      </c>
      <c r="BI123" s="3" t="s">
        <v>144</v>
      </c>
      <c r="BJ123" s="3" t="s">
        <v>145</v>
      </c>
      <c r="BK123" s="3" t="s">
        <v>146</v>
      </c>
      <c r="BL123" s="3" t="s">
        <v>147</v>
      </c>
      <c r="BM123" s="3" t="s">
        <v>148</v>
      </c>
      <c r="BN123" s="3" t="s">
        <v>149</v>
      </c>
      <c r="BO123" s="3" t="s">
        <v>150</v>
      </c>
      <c r="BP123" s="3" t="s">
        <v>151</v>
      </c>
      <c r="BQ123" s="3" t="s">
        <v>152</v>
      </c>
      <c r="BR123" s="3" t="s">
        <v>153</v>
      </c>
      <c r="BS123" s="3" t="s">
        <v>154</v>
      </c>
      <c r="BT123" s="3" t="s">
        <v>155</v>
      </c>
      <c r="BU123" s="3" t="s">
        <v>156</v>
      </c>
      <c r="BV123" s="3" t="s">
        <v>157</v>
      </c>
      <c r="BW123" s="3" t="s">
        <v>158</v>
      </c>
      <c r="BX123" s="3" t="s">
        <v>159</v>
      </c>
      <c r="BY123" s="3" t="s">
        <v>160</v>
      </c>
      <c r="BZ123" s="3" t="s">
        <v>161</v>
      </c>
      <c r="CA123" s="3" t="s">
        <v>162</v>
      </c>
      <c r="CB123" s="3" t="s">
        <v>163</v>
      </c>
      <c r="CC123" s="3" t="s">
        <v>164</v>
      </c>
      <c r="CD123" s="3" t="s">
        <v>165</v>
      </c>
      <c r="CE123" s="3" t="s">
        <v>166</v>
      </c>
      <c r="CF123" s="3" t="s">
        <v>167</v>
      </c>
      <c r="CG123" s="3" t="s">
        <v>168</v>
      </c>
      <c r="CH123" s="3" t="s">
        <v>169</v>
      </c>
      <c r="CI123" s="3" t="s">
        <v>170</v>
      </c>
      <c r="CJ123" s="3" t="s">
        <v>171</v>
      </c>
      <c r="CK123" s="3" t="s">
        <v>172</v>
      </c>
      <c r="CL123" s="3" t="s">
        <v>173</v>
      </c>
      <c r="CM123" s="3" t="s">
        <v>174</v>
      </c>
      <c r="CN123" s="3" t="s">
        <v>175</v>
      </c>
      <c r="CO123" s="3" t="s">
        <v>176</v>
      </c>
      <c r="CP123" s="3" t="s">
        <v>177</v>
      </c>
      <c r="CQ123" s="3" t="s">
        <v>178</v>
      </c>
      <c r="CR123" s="3" t="s">
        <v>179</v>
      </c>
      <c r="CS123" s="3" t="s">
        <v>180</v>
      </c>
      <c r="CT123" s="3" t="s">
        <v>181</v>
      </c>
      <c r="CU123" s="3" t="s">
        <v>182</v>
      </c>
    </row>
    <row r="124" spans="1:99" x14ac:dyDescent="0.2">
      <c r="A124" s="3" t="s">
        <v>37</v>
      </c>
      <c r="B124" s="1">
        <v>0</v>
      </c>
      <c r="C124" s="1">
        <v>31.5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4">
        <v>1024</v>
      </c>
      <c r="AP124" s="4">
        <v>1069</v>
      </c>
      <c r="AQ124" s="4">
        <v>1089</v>
      </c>
      <c r="AR124" s="4">
        <v>1064</v>
      </c>
      <c r="AS124" s="4">
        <v>1265</v>
      </c>
      <c r="AT124" s="4">
        <v>1126</v>
      </c>
      <c r="AU124" s="4">
        <v>1145</v>
      </c>
      <c r="AV124" s="4">
        <v>1002</v>
      </c>
      <c r="AW124" s="4">
        <v>1895</v>
      </c>
      <c r="AX124" s="1"/>
      <c r="AY124" s="1"/>
      <c r="AZ124" s="1"/>
      <c r="BA124" s="4">
        <v>1107</v>
      </c>
      <c r="BB124" s="4">
        <v>1028</v>
      </c>
      <c r="BC124" s="4">
        <v>1073</v>
      </c>
      <c r="BD124" s="4">
        <v>1113</v>
      </c>
      <c r="BE124" s="4">
        <v>1286</v>
      </c>
      <c r="BF124" s="4">
        <v>1316</v>
      </c>
      <c r="BG124" s="4">
        <v>1107</v>
      </c>
      <c r="BH124" s="4">
        <v>1002</v>
      </c>
      <c r="BI124" s="4">
        <v>1771</v>
      </c>
      <c r="BJ124" s="1"/>
      <c r="BK124" s="1"/>
      <c r="BL124" s="1"/>
      <c r="BM124" s="4">
        <v>1141</v>
      </c>
      <c r="BN124" s="4">
        <v>970</v>
      </c>
      <c r="BO124" s="4">
        <v>952</v>
      </c>
      <c r="BP124" s="4">
        <v>1072</v>
      </c>
      <c r="BQ124" s="4">
        <v>1327</v>
      </c>
      <c r="BR124" s="4">
        <v>1284</v>
      </c>
      <c r="BS124" s="4">
        <v>1087</v>
      </c>
      <c r="BT124" s="4">
        <v>969</v>
      </c>
      <c r="BU124" s="4">
        <v>1717</v>
      </c>
      <c r="BV124" s="1"/>
      <c r="BW124" s="1"/>
      <c r="BX124" s="1"/>
      <c r="BY124" s="4">
        <v>970</v>
      </c>
      <c r="BZ124" s="4">
        <v>1062</v>
      </c>
      <c r="CA124" s="4">
        <v>1047</v>
      </c>
      <c r="CB124" s="4">
        <v>1077</v>
      </c>
      <c r="CC124" s="4">
        <v>1055</v>
      </c>
      <c r="CD124" s="4">
        <v>941</v>
      </c>
      <c r="CE124" s="4">
        <v>1026</v>
      </c>
      <c r="CF124" s="4">
        <v>984</v>
      </c>
      <c r="CG124" s="4">
        <v>1142</v>
      </c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</row>
    <row r="125" spans="1:99" x14ac:dyDescent="0.2">
      <c r="A125" s="3" t="s">
        <v>38</v>
      </c>
      <c r="B125" s="1">
        <v>859.279</v>
      </c>
      <c r="C125" s="1">
        <v>34.200000000000003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4">
        <v>981</v>
      </c>
      <c r="AP125" s="4">
        <v>1044</v>
      </c>
      <c r="AQ125" s="4">
        <v>1063</v>
      </c>
      <c r="AR125" s="4">
        <v>1040</v>
      </c>
      <c r="AS125" s="4">
        <v>1206</v>
      </c>
      <c r="AT125" s="4">
        <v>1128</v>
      </c>
      <c r="AU125" s="4">
        <v>1138</v>
      </c>
      <c r="AV125" s="4">
        <v>995</v>
      </c>
      <c r="AW125" s="4">
        <v>1948</v>
      </c>
      <c r="AX125" s="1"/>
      <c r="AY125" s="1"/>
      <c r="AZ125" s="1"/>
      <c r="BA125" s="4">
        <v>1066</v>
      </c>
      <c r="BB125" s="4">
        <v>1005</v>
      </c>
      <c r="BC125" s="4">
        <v>1030</v>
      </c>
      <c r="BD125" s="4">
        <v>1067</v>
      </c>
      <c r="BE125" s="4">
        <v>1282</v>
      </c>
      <c r="BF125" s="4">
        <v>1327</v>
      </c>
      <c r="BG125" s="4">
        <v>1104</v>
      </c>
      <c r="BH125" s="4">
        <v>975</v>
      </c>
      <c r="BI125" s="4">
        <v>1808</v>
      </c>
      <c r="BJ125" s="1"/>
      <c r="BK125" s="1"/>
      <c r="BL125" s="1"/>
      <c r="BM125" s="4">
        <v>1094</v>
      </c>
      <c r="BN125" s="4">
        <v>932</v>
      </c>
      <c r="BO125" s="4">
        <v>935</v>
      </c>
      <c r="BP125" s="4">
        <v>1036</v>
      </c>
      <c r="BQ125" s="4">
        <v>1241</v>
      </c>
      <c r="BR125" s="4">
        <v>1218</v>
      </c>
      <c r="BS125" s="4">
        <v>1054</v>
      </c>
      <c r="BT125" s="4">
        <v>926</v>
      </c>
      <c r="BU125" s="4">
        <v>1724</v>
      </c>
      <c r="BV125" s="1"/>
      <c r="BW125" s="1"/>
      <c r="BX125" s="1"/>
      <c r="BY125" s="4">
        <v>918</v>
      </c>
      <c r="BZ125" s="4">
        <v>1000</v>
      </c>
      <c r="CA125" s="4">
        <v>1015</v>
      </c>
      <c r="CB125" s="4">
        <v>1049</v>
      </c>
      <c r="CC125" s="4">
        <v>1056</v>
      </c>
      <c r="CD125" s="4">
        <v>916</v>
      </c>
      <c r="CE125" s="4">
        <v>1012</v>
      </c>
      <c r="CF125" s="4">
        <v>962</v>
      </c>
      <c r="CG125" s="4">
        <v>1126</v>
      </c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</row>
    <row r="126" spans="1:99" x14ac:dyDescent="0.2">
      <c r="A126" s="3" t="s">
        <v>39</v>
      </c>
      <c r="B126" s="1">
        <v>1717.883</v>
      </c>
      <c r="C126" s="1">
        <v>36.6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4">
        <v>959</v>
      </c>
      <c r="AP126" s="4">
        <v>1012</v>
      </c>
      <c r="AQ126" s="4">
        <v>1025</v>
      </c>
      <c r="AR126" s="4">
        <v>1014</v>
      </c>
      <c r="AS126" s="4">
        <v>1188</v>
      </c>
      <c r="AT126" s="4">
        <v>1082</v>
      </c>
      <c r="AU126" s="4">
        <v>1112</v>
      </c>
      <c r="AV126" s="4">
        <v>992</v>
      </c>
      <c r="AW126" s="4">
        <v>1869</v>
      </c>
      <c r="AX126" s="1"/>
      <c r="AY126" s="1"/>
      <c r="AZ126" s="1"/>
      <c r="BA126" s="4">
        <v>1055</v>
      </c>
      <c r="BB126" s="4">
        <v>957</v>
      </c>
      <c r="BC126" s="4">
        <v>993</v>
      </c>
      <c r="BD126" s="4">
        <v>1075</v>
      </c>
      <c r="BE126" s="4">
        <v>1233</v>
      </c>
      <c r="BF126" s="4">
        <v>1250</v>
      </c>
      <c r="BG126" s="4">
        <v>1060</v>
      </c>
      <c r="BH126" s="4">
        <v>961</v>
      </c>
      <c r="BI126" s="4">
        <v>1749</v>
      </c>
      <c r="BJ126" s="1"/>
      <c r="BK126" s="1"/>
      <c r="BL126" s="1"/>
      <c r="BM126" s="4">
        <v>1042</v>
      </c>
      <c r="BN126" s="4">
        <v>897</v>
      </c>
      <c r="BO126" s="4">
        <v>893</v>
      </c>
      <c r="BP126" s="4">
        <v>1048</v>
      </c>
      <c r="BQ126" s="4">
        <v>1193</v>
      </c>
      <c r="BR126" s="4">
        <v>1188</v>
      </c>
      <c r="BS126" s="4">
        <v>1050</v>
      </c>
      <c r="BT126" s="4">
        <v>894</v>
      </c>
      <c r="BU126" s="4">
        <v>1686</v>
      </c>
      <c r="BV126" s="1"/>
      <c r="BW126" s="1"/>
      <c r="BX126" s="1"/>
      <c r="BY126" s="4">
        <v>882</v>
      </c>
      <c r="BZ126" s="4">
        <v>1003</v>
      </c>
      <c r="CA126" s="4">
        <v>980</v>
      </c>
      <c r="CB126" s="4">
        <v>1010</v>
      </c>
      <c r="CC126" s="4">
        <v>997</v>
      </c>
      <c r="CD126" s="4">
        <v>906</v>
      </c>
      <c r="CE126" s="4">
        <v>979</v>
      </c>
      <c r="CF126" s="4">
        <v>922</v>
      </c>
      <c r="CG126" s="4">
        <v>1089</v>
      </c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 spans="1:99" x14ac:dyDescent="0.2">
      <c r="A127" s="3" t="s">
        <v>40</v>
      </c>
      <c r="B127" s="1">
        <v>2576.8240000000001</v>
      </c>
      <c r="C127" s="1">
        <v>37.1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4">
        <v>943</v>
      </c>
      <c r="AP127" s="4">
        <v>991</v>
      </c>
      <c r="AQ127" s="4">
        <v>1004</v>
      </c>
      <c r="AR127" s="4">
        <v>988</v>
      </c>
      <c r="AS127" s="4">
        <v>1166</v>
      </c>
      <c r="AT127" s="4">
        <v>1082</v>
      </c>
      <c r="AU127" s="4">
        <v>1082</v>
      </c>
      <c r="AV127" s="4">
        <v>975</v>
      </c>
      <c r="AW127" s="4">
        <v>1856</v>
      </c>
      <c r="AX127" s="1"/>
      <c r="AY127" s="1"/>
      <c r="AZ127" s="1"/>
      <c r="BA127" s="4">
        <v>988</v>
      </c>
      <c r="BB127" s="4">
        <v>954</v>
      </c>
      <c r="BC127" s="4">
        <v>977</v>
      </c>
      <c r="BD127" s="4">
        <v>1018</v>
      </c>
      <c r="BE127" s="4">
        <v>1219</v>
      </c>
      <c r="BF127" s="4">
        <v>1245</v>
      </c>
      <c r="BG127" s="4">
        <v>1069</v>
      </c>
      <c r="BH127" s="4">
        <v>954</v>
      </c>
      <c r="BI127" s="4">
        <v>1713</v>
      </c>
      <c r="BJ127" s="1"/>
      <c r="BK127" s="1"/>
      <c r="BL127" s="1"/>
      <c r="BM127" s="4">
        <v>1056</v>
      </c>
      <c r="BN127" s="4">
        <v>890</v>
      </c>
      <c r="BO127" s="4">
        <v>890</v>
      </c>
      <c r="BP127" s="4">
        <v>991</v>
      </c>
      <c r="BQ127" s="4">
        <v>1186</v>
      </c>
      <c r="BR127" s="4">
        <v>1171</v>
      </c>
      <c r="BS127" s="4">
        <v>1033</v>
      </c>
      <c r="BT127" s="4">
        <v>903</v>
      </c>
      <c r="BU127" s="4">
        <v>1616</v>
      </c>
      <c r="BV127" s="1"/>
      <c r="BW127" s="1"/>
      <c r="BX127" s="1"/>
      <c r="BY127" s="4">
        <v>888</v>
      </c>
      <c r="BZ127" s="4">
        <v>970</v>
      </c>
      <c r="CA127" s="4">
        <v>953</v>
      </c>
      <c r="CB127" s="4">
        <v>977</v>
      </c>
      <c r="CC127" s="4">
        <v>993</v>
      </c>
      <c r="CD127" s="4">
        <v>876</v>
      </c>
      <c r="CE127" s="4">
        <v>961</v>
      </c>
      <c r="CF127" s="4">
        <v>923</v>
      </c>
      <c r="CG127" s="4">
        <v>1082</v>
      </c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</row>
    <row r="128" spans="1:99" x14ac:dyDescent="0.2">
      <c r="A128" s="3" t="s">
        <v>41</v>
      </c>
      <c r="B128" s="1">
        <v>3435.4450000000002</v>
      </c>
      <c r="C128" s="1">
        <v>37.200000000000003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4">
        <v>990</v>
      </c>
      <c r="AP128" s="4">
        <v>988</v>
      </c>
      <c r="AQ128" s="4">
        <v>1011</v>
      </c>
      <c r="AR128" s="4">
        <v>1018</v>
      </c>
      <c r="AS128" s="4">
        <v>1255</v>
      </c>
      <c r="AT128" s="4">
        <v>1153</v>
      </c>
      <c r="AU128" s="4">
        <v>1134</v>
      </c>
      <c r="AV128" s="4">
        <v>962</v>
      </c>
      <c r="AW128" s="4">
        <v>1954</v>
      </c>
      <c r="AX128" s="1"/>
      <c r="AY128" s="1"/>
      <c r="AZ128" s="1"/>
      <c r="BA128" s="4">
        <v>1041</v>
      </c>
      <c r="BB128" s="4">
        <v>942</v>
      </c>
      <c r="BC128" s="4">
        <v>1006</v>
      </c>
      <c r="BD128" s="4">
        <v>1057</v>
      </c>
      <c r="BE128" s="4">
        <v>1278</v>
      </c>
      <c r="BF128" s="4">
        <v>1283</v>
      </c>
      <c r="BG128" s="4">
        <v>1101</v>
      </c>
      <c r="BH128" s="4">
        <v>945</v>
      </c>
      <c r="BI128" s="4">
        <v>1822</v>
      </c>
      <c r="BJ128" s="1"/>
      <c r="BK128" s="1"/>
      <c r="BL128" s="1"/>
      <c r="BM128" s="4">
        <v>1065</v>
      </c>
      <c r="BN128" s="4">
        <v>893</v>
      </c>
      <c r="BO128" s="4">
        <v>895</v>
      </c>
      <c r="BP128" s="4">
        <v>979</v>
      </c>
      <c r="BQ128" s="4">
        <v>1245</v>
      </c>
      <c r="BR128" s="4">
        <v>1234</v>
      </c>
      <c r="BS128" s="4">
        <v>1040</v>
      </c>
      <c r="BT128" s="4">
        <v>875</v>
      </c>
      <c r="BU128" s="4">
        <v>1707</v>
      </c>
      <c r="BV128" s="1"/>
      <c r="BW128" s="1"/>
      <c r="BX128" s="1"/>
      <c r="BY128" s="4">
        <v>872</v>
      </c>
      <c r="BZ128" s="4">
        <v>955</v>
      </c>
      <c r="CA128" s="4">
        <v>938</v>
      </c>
      <c r="CB128" s="4">
        <v>972</v>
      </c>
      <c r="CC128" s="4">
        <v>965</v>
      </c>
      <c r="CD128" s="4">
        <v>870</v>
      </c>
      <c r="CE128" s="4">
        <v>926</v>
      </c>
      <c r="CF128" s="4">
        <v>897</v>
      </c>
      <c r="CG128" s="4">
        <v>1080</v>
      </c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</row>
    <row r="129" spans="1:99" x14ac:dyDescent="0.2">
      <c r="A129" s="3" t="s">
        <v>42</v>
      </c>
      <c r="B129" s="1">
        <v>4294.0469999999996</v>
      </c>
      <c r="C129" s="1">
        <v>36.4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4">
        <v>1004</v>
      </c>
      <c r="AP129" s="4">
        <v>998</v>
      </c>
      <c r="AQ129" s="4">
        <v>1042</v>
      </c>
      <c r="AR129" s="4">
        <v>1032</v>
      </c>
      <c r="AS129" s="4">
        <v>1373</v>
      </c>
      <c r="AT129" s="4">
        <v>1254</v>
      </c>
      <c r="AU129" s="4">
        <v>1150</v>
      </c>
      <c r="AV129" s="4">
        <v>937</v>
      </c>
      <c r="AW129" s="4">
        <v>2145</v>
      </c>
      <c r="AX129" s="1"/>
      <c r="AY129" s="1"/>
      <c r="AZ129" s="1"/>
      <c r="BA129" s="4">
        <v>1092</v>
      </c>
      <c r="BB129" s="4">
        <v>932</v>
      </c>
      <c r="BC129" s="4">
        <v>994</v>
      </c>
      <c r="BD129" s="4">
        <v>1055</v>
      </c>
      <c r="BE129" s="4">
        <v>1405</v>
      </c>
      <c r="BF129" s="4">
        <v>1399</v>
      </c>
      <c r="BG129" s="4">
        <v>1108</v>
      </c>
      <c r="BH129" s="4">
        <v>923</v>
      </c>
      <c r="BI129" s="4">
        <v>2017</v>
      </c>
      <c r="BJ129" s="1"/>
      <c r="BK129" s="1"/>
      <c r="BL129" s="1"/>
      <c r="BM129" s="4">
        <v>1082</v>
      </c>
      <c r="BN129" s="4">
        <v>871</v>
      </c>
      <c r="BO129" s="4">
        <v>908</v>
      </c>
      <c r="BP129" s="4">
        <v>1031</v>
      </c>
      <c r="BQ129" s="4">
        <v>1336</v>
      </c>
      <c r="BR129" s="4">
        <v>1353</v>
      </c>
      <c r="BS129" s="4">
        <v>1083</v>
      </c>
      <c r="BT129" s="4">
        <v>870</v>
      </c>
      <c r="BU129" s="4">
        <v>1833</v>
      </c>
      <c r="BV129" s="1"/>
      <c r="BW129" s="1"/>
      <c r="BX129" s="1"/>
      <c r="BY129" s="4">
        <v>870</v>
      </c>
      <c r="BZ129" s="4">
        <v>942</v>
      </c>
      <c r="CA129" s="4">
        <v>955</v>
      </c>
      <c r="CB129" s="4">
        <v>984</v>
      </c>
      <c r="CC129" s="4">
        <v>1000</v>
      </c>
      <c r="CD129" s="4">
        <v>877</v>
      </c>
      <c r="CE129" s="4">
        <v>937</v>
      </c>
      <c r="CF129" s="4">
        <v>890</v>
      </c>
      <c r="CG129" s="4">
        <v>1076</v>
      </c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</row>
    <row r="130" spans="1:99" x14ac:dyDescent="0.2">
      <c r="A130" s="3" t="s">
        <v>43</v>
      </c>
      <c r="B130" s="1">
        <v>5153.0010000000002</v>
      </c>
      <c r="C130" s="1">
        <v>37.9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4">
        <v>1056</v>
      </c>
      <c r="AP130" s="4">
        <v>983</v>
      </c>
      <c r="AQ130" s="4">
        <v>1067</v>
      </c>
      <c r="AR130" s="4">
        <v>1069</v>
      </c>
      <c r="AS130" s="4">
        <v>1519</v>
      </c>
      <c r="AT130" s="4">
        <v>1409</v>
      </c>
      <c r="AU130" s="4">
        <v>1241</v>
      </c>
      <c r="AV130" s="4">
        <v>917</v>
      </c>
      <c r="AW130" s="4">
        <v>2358</v>
      </c>
      <c r="AX130" s="1"/>
      <c r="AY130" s="1"/>
      <c r="AZ130" s="1"/>
      <c r="BA130" s="4">
        <v>1098</v>
      </c>
      <c r="BB130" s="4">
        <v>952</v>
      </c>
      <c r="BC130" s="4">
        <v>1023</v>
      </c>
      <c r="BD130" s="4">
        <v>1088</v>
      </c>
      <c r="BE130" s="4">
        <v>1548</v>
      </c>
      <c r="BF130" s="4">
        <v>1577</v>
      </c>
      <c r="BG130" s="4">
        <v>1195</v>
      </c>
      <c r="BH130" s="4">
        <v>912</v>
      </c>
      <c r="BI130" s="4">
        <v>2155</v>
      </c>
      <c r="BJ130" s="1"/>
      <c r="BK130" s="1"/>
      <c r="BL130" s="1"/>
      <c r="BM130" s="4">
        <v>1156</v>
      </c>
      <c r="BN130" s="4">
        <v>888</v>
      </c>
      <c r="BO130" s="4">
        <v>922</v>
      </c>
      <c r="BP130" s="4">
        <v>1041</v>
      </c>
      <c r="BQ130" s="4">
        <v>1472</v>
      </c>
      <c r="BR130" s="4">
        <v>1479</v>
      </c>
      <c r="BS130" s="4">
        <v>1186</v>
      </c>
      <c r="BT130" s="4">
        <v>868</v>
      </c>
      <c r="BU130" s="4">
        <v>2031</v>
      </c>
      <c r="BV130" s="1"/>
      <c r="BW130" s="1"/>
      <c r="BX130" s="1"/>
      <c r="BY130" s="4">
        <v>867</v>
      </c>
      <c r="BZ130" s="4">
        <v>933</v>
      </c>
      <c r="CA130" s="4">
        <v>961</v>
      </c>
      <c r="CB130" s="4">
        <v>971</v>
      </c>
      <c r="CC130" s="4">
        <v>972</v>
      </c>
      <c r="CD130" s="4">
        <v>848</v>
      </c>
      <c r="CE130" s="4">
        <v>932</v>
      </c>
      <c r="CF130" s="4">
        <v>888</v>
      </c>
      <c r="CG130" s="4">
        <v>1079</v>
      </c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</row>
    <row r="131" spans="1:99" x14ac:dyDescent="0.2">
      <c r="A131" s="3" t="s">
        <v>44</v>
      </c>
      <c r="B131" s="1">
        <v>6011.6589999999997</v>
      </c>
      <c r="C131" s="1">
        <v>37.1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>
        <v>1127</v>
      </c>
      <c r="AP131" s="4">
        <v>968</v>
      </c>
      <c r="AQ131" s="4">
        <v>1095</v>
      </c>
      <c r="AR131" s="4">
        <v>1107</v>
      </c>
      <c r="AS131" s="4">
        <v>1786</v>
      </c>
      <c r="AT131" s="4">
        <v>1645</v>
      </c>
      <c r="AU131" s="4">
        <v>1378</v>
      </c>
      <c r="AV131" s="4">
        <v>942</v>
      </c>
      <c r="AW131" s="4">
        <v>2723</v>
      </c>
      <c r="AX131" s="1"/>
      <c r="AY131" s="1"/>
      <c r="AZ131" s="1"/>
      <c r="BA131" s="4">
        <v>1204</v>
      </c>
      <c r="BB131" s="4">
        <v>961</v>
      </c>
      <c r="BC131" s="4">
        <v>1044</v>
      </c>
      <c r="BD131" s="4">
        <v>1132</v>
      </c>
      <c r="BE131" s="4">
        <v>1784</v>
      </c>
      <c r="BF131" s="4">
        <v>1812</v>
      </c>
      <c r="BG131" s="4">
        <v>1344</v>
      </c>
      <c r="BH131" s="4">
        <v>934</v>
      </c>
      <c r="BI131" s="4">
        <v>2530</v>
      </c>
      <c r="BJ131" s="1"/>
      <c r="BK131" s="1"/>
      <c r="BL131" s="1"/>
      <c r="BM131" s="4">
        <v>1221</v>
      </c>
      <c r="BN131" s="4">
        <v>892</v>
      </c>
      <c r="BO131" s="4">
        <v>962</v>
      </c>
      <c r="BP131" s="4">
        <v>1100</v>
      </c>
      <c r="BQ131" s="4">
        <v>1737</v>
      </c>
      <c r="BR131" s="4">
        <v>1731</v>
      </c>
      <c r="BS131" s="4">
        <v>1265</v>
      </c>
      <c r="BT131" s="4">
        <v>863</v>
      </c>
      <c r="BU131" s="4">
        <v>2358</v>
      </c>
      <c r="BV131" s="1"/>
      <c r="BW131" s="1"/>
      <c r="BX131" s="1"/>
      <c r="BY131" s="4">
        <v>873</v>
      </c>
      <c r="BZ131" s="4">
        <v>941</v>
      </c>
      <c r="CA131" s="4">
        <v>946</v>
      </c>
      <c r="CB131" s="4">
        <v>977</v>
      </c>
      <c r="CC131" s="4">
        <v>979</v>
      </c>
      <c r="CD131" s="4">
        <v>877</v>
      </c>
      <c r="CE131" s="4">
        <v>939</v>
      </c>
      <c r="CF131" s="4">
        <v>905</v>
      </c>
      <c r="CG131" s="4">
        <v>1049</v>
      </c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</row>
    <row r="132" spans="1:99" x14ac:dyDescent="0.2">
      <c r="A132" s="3" t="s">
        <v>45</v>
      </c>
      <c r="B132" s="1">
        <v>6870.22</v>
      </c>
      <c r="C132" s="1">
        <v>36.4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>
        <v>1234</v>
      </c>
      <c r="AP132" s="4">
        <v>998</v>
      </c>
      <c r="AQ132" s="4">
        <v>1162</v>
      </c>
      <c r="AR132" s="4">
        <v>1215</v>
      </c>
      <c r="AS132" s="4">
        <v>2192</v>
      </c>
      <c r="AT132" s="4">
        <v>2033</v>
      </c>
      <c r="AU132" s="4">
        <v>1572</v>
      </c>
      <c r="AV132" s="4">
        <v>941</v>
      </c>
      <c r="AW132" s="4">
        <v>3424</v>
      </c>
      <c r="AX132" s="1"/>
      <c r="AY132" s="1"/>
      <c r="AZ132" s="1"/>
      <c r="BA132" s="4">
        <v>1302</v>
      </c>
      <c r="BB132" s="4">
        <v>968</v>
      </c>
      <c r="BC132" s="4">
        <v>1124</v>
      </c>
      <c r="BD132" s="4">
        <v>1250</v>
      </c>
      <c r="BE132" s="4">
        <v>2194</v>
      </c>
      <c r="BF132" s="4">
        <v>2207</v>
      </c>
      <c r="BG132" s="4">
        <v>1532</v>
      </c>
      <c r="BH132" s="4">
        <v>931</v>
      </c>
      <c r="BI132" s="4">
        <v>3070</v>
      </c>
      <c r="BJ132" s="1"/>
      <c r="BK132" s="1"/>
      <c r="BL132" s="1"/>
      <c r="BM132" s="4">
        <v>1315</v>
      </c>
      <c r="BN132" s="4">
        <v>898</v>
      </c>
      <c r="BO132" s="4">
        <v>1011</v>
      </c>
      <c r="BP132" s="4">
        <v>1166</v>
      </c>
      <c r="BQ132" s="4">
        <v>2100</v>
      </c>
      <c r="BR132" s="4">
        <v>2108</v>
      </c>
      <c r="BS132" s="4">
        <v>1423</v>
      </c>
      <c r="BT132" s="4">
        <v>884</v>
      </c>
      <c r="BU132" s="4">
        <v>2816</v>
      </c>
      <c r="BV132" s="1"/>
      <c r="BW132" s="1"/>
      <c r="BX132" s="1"/>
      <c r="BY132" s="4">
        <v>862</v>
      </c>
      <c r="BZ132" s="4">
        <v>948</v>
      </c>
      <c r="CA132" s="4">
        <v>950</v>
      </c>
      <c r="CB132" s="4">
        <v>970</v>
      </c>
      <c r="CC132" s="4">
        <v>967</v>
      </c>
      <c r="CD132" s="4">
        <v>850</v>
      </c>
      <c r="CE132" s="4">
        <v>920</v>
      </c>
      <c r="CF132" s="4">
        <v>901</v>
      </c>
      <c r="CG132" s="4">
        <v>1038</v>
      </c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</row>
    <row r="133" spans="1:99" x14ac:dyDescent="0.2">
      <c r="A133" s="3" t="s">
        <v>46</v>
      </c>
      <c r="B133" s="1">
        <v>7729.165</v>
      </c>
      <c r="C133" s="1">
        <v>37.799999999999997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>
        <v>1453</v>
      </c>
      <c r="AP133" s="4">
        <v>1024</v>
      </c>
      <c r="AQ133" s="4">
        <v>1295</v>
      </c>
      <c r="AR133" s="4">
        <v>1411</v>
      </c>
      <c r="AS133" s="4">
        <v>2959</v>
      </c>
      <c r="AT133" s="4">
        <v>2729</v>
      </c>
      <c r="AU133" s="4">
        <v>1972</v>
      </c>
      <c r="AV133" s="4">
        <v>954</v>
      </c>
      <c r="AW133" s="4">
        <v>4520</v>
      </c>
      <c r="AX133" s="1"/>
      <c r="AY133" s="1"/>
      <c r="AZ133" s="1"/>
      <c r="BA133" s="4">
        <v>1508</v>
      </c>
      <c r="BB133" s="4">
        <v>1005</v>
      </c>
      <c r="BC133" s="4">
        <v>1277</v>
      </c>
      <c r="BD133" s="4">
        <v>1428</v>
      </c>
      <c r="BE133" s="4">
        <v>2956</v>
      </c>
      <c r="BF133" s="4">
        <v>2909</v>
      </c>
      <c r="BG133" s="4">
        <v>1895</v>
      </c>
      <c r="BH133" s="4">
        <v>935</v>
      </c>
      <c r="BI133" s="4">
        <v>4021</v>
      </c>
      <c r="BJ133" s="1"/>
      <c r="BK133" s="1"/>
      <c r="BL133" s="1"/>
      <c r="BM133" s="4">
        <v>1549</v>
      </c>
      <c r="BN133" s="4">
        <v>917</v>
      </c>
      <c r="BO133" s="4">
        <v>1097</v>
      </c>
      <c r="BP133" s="4">
        <v>1315</v>
      </c>
      <c r="BQ133" s="4">
        <v>2777</v>
      </c>
      <c r="BR133" s="4">
        <v>2739</v>
      </c>
      <c r="BS133" s="4">
        <v>1762</v>
      </c>
      <c r="BT133" s="4">
        <v>896</v>
      </c>
      <c r="BU133" s="4">
        <v>3693</v>
      </c>
      <c r="BV133" s="1"/>
      <c r="BW133" s="1"/>
      <c r="BX133" s="1"/>
      <c r="BY133" s="4">
        <v>877</v>
      </c>
      <c r="BZ133" s="4">
        <v>948</v>
      </c>
      <c r="CA133" s="4">
        <v>942</v>
      </c>
      <c r="CB133" s="4">
        <v>969</v>
      </c>
      <c r="CC133" s="4">
        <v>964</v>
      </c>
      <c r="CD133" s="4">
        <v>852</v>
      </c>
      <c r="CE133" s="4">
        <v>932</v>
      </c>
      <c r="CF133" s="4">
        <v>881</v>
      </c>
      <c r="CG133" s="4">
        <v>1036</v>
      </c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</row>
    <row r="134" spans="1:99" x14ac:dyDescent="0.2">
      <c r="A134" s="3" t="s">
        <v>47</v>
      </c>
      <c r="B134" s="1">
        <v>8587.7759999999998</v>
      </c>
      <c r="C134" s="1">
        <v>37.200000000000003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>
        <v>1712</v>
      </c>
      <c r="AP134" s="4">
        <v>1068</v>
      </c>
      <c r="AQ134" s="4">
        <v>1537</v>
      </c>
      <c r="AR134" s="4">
        <v>1694</v>
      </c>
      <c r="AS134" s="4">
        <v>4290</v>
      </c>
      <c r="AT134" s="4">
        <v>3986</v>
      </c>
      <c r="AU134" s="4">
        <v>2625</v>
      </c>
      <c r="AV134" s="4">
        <v>968</v>
      </c>
      <c r="AW134" s="4">
        <v>6355</v>
      </c>
      <c r="AX134" s="1"/>
      <c r="AY134" s="1"/>
      <c r="AZ134" s="1"/>
      <c r="BA134" s="4">
        <v>1829</v>
      </c>
      <c r="BB134" s="4">
        <v>1069</v>
      </c>
      <c r="BC134" s="4">
        <v>1466</v>
      </c>
      <c r="BD134" s="4">
        <v>1715</v>
      </c>
      <c r="BE134" s="4">
        <v>4187</v>
      </c>
      <c r="BF134" s="4">
        <v>4096</v>
      </c>
      <c r="BG134" s="4">
        <v>2473</v>
      </c>
      <c r="BH134" s="4">
        <v>938</v>
      </c>
      <c r="BI134" s="4">
        <v>5670</v>
      </c>
      <c r="BJ134" s="1"/>
      <c r="BK134" s="1"/>
      <c r="BL134" s="1"/>
      <c r="BM134" s="4">
        <v>1903</v>
      </c>
      <c r="BN134" s="4">
        <v>970</v>
      </c>
      <c r="BO134" s="4">
        <v>1315</v>
      </c>
      <c r="BP134" s="4">
        <v>1600</v>
      </c>
      <c r="BQ134" s="4">
        <v>3930</v>
      </c>
      <c r="BR134" s="4">
        <v>3845</v>
      </c>
      <c r="BS134" s="4">
        <v>2225</v>
      </c>
      <c r="BT134" s="4">
        <v>897</v>
      </c>
      <c r="BU134" s="4">
        <v>5128</v>
      </c>
      <c r="BV134" s="1"/>
      <c r="BW134" s="1"/>
      <c r="BX134" s="1"/>
      <c r="BY134" s="4">
        <v>863</v>
      </c>
      <c r="BZ134" s="4">
        <v>926</v>
      </c>
      <c r="CA134" s="4">
        <v>958</v>
      </c>
      <c r="CB134" s="4">
        <v>951</v>
      </c>
      <c r="CC134" s="4">
        <v>956</v>
      </c>
      <c r="CD134" s="4">
        <v>858</v>
      </c>
      <c r="CE134" s="4">
        <v>924</v>
      </c>
      <c r="CF134" s="4">
        <v>886</v>
      </c>
      <c r="CG134" s="4">
        <v>1036</v>
      </c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</row>
    <row r="135" spans="1:99" x14ac:dyDescent="0.2">
      <c r="A135" s="3" t="s">
        <v>48</v>
      </c>
      <c r="B135" s="1">
        <v>9446.3610000000008</v>
      </c>
      <c r="C135" s="1">
        <v>36.4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4">
        <v>2027</v>
      </c>
      <c r="AP135" s="4">
        <v>1138</v>
      </c>
      <c r="AQ135" s="4">
        <v>1805</v>
      </c>
      <c r="AR135" s="4">
        <v>2045</v>
      </c>
      <c r="AS135" s="4">
        <v>6149</v>
      </c>
      <c r="AT135" s="4">
        <v>5593</v>
      </c>
      <c r="AU135" s="4">
        <v>3556</v>
      </c>
      <c r="AV135" s="4">
        <v>987</v>
      </c>
      <c r="AW135" s="4">
        <v>9318</v>
      </c>
      <c r="AX135" s="1"/>
      <c r="AY135" s="1"/>
      <c r="AZ135" s="1"/>
      <c r="BA135" s="4">
        <v>2230</v>
      </c>
      <c r="BB135" s="4">
        <v>1090</v>
      </c>
      <c r="BC135" s="4">
        <v>1751</v>
      </c>
      <c r="BD135" s="4">
        <v>2072</v>
      </c>
      <c r="BE135" s="4">
        <v>6092</v>
      </c>
      <c r="BF135" s="4">
        <v>5805</v>
      </c>
      <c r="BG135" s="4">
        <v>3419</v>
      </c>
      <c r="BH135" s="4">
        <v>955</v>
      </c>
      <c r="BI135" s="4">
        <v>8123</v>
      </c>
      <c r="BJ135" s="1"/>
      <c r="BK135" s="1"/>
      <c r="BL135" s="1"/>
      <c r="BM135" s="4">
        <v>2305</v>
      </c>
      <c r="BN135" s="4">
        <v>1003</v>
      </c>
      <c r="BO135" s="4">
        <v>1542</v>
      </c>
      <c r="BP135" s="4">
        <v>1914</v>
      </c>
      <c r="BQ135" s="4">
        <v>5753</v>
      </c>
      <c r="BR135" s="4">
        <v>5563</v>
      </c>
      <c r="BS135" s="4">
        <v>3116</v>
      </c>
      <c r="BT135" s="4">
        <v>909</v>
      </c>
      <c r="BU135" s="4">
        <v>7307</v>
      </c>
      <c r="BV135" s="1"/>
      <c r="BW135" s="1"/>
      <c r="BX135" s="1"/>
      <c r="BY135" s="4">
        <v>872</v>
      </c>
      <c r="BZ135" s="4">
        <v>933</v>
      </c>
      <c r="CA135" s="4">
        <v>945</v>
      </c>
      <c r="CB135" s="4">
        <v>987</v>
      </c>
      <c r="CC135" s="4">
        <v>947</v>
      </c>
      <c r="CD135" s="4">
        <v>850</v>
      </c>
      <c r="CE135" s="4">
        <v>933</v>
      </c>
      <c r="CF135" s="4">
        <v>890</v>
      </c>
      <c r="CG135" s="4">
        <v>1045</v>
      </c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</row>
    <row r="136" spans="1:99" x14ac:dyDescent="0.2">
      <c r="A136" s="3" t="s">
        <v>183</v>
      </c>
      <c r="B136" s="1">
        <v>10305.321</v>
      </c>
      <c r="C136" s="1">
        <v>37.799999999999997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4">
        <v>2466</v>
      </c>
      <c r="AP136" s="4">
        <v>1155</v>
      </c>
      <c r="AQ136" s="4">
        <v>2125</v>
      </c>
      <c r="AR136" s="4">
        <v>2475</v>
      </c>
      <c r="AS136" s="4">
        <v>8584</v>
      </c>
      <c r="AT136" s="4">
        <v>7735</v>
      </c>
      <c r="AU136" s="4">
        <v>4774</v>
      </c>
      <c r="AV136" s="4">
        <v>995</v>
      </c>
      <c r="AW136" s="4">
        <v>14043</v>
      </c>
      <c r="AX136" s="1"/>
      <c r="AY136" s="1"/>
      <c r="AZ136" s="1"/>
      <c r="BA136" s="4">
        <v>2671</v>
      </c>
      <c r="BB136" s="4">
        <v>1175</v>
      </c>
      <c r="BC136" s="4">
        <v>2134</v>
      </c>
      <c r="BD136" s="4">
        <v>2508</v>
      </c>
      <c r="BE136" s="4">
        <v>8596</v>
      </c>
      <c r="BF136" s="4">
        <v>8164</v>
      </c>
      <c r="BG136" s="4">
        <v>4602</v>
      </c>
      <c r="BH136" s="4">
        <v>982</v>
      </c>
      <c r="BI136" s="4">
        <v>12578</v>
      </c>
      <c r="BJ136" s="1"/>
      <c r="BK136" s="1"/>
      <c r="BL136" s="1"/>
      <c r="BM136" s="4">
        <v>2805</v>
      </c>
      <c r="BN136" s="4">
        <v>1091</v>
      </c>
      <c r="BO136" s="4">
        <v>1879</v>
      </c>
      <c r="BP136" s="4">
        <v>2394</v>
      </c>
      <c r="BQ136" s="4">
        <v>8108</v>
      </c>
      <c r="BR136" s="4">
        <v>7791</v>
      </c>
      <c r="BS136" s="4">
        <v>4135</v>
      </c>
      <c r="BT136" s="4">
        <v>934</v>
      </c>
      <c r="BU136" s="4">
        <v>11054</v>
      </c>
      <c r="BV136" s="1"/>
      <c r="BW136" s="1"/>
      <c r="BX136" s="1"/>
      <c r="BY136" s="4">
        <v>856</v>
      </c>
      <c r="BZ136" s="4">
        <v>941</v>
      </c>
      <c r="CA136" s="4">
        <v>954</v>
      </c>
      <c r="CB136" s="4">
        <v>969</v>
      </c>
      <c r="CC136" s="4">
        <v>974</v>
      </c>
      <c r="CD136" s="4">
        <v>869</v>
      </c>
      <c r="CE136" s="4">
        <v>917</v>
      </c>
      <c r="CF136" s="4">
        <v>891</v>
      </c>
      <c r="CG136" s="4">
        <v>1041</v>
      </c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</row>
    <row r="137" spans="1:99" x14ac:dyDescent="0.2">
      <c r="A137" s="3" t="s">
        <v>184</v>
      </c>
      <c r="B137" s="1">
        <v>11163.957</v>
      </c>
      <c r="C137" s="1">
        <v>37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>
        <v>2812</v>
      </c>
      <c r="AP137" s="4">
        <v>1252</v>
      </c>
      <c r="AQ137" s="4">
        <v>2572</v>
      </c>
      <c r="AR137" s="4">
        <v>2916</v>
      </c>
      <c r="AS137" s="4">
        <v>11566</v>
      </c>
      <c r="AT137" s="4">
        <v>10301</v>
      </c>
      <c r="AU137" s="4">
        <v>6172</v>
      </c>
      <c r="AV137" s="4">
        <v>1043</v>
      </c>
      <c r="AW137" s="4">
        <v>20055</v>
      </c>
      <c r="AX137" s="1"/>
      <c r="AY137" s="1"/>
      <c r="AZ137" s="1"/>
      <c r="BA137" s="4">
        <v>3046</v>
      </c>
      <c r="BB137" s="4">
        <v>1211</v>
      </c>
      <c r="BC137" s="4">
        <v>2554</v>
      </c>
      <c r="BD137" s="4">
        <v>2965</v>
      </c>
      <c r="BE137" s="4">
        <v>11795</v>
      </c>
      <c r="BF137" s="4">
        <v>11002</v>
      </c>
      <c r="BG137" s="4">
        <v>6046</v>
      </c>
      <c r="BH137" s="4">
        <v>1038</v>
      </c>
      <c r="BI137" s="4">
        <v>18140</v>
      </c>
      <c r="BJ137" s="1"/>
      <c r="BK137" s="1"/>
      <c r="BL137" s="1"/>
      <c r="BM137" s="4">
        <v>3340</v>
      </c>
      <c r="BN137" s="4">
        <v>1187</v>
      </c>
      <c r="BO137" s="4">
        <v>2326</v>
      </c>
      <c r="BP137" s="4">
        <v>2899</v>
      </c>
      <c r="BQ137" s="4">
        <v>11159</v>
      </c>
      <c r="BR137" s="4">
        <v>10472</v>
      </c>
      <c r="BS137" s="4">
        <v>5538</v>
      </c>
      <c r="BT137" s="4">
        <v>986</v>
      </c>
      <c r="BU137" s="4">
        <v>16432</v>
      </c>
      <c r="BV137" s="1"/>
      <c r="BW137" s="1"/>
      <c r="BX137" s="1"/>
      <c r="BY137" s="4">
        <v>863</v>
      </c>
      <c r="BZ137" s="4">
        <v>945</v>
      </c>
      <c r="CA137" s="4">
        <v>947</v>
      </c>
      <c r="CB137" s="4">
        <v>976</v>
      </c>
      <c r="CC137" s="4">
        <v>968</v>
      </c>
      <c r="CD137" s="4">
        <v>862</v>
      </c>
      <c r="CE137" s="4">
        <v>913</v>
      </c>
      <c r="CF137" s="4">
        <v>900</v>
      </c>
      <c r="CG137" s="4">
        <v>1053</v>
      </c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</row>
    <row r="138" spans="1:99" x14ac:dyDescent="0.2">
      <c r="A138" s="3" t="s">
        <v>185</v>
      </c>
      <c r="B138" s="1">
        <v>12022.556</v>
      </c>
      <c r="C138" s="1">
        <v>36.6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4">
        <v>3100</v>
      </c>
      <c r="AP138" s="4">
        <v>1317</v>
      </c>
      <c r="AQ138" s="4">
        <v>2900</v>
      </c>
      <c r="AR138" s="4">
        <v>3228</v>
      </c>
      <c r="AS138" s="4">
        <v>14653</v>
      </c>
      <c r="AT138" s="4">
        <v>12738</v>
      </c>
      <c r="AU138" s="4">
        <v>7659</v>
      </c>
      <c r="AV138" s="4">
        <v>1066</v>
      </c>
      <c r="AW138" s="4">
        <v>26959</v>
      </c>
      <c r="AX138" s="1"/>
      <c r="AY138" s="1"/>
      <c r="AZ138" s="1"/>
      <c r="BA138" s="4">
        <v>3430</v>
      </c>
      <c r="BB138" s="4">
        <v>1273</v>
      </c>
      <c r="BC138" s="4">
        <v>2954</v>
      </c>
      <c r="BD138" s="4">
        <v>3412</v>
      </c>
      <c r="BE138" s="4">
        <v>15121</v>
      </c>
      <c r="BF138" s="4">
        <v>14110</v>
      </c>
      <c r="BG138" s="4">
        <v>7610</v>
      </c>
      <c r="BH138" s="4">
        <v>1087</v>
      </c>
      <c r="BI138" s="4">
        <v>25181</v>
      </c>
      <c r="BJ138" s="1"/>
      <c r="BK138" s="1"/>
      <c r="BL138" s="1"/>
      <c r="BM138" s="4">
        <v>3687</v>
      </c>
      <c r="BN138" s="4">
        <v>1216</v>
      </c>
      <c r="BO138" s="4">
        <v>2731</v>
      </c>
      <c r="BP138" s="4">
        <v>3352</v>
      </c>
      <c r="BQ138" s="4">
        <v>14616</v>
      </c>
      <c r="BR138" s="4">
        <v>13549</v>
      </c>
      <c r="BS138" s="4">
        <v>6971</v>
      </c>
      <c r="BT138" s="4">
        <v>1001</v>
      </c>
      <c r="BU138" s="4">
        <v>23398</v>
      </c>
      <c r="BV138" s="1"/>
      <c r="BW138" s="1"/>
      <c r="BX138" s="1"/>
      <c r="BY138" s="4">
        <v>855</v>
      </c>
      <c r="BZ138" s="4">
        <v>941</v>
      </c>
      <c r="CA138" s="4">
        <v>944</v>
      </c>
      <c r="CB138" s="4">
        <v>966</v>
      </c>
      <c r="CC138" s="4">
        <v>957</v>
      </c>
      <c r="CD138" s="4">
        <v>842</v>
      </c>
      <c r="CE138" s="4">
        <v>924</v>
      </c>
      <c r="CF138" s="4">
        <v>898</v>
      </c>
      <c r="CG138" s="4">
        <v>1059</v>
      </c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</row>
    <row r="139" spans="1:99" x14ac:dyDescent="0.2">
      <c r="A139" s="3" t="s">
        <v>186</v>
      </c>
      <c r="B139" s="1">
        <v>12885.6</v>
      </c>
      <c r="C139" s="1">
        <v>38.1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>
        <v>3120</v>
      </c>
      <c r="AP139" s="1">
        <v>1319</v>
      </c>
      <c r="AQ139" s="1">
        <v>3029</v>
      </c>
      <c r="AR139" s="1">
        <v>3330</v>
      </c>
      <c r="AS139" s="1">
        <v>16519</v>
      </c>
      <c r="AT139" s="1">
        <v>13981</v>
      </c>
      <c r="AU139" s="1">
        <v>8499</v>
      </c>
      <c r="AV139" s="1">
        <v>1080</v>
      </c>
      <c r="AW139" s="1">
        <v>33332</v>
      </c>
      <c r="AX139" s="1"/>
      <c r="AY139" s="1"/>
      <c r="AZ139" s="1"/>
      <c r="BA139" s="1">
        <v>3443</v>
      </c>
      <c r="BB139" s="1">
        <v>1298</v>
      </c>
      <c r="BC139" s="1">
        <v>3095</v>
      </c>
      <c r="BD139" s="1">
        <v>3463</v>
      </c>
      <c r="BE139" s="1">
        <v>17489</v>
      </c>
      <c r="BF139" s="1">
        <v>16100</v>
      </c>
      <c r="BG139" s="1">
        <v>8606</v>
      </c>
      <c r="BH139" s="1">
        <v>1084</v>
      </c>
      <c r="BI139" s="1">
        <v>32333</v>
      </c>
      <c r="BJ139" s="1"/>
      <c r="BK139" s="1"/>
      <c r="BL139" s="1"/>
      <c r="BM139" s="1">
        <v>3784</v>
      </c>
      <c r="BN139" s="1">
        <v>1234</v>
      </c>
      <c r="BO139" s="1">
        <v>2975</v>
      </c>
      <c r="BP139" s="1">
        <v>3458</v>
      </c>
      <c r="BQ139" s="1">
        <v>17422</v>
      </c>
      <c r="BR139" s="1">
        <v>15872</v>
      </c>
      <c r="BS139" s="1">
        <v>8322</v>
      </c>
      <c r="BT139" s="1">
        <v>993</v>
      </c>
      <c r="BU139" s="1">
        <v>30260</v>
      </c>
      <c r="BV139" s="1"/>
      <c r="BW139" s="1"/>
      <c r="BX139" s="1"/>
      <c r="BY139" s="1">
        <v>832</v>
      </c>
      <c r="BZ139" s="1">
        <v>922</v>
      </c>
      <c r="CA139" s="1">
        <v>919</v>
      </c>
      <c r="CB139" s="1">
        <v>929</v>
      </c>
      <c r="CC139" s="1">
        <v>945</v>
      </c>
      <c r="CD139" s="1">
        <v>827</v>
      </c>
      <c r="CE139" s="1">
        <v>882</v>
      </c>
      <c r="CF139" s="1">
        <v>862</v>
      </c>
      <c r="CG139" s="1">
        <v>1033</v>
      </c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</row>
    <row r="140" spans="1:99" x14ac:dyDescent="0.2">
      <c r="A140" s="3" t="s">
        <v>187</v>
      </c>
      <c r="B140" s="1">
        <v>13744.129000000001</v>
      </c>
      <c r="C140" s="1">
        <v>36.6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>
        <v>3084</v>
      </c>
      <c r="AP140" s="1">
        <v>1330</v>
      </c>
      <c r="AQ140" s="1">
        <v>3093</v>
      </c>
      <c r="AR140" s="1">
        <v>3282</v>
      </c>
      <c r="AS140" s="1">
        <v>17784</v>
      </c>
      <c r="AT140" s="1">
        <v>14776</v>
      </c>
      <c r="AU140" s="1">
        <v>8952</v>
      </c>
      <c r="AV140" s="1">
        <v>1081</v>
      </c>
      <c r="AW140" s="1">
        <v>38501</v>
      </c>
      <c r="AX140" s="1"/>
      <c r="AY140" s="1"/>
      <c r="AZ140" s="1"/>
      <c r="BA140" s="1">
        <v>3442</v>
      </c>
      <c r="BB140" s="1">
        <v>1311</v>
      </c>
      <c r="BC140" s="1">
        <v>3197</v>
      </c>
      <c r="BD140" s="1">
        <v>3598</v>
      </c>
      <c r="BE140" s="1">
        <v>19101</v>
      </c>
      <c r="BF140" s="1">
        <v>17424</v>
      </c>
      <c r="BG140" s="1">
        <v>9110</v>
      </c>
      <c r="BH140" s="1">
        <v>1095</v>
      </c>
      <c r="BI140" s="1">
        <v>38189</v>
      </c>
      <c r="BJ140" s="1"/>
      <c r="BK140" s="1"/>
      <c r="BL140" s="1"/>
      <c r="BM140" s="1">
        <v>3774</v>
      </c>
      <c r="BN140" s="1">
        <v>1234</v>
      </c>
      <c r="BO140" s="1">
        <v>3094</v>
      </c>
      <c r="BP140" s="1">
        <v>3573</v>
      </c>
      <c r="BQ140" s="1">
        <v>19316</v>
      </c>
      <c r="BR140" s="1">
        <v>16830</v>
      </c>
      <c r="BS140" s="1">
        <v>8977</v>
      </c>
      <c r="BT140" s="1">
        <v>1051</v>
      </c>
      <c r="BU140" s="1">
        <v>36447</v>
      </c>
      <c r="BV140" s="1"/>
      <c r="BW140" s="1"/>
      <c r="BX140" s="1"/>
      <c r="BY140" s="1">
        <v>821</v>
      </c>
      <c r="BZ140" s="1">
        <v>921</v>
      </c>
      <c r="CA140" s="1">
        <v>913</v>
      </c>
      <c r="CB140" s="1">
        <v>948</v>
      </c>
      <c r="CC140" s="1">
        <v>930</v>
      </c>
      <c r="CD140" s="1">
        <v>835</v>
      </c>
      <c r="CE140" s="1">
        <v>893</v>
      </c>
      <c r="CF140" s="1">
        <v>862</v>
      </c>
      <c r="CG140" s="1">
        <v>1032</v>
      </c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</row>
    <row r="141" spans="1:99" x14ac:dyDescent="0.2">
      <c r="A141" s="3" t="s">
        <v>188</v>
      </c>
      <c r="B141" s="1">
        <v>14602.714</v>
      </c>
      <c r="C141" s="1">
        <v>36.799999999999997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>
        <v>3069</v>
      </c>
      <c r="AP141" s="1">
        <v>1324</v>
      </c>
      <c r="AQ141" s="1">
        <v>3080</v>
      </c>
      <c r="AR141" s="1">
        <v>3248</v>
      </c>
      <c r="AS141" s="1">
        <v>18100</v>
      </c>
      <c r="AT141" s="1">
        <v>14954</v>
      </c>
      <c r="AU141" s="1">
        <v>8993</v>
      </c>
      <c r="AV141" s="1">
        <v>1100</v>
      </c>
      <c r="AW141" s="1">
        <v>41848</v>
      </c>
      <c r="AX141" s="1"/>
      <c r="AY141" s="1"/>
      <c r="AZ141" s="1"/>
      <c r="BA141" s="1">
        <v>3396</v>
      </c>
      <c r="BB141" s="1">
        <v>1307</v>
      </c>
      <c r="BC141" s="1">
        <v>3180</v>
      </c>
      <c r="BD141" s="1">
        <v>3555</v>
      </c>
      <c r="BE141" s="1">
        <v>19540</v>
      </c>
      <c r="BF141" s="1">
        <v>17876</v>
      </c>
      <c r="BG141" s="1">
        <v>9330</v>
      </c>
      <c r="BH141" s="1">
        <v>1126</v>
      </c>
      <c r="BI141" s="1">
        <v>42302</v>
      </c>
      <c r="BJ141" s="1"/>
      <c r="BK141" s="1"/>
      <c r="BL141" s="1"/>
      <c r="BM141" s="1">
        <v>3747</v>
      </c>
      <c r="BN141" s="1">
        <v>1243</v>
      </c>
      <c r="BO141" s="1">
        <v>3054</v>
      </c>
      <c r="BP141" s="1">
        <v>3511</v>
      </c>
      <c r="BQ141" s="1">
        <v>20020</v>
      </c>
      <c r="BR141" s="1">
        <v>17356</v>
      </c>
      <c r="BS141" s="1">
        <v>9311</v>
      </c>
      <c r="BT141" s="1">
        <v>1046</v>
      </c>
      <c r="BU141" s="1">
        <v>41122</v>
      </c>
      <c r="BV141" s="1"/>
      <c r="BW141" s="1"/>
      <c r="BX141" s="1"/>
      <c r="BY141" s="1">
        <v>809</v>
      </c>
      <c r="BZ141" s="1">
        <v>903</v>
      </c>
      <c r="CA141" s="1">
        <v>925</v>
      </c>
      <c r="CB141" s="1">
        <v>936</v>
      </c>
      <c r="CC141" s="1">
        <v>937</v>
      </c>
      <c r="CD141" s="1">
        <v>861</v>
      </c>
      <c r="CE141" s="1">
        <v>898</v>
      </c>
      <c r="CF141" s="1">
        <v>868</v>
      </c>
      <c r="CG141" s="1">
        <v>1028</v>
      </c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</row>
    <row r="142" spans="1:99" x14ac:dyDescent="0.2">
      <c r="A142" s="3" t="s">
        <v>189</v>
      </c>
      <c r="B142" s="1">
        <v>15461.663</v>
      </c>
      <c r="C142" s="1">
        <v>37.6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>
        <v>2988</v>
      </c>
      <c r="AP142" s="1">
        <v>1341</v>
      </c>
      <c r="AQ142" s="1">
        <v>3036</v>
      </c>
      <c r="AR142" s="1">
        <v>3238</v>
      </c>
      <c r="AS142" s="1">
        <v>18184</v>
      </c>
      <c r="AT142" s="1">
        <v>14753</v>
      </c>
      <c r="AU142" s="1">
        <v>8902</v>
      </c>
      <c r="AV142" s="1">
        <v>1123</v>
      </c>
      <c r="AW142" s="1">
        <v>44126</v>
      </c>
      <c r="AX142" s="1"/>
      <c r="AY142" s="1"/>
      <c r="AZ142" s="1"/>
      <c r="BA142" s="1">
        <v>3326</v>
      </c>
      <c r="BB142" s="1">
        <v>1308</v>
      </c>
      <c r="BC142" s="1">
        <v>3051</v>
      </c>
      <c r="BD142" s="1">
        <v>3440</v>
      </c>
      <c r="BE142" s="1">
        <v>19317</v>
      </c>
      <c r="BF142" s="1">
        <v>17672</v>
      </c>
      <c r="BG142" s="1">
        <v>9237</v>
      </c>
      <c r="BH142" s="1">
        <v>1137</v>
      </c>
      <c r="BI142" s="1">
        <v>44904</v>
      </c>
      <c r="BJ142" s="1"/>
      <c r="BK142" s="1"/>
      <c r="BL142" s="1"/>
      <c r="BM142" s="1">
        <v>3608</v>
      </c>
      <c r="BN142" s="1">
        <v>1216</v>
      </c>
      <c r="BO142" s="1">
        <v>3028</v>
      </c>
      <c r="BP142" s="1">
        <v>3408</v>
      </c>
      <c r="BQ142" s="1">
        <v>19728</v>
      </c>
      <c r="BR142" s="1">
        <v>17311</v>
      </c>
      <c r="BS142" s="1">
        <v>9181</v>
      </c>
      <c r="BT142" s="1">
        <v>1045</v>
      </c>
      <c r="BU142" s="1">
        <v>43938</v>
      </c>
      <c r="BV142" s="1"/>
      <c r="BW142" s="1"/>
      <c r="BX142" s="1"/>
      <c r="BY142" s="1">
        <v>833</v>
      </c>
      <c r="BZ142" s="1">
        <v>923</v>
      </c>
      <c r="CA142" s="1">
        <v>917</v>
      </c>
      <c r="CB142" s="1">
        <v>955</v>
      </c>
      <c r="CC142" s="1">
        <v>928</v>
      </c>
      <c r="CD142" s="1">
        <v>819</v>
      </c>
      <c r="CE142" s="1">
        <v>897</v>
      </c>
      <c r="CF142" s="1">
        <v>864</v>
      </c>
      <c r="CG142" s="1">
        <v>1027</v>
      </c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</row>
    <row r="143" spans="1:99" x14ac:dyDescent="0.2">
      <c r="A143" s="3" t="s">
        <v>190</v>
      </c>
      <c r="B143" s="1">
        <v>16320.272999999999</v>
      </c>
      <c r="C143" s="1">
        <v>36.5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>
        <v>2981</v>
      </c>
      <c r="AP143" s="1">
        <v>1343</v>
      </c>
      <c r="AQ143" s="1">
        <v>2978</v>
      </c>
      <c r="AR143" s="1">
        <v>3111</v>
      </c>
      <c r="AS143" s="1">
        <v>17668</v>
      </c>
      <c r="AT143" s="1">
        <v>14378</v>
      </c>
      <c r="AU143" s="1">
        <v>8745</v>
      </c>
      <c r="AV143" s="1">
        <v>1112</v>
      </c>
      <c r="AW143" s="1">
        <v>45519</v>
      </c>
      <c r="AX143" s="1"/>
      <c r="AY143" s="1"/>
      <c r="AZ143" s="1"/>
      <c r="BA143" s="1">
        <v>3248</v>
      </c>
      <c r="BB143" s="1">
        <v>1299</v>
      </c>
      <c r="BC143" s="1">
        <v>3050</v>
      </c>
      <c r="BD143" s="1">
        <v>3403</v>
      </c>
      <c r="BE143" s="1">
        <v>19286</v>
      </c>
      <c r="BF143" s="1">
        <v>17394</v>
      </c>
      <c r="BG143" s="1">
        <v>9071</v>
      </c>
      <c r="BH143" s="1">
        <v>1149</v>
      </c>
      <c r="BI143" s="1">
        <v>47108</v>
      </c>
      <c r="BJ143" s="1"/>
      <c r="BK143" s="1"/>
      <c r="BL143" s="1"/>
      <c r="BM143" s="1">
        <v>3628</v>
      </c>
      <c r="BN143" s="1">
        <v>1237</v>
      </c>
      <c r="BO143" s="1">
        <v>2980</v>
      </c>
      <c r="BP143" s="1">
        <v>3396</v>
      </c>
      <c r="BQ143" s="1">
        <v>19413</v>
      </c>
      <c r="BR143" s="1">
        <v>17021</v>
      </c>
      <c r="BS143" s="1">
        <v>9098</v>
      </c>
      <c r="BT143" s="1">
        <v>1061</v>
      </c>
      <c r="BU143" s="1">
        <v>46266</v>
      </c>
      <c r="BV143" s="1"/>
      <c r="BW143" s="1"/>
      <c r="BX143" s="1"/>
      <c r="BY143" s="1">
        <v>820</v>
      </c>
      <c r="BZ143" s="1">
        <v>917</v>
      </c>
      <c r="CA143" s="1">
        <v>911</v>
      </c>
      <c r="CB143" s="1">
        <v>915</v>
      </c>
      <c r="CC143" s="1">
        <v>950</v>
      </c>
      <c r="CD143" s="1">
        <v>835</v>
      </c>
      <c r="CE143" s="1">
        <v>899</v>
      </c>
      <c r="CF143" s="1">
        <v>868</v>
      </c>
      <c r="CG143" s="1">
        <v>1003</v>
      </c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</row>
    <row r="144" spans="1:99" x14ac:dyDescent="0.2">
      <c r="A144" s="3" t="s">
        <v>191</v>
      </c>
      <c r="B144" s="1">
        <v>17178.859</v>
      </c>
      <c r="C144" s="1">
        <v>38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>
        <v>2951</v>
      </c>
      <c r="AP144" s="1">
        <v>1332</v>
      </c>
      <c r="AQ144" s="1">
        <v>2928</v>
      </c>
      <c r="AR144" s="1">
        <v>3064</v>
      </c>
      <c r="AS144" s="1">
        <v>17185</v>
      </c>
      <c r="AT144" s="1">
        <v>14132</v>
      </c>
      <c r="AU144" s="1">
        <v>8439</v>
      </c>
      <c r="AV144" s="1">
        <v>1127</v>
      </c>
      <c r="AW144" s="1">
        <v>46133</v>
      </c>
      <c r="AX144" s="1"/>
      <c r="AY144" s="1"/>
      <c r="AZ144" s="1"/>
      <c r="BA144" s="1">
        <v>3189</v>
      </c>
      <c r="BB144" s="1">
        <v>1303</v>
      </c>
      <c r="BC144" s="1">
        <v>2980</v>
      </c>
      <c r="BD144" s="1">
        <v>3343</v>
      </c>
      <c r="BE144" s="1">
        <v>18950</v>
      </c>
      <c r="BF144" s="1">
        <v>17075</v>
      </c>
      <c r="BG144" s="1">
        <v>8953</v>
      </c>
      <c r="BH144" s="1">
        <v>1165</v>
      </c>
      <c r="BI144" s="1">
        <v>48273</v>
      </c>
      <c r="BJ144" s="1"/>
      <c r="BK144" s="1"/>
      <c r="BL144" s="1"/>
      <c r="BM144" s="1">
        <v>3477</v>
      </c>
      <c r="BN144" s="1">
        <v>1218</v>
      </c>
      <c r="BO144" s="1">
        <v>2888</v>
      </c>
      <c r="BP144" s="1">
        <v>3331</v>
      </c>
      <c r="BQ144" s="1">
        <v>19067</v>
      </c>
      <c r="BR144" s="1">
        <v>16440</v>
      </c>
      <c r="BS144" s="1">
        <v>8937</v>
      </c>
      <c r="BT144" s="1">
        <v>1048</v>
      </c>
      <c r="BU144" s="1">
        <v>46950</v>
      </c>
      <c r="BV144" s="1"/>
      <c r="BW144" s="1"/>
      <c r="BX144" s="1"/>
      <c r="BY144" s="1">
        <v>843</v>
      </c>
      <c r="BZ144" s="1">
        <v>902</v>
      </c>
      <c r="CA144" s="1">
        <v>916</v>
      </c>
      <c r="CB144" s="1">
        <v>934</v>
      </c>
      <c r="CC144" s="1">
        <v>929</v>
      </c>
      <c r="CD144" s="1">
        <v>833</v>
      </c>
      <c r="CE144" s="1">
        <v>883</v>
      </c>
      <c r="CF144" s="1">
        <v>870</v>
      </c>
      <c r="CG144" s="1">
        <v>1028</v>
      </c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</row>
    <row r="145" spans="1:99" x14ac:dyDescent="0.2">
      <c r="A145" s="3" t="s">
        <v>192</v>
      </c>
      <c r="B145" s="1">
        <v>18037.827000000001</v>
      </c>
      <c r="C145" s="1">
        <v>36.5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>
        <v>2859</v>
      </c>
      <c r="AP145" s="1">
        <v>1329</v>
      </c>
      <c r="AQ145" s="1">
        <v>2844</v>
      </c>
      <c r="AR145" s="1">
        <v>3036</v>
      </c>
      <c r="AS145" s="1">
        <v>17056</v>
      </c>
      <c r="AT145" s="1">
        <v>13720</v>
      </c>
      <c r="AU145" s="1">
        <v>8202</v>
      </c>
      <c r="AV145" s="1">
        <v>1124</v>
      </c>
      <c r="AW145" s="1">
        <v>46345</v>
      </c>
      <c r="AX145" s="1"/>
      <c r="AY145" s="1"/>
      <c r="AZ145" s="1"/>
      <c r="BA145" s="1">
        <v>3138</v>
      </c>
      <c r="BB145" s="1">
        <v>1318</v>
      </c>
      <c r="BC145" s="1">
        <v>2976</v>
      </c>
      <c r="BD145" s="1">
        <v>3265</v>
      </c>
      <c r="BE145" s="1">
        <v>18688</v>
      </c>
      <c r="BF145" s="1">
        <v>16791</v>
      </c>
      <c r="BG145" s="1">
        <v>8692</v>
      </c>
      <c r="BH145" s="1">
        <v>1182</v>
      </c>
      <c r="BI145" s="1">
        <v>48599</v>
      </c>
      <c r="BJ145" s="1"/>
      <c r="BK145" s="1"/>
      <c r="BL145" s="1"/>
      <c r="BM145" s="1">
        <v>3395</v>
      </c>
      <c r="BN145" s="1">
        <v>1224</v>
      </c>
      <c r="BO145" s="1">
        <v>2800</v>
      </c>
      <c r="BP145" s="1">
        <v>3213</v>
      </c>
      <c r="BQ145" s="1">
        <v>18422</v>
      </c>
      <c r="BR145" s="1">
        <v>16116</v>
      </c>
      <c r="BS145" s="1">
        <v>8646</v>
      </c>
      <c r="BT145" s="1">
        <v>1051</v>
      </c>
      <c r="BU145" s="1">
        <v>47844</v>
      </c>
      <c r="BV145" s="1"/>
      <c r="BW145" s="1"/>
      <c r="BX145" s="1"/>
      <c r="BY145" s="1">
        <v>843</v>
      </c>
      <c r="BZ145" s="1">
        <v>904</v>
      </c>
      <c r="CA145" s="1">
        <v>913</v>
      </c>
      <c r="CB145" s="1">
        <v>929</v>
      </c>
      <c r="CC145" s="1">
        <v>935</v>
      </c>
      <c r="CD145" s="1">
        <v>822</v>
      </c>
      <c r="CE145" s="1">
        <v>897</v>
      </c>
      <c r="CF145" s="1">
        <v>848</v>
      </c>
      <c r="CG145" s="1">
        <v>1008</v>
      </c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</row>
    <row r="146" spans="1:99" x14ac:dyDescent="0.2">
      <c r="A146" s="3" t="s">
        <v>193</v>
      </c>
      <c r="B146" s="1">
        <v>18896.436000000002</v>
      </c>
      <c r="C146" s="1">
        <v>37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>
        <v>2868</v>
      </c>
      <c r="AP146" s="1">
        <v>1314</v>
      </c>
      <c r="AQ146" s="1">
        <v>2800</v>
      </c>
      <c r="AR146" s="1">
        <v>2908</v>
      </c>
      <c r="AS146" s="1">
        <v>16432</v>
      </c>
      <c r="AT146" s="1">
        <v>13563</v>
      </c>
      <c r="AU146" s="1">
        <v>7996</v>
      </c>
      <c r="AV146" s="1">
        <v>1118</v>
      </c>
      <c r="AW146" s="1">
        <v>46261</v>
      </c>
      <c r="AX146" s="1"/>
      <c r="AY146" s="1"/>
      <c r="AZ146" s="1"/>
      <c r="BA146" s="1">
        <v>3081</v>
      </c>
      <c r="BB146" s="1">
        <v>1306</v>
      </c>
      <c r="BC146" s="1">
        <v>2901</v>
      </c>
      <c r="BD146" s="1">
        <v>3261</v>
      </c>
      <c r="BE146" s="1">
        <v>18059</v>
      </c>
      <c r="BF146" s="1">
        <v>16284</v>
      </c>
      <c r="BG146" s="1">
        <v>8552</v>
      </c>
      <c r="BH146" s="1">
        <v>1182</v>
      </c>
      <c r="BI146" s="1">
        <v>48665</v>
      </c>
      <c r="BJ146" s="1"/>
      <c r="BK146" s="1"/>
      <c r="BL146" s="1"/>
      <c r="BM146" s="1">
        <v>3319</v>
      </c>
      <c r="BN146" s="1">
        <v>1242</v>
      </c>
      <c r="BO146" s="1">
        <v>2778</v>
      </c>
      <c r="BP146" s="1">
        <v>3221</v>
      </c>
      <c r="BQ146" s="1">
        <v>17990</v>
      </c>
      <c r="BR146" s="1">
        <v>15581</v>
      </c>
      <c r="BS146" s="1">
        <v>8383</v>
      </c>
      <c r="BT146" s="1">
        <v>1065</v>
      </c>
      <c r="BU146" s="1">
        <v>48330</v>
      </c>
      <c r="BV146" s="1"/>
      <c r="BW146" s="1"/>
      <c r="BX146" s="1"/>
      <c r="BY146" s="1">
        <v>824</v>
      </c>
      <c r="BZ146" s="1">
        <v>901</v>
      </c>
      <c r="CA146" s="1">
        <v>913</v>
      </c>
      <c r="CB146" s="1">
        <v>934</v>
      </c>
      <c r="CC146" s="1">
        <v>945</v>
      </c>
      <c r="CD146" s="1">
        <v>826</v>
      </c>
      <c r="CE146" s="1">
        <v>881</v>
      </c>
      <c r="CF146" s="1">
        <v>852</v>
      </c>
      <c r="CG146" s="1">
        <v>1014</v>
      </c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</row>
    <row r="147" spans="1:99" x14ac:dyDescent="0.2">
      <c r="A147" s="3" t="s">
        <v>194</v>
      </c>
      <c r="B147" s="1">
        <v>19755.080999999998</v>
      </c>
      <c r="C147" s="1">
        <v>37.200000000000003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>
        <v>2732</v>
      </c>
      <c r="AP147" s="1">
        <v>1332</v>
      </c>
      <c r="AQ147" s="1">
        <v>2748</v>
      </c>
      <c r="AR147" s="1">
        <v>2940</v>
      </c>
      <c r="AS147" s="1">
        <v>16058</v>
      </c>
      <c r="AT147" s="1">
        <v>13264</v>
      </c>
      <c r="AU147" s="1">
        <v>7864</v>
      </c>
      <c r="AV147" s="1">
        <v>1125</v>
      </c>
      <c r="AW147" s="1">
        <v>45867</v>
      </c>
      <c r="AX147" s="1"/>
      <c r="AY147" s="1"/>
      <c r="AZ147" s="1"/>
      <c r="BA147" s="1">
        <v>3031</v>
      </c>
      <c r="BB147" s="1">
        <v>1296</v>
      </c>
      <c r="BC147" s="1">
        <v>2849</v>
      </c>
      <c r="BD147" s="1">
        <v>3135</v>
      </c>
      <c r="BE147" s="1">
        <v>17490</v>
      </c>
      <c r="BF147" s="1">
        <v>15868</v>
      </c>
      <c r="BG147" s="1">
        <v>8419</v>
      </c>
      <c r="BH147" s="1">
        <v>1157</v>
      </c>
      <c r="BI147" s="1">
        <v>48445</v>
      </c>
      <c r="BJ147" s="1"/>
      <c r="BK147" s="1"/>
      <c r="BL147" s="1"/>
      <c r="BM147" s="1">
        <v>3303</v>
      </c>
      <c r="BN147" s="1">
        <v>1248</v>
      </c>
      <c r="BO147" s="1">
        <v>2777</v>
      </c>
      <c r="BP147" s="1">
        <v>3120</v>
      </c>
      <c r="BQ147" s="1">
        <v>17589</v>
      </c>
      <c r="BR147" s="1">
        <v>15467</v>
      </c>
      <c r="BS147" s="1">
        <v>8246</v>
      </c>
      <c r="BT147" s="1">
        <v>1065</v>
      </c>
      <c r="BU147" s="1">
        <v>47869</v>
      </c>
      <c r="BV147" s="1"/>
      <c r="BW147" s="1"/>
      <c r="BX147" s="1"/>
      <c r="BY147" s="1">
        <v>812</v>
      </c>
      <c r="BZ147" s="1">
        <v>900</v>
      </c>
      <c r="CA147" s="1">
        <v>902</v>
      </c>
      <c r="CB147" s="1">
        <v>941</v>
      </c>
      <c r="CC147" s="1">
        <v>927</v>
      </c>
      <c r="CD147" s="1">
        <v>822</v>
      </c>
      <c r="CE147" s="1">
        <v>872</v>
      </c>
      <c r="CF147" s="1">
        <v>875</v>
      </c>
      <c r="CG147" s="1">
        <v>1018</v>
      </c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</row>
    <row r="148" spans="1:99" x14ac:dyDescent="0.2">
      <c r="A148" s="3" t="s">
        <v>195</v>
      </c>
      <c r="B148" s="1">
        <v>20614.072</v>
      </c>
      <c r="C148" s="1">
        <v>36.5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>
        <v>2720</v>
      </c>
      <c r="AP148" s="1">
        <v>1337</v>
      </c>
      <c r="AQ148" s="1">
        <v>2701</v>
      </c>
      <c r="AR148" s="1">
        <v>2865</v>
      </c>
      <c r="AS148" s="1">
        <v>15718</v>
      </c>
      <c r="AT148" s="1">
        <v>12889</v>
      </c>
      <c r="AU148" s="1">
        <v>7717</v>
      </c>
      <c r="AV148" s="1">
        <v>1151</v>
      </c>
      <c r="AW148" s="1">
        <v>45330</v>
      </c>
      <c r="AX148" s="1"/>
      <c r="AY148" s="1"/>
      <c r="AZ148" s="1"/>
      <c r="BA148" s="1">
        <v>3030</v>
      </c>
      <c r="BB148" s="1">
        <v>1310</v>
      </c>
      <c r="BC148" s="1">
        <v>2770</v>
      </c>
      <c r="BD148" s="1">
        <v>3111</v>
      </c>
      <c r="BE148" s="1">
        <v>17065</v>
      </c>
      <c r="BF148" s="1">
        <v>15426</v>
      </c>
      <c r="BG148" s="1">
        <v>8177</v>
      </c>
      <c r="BH148" s="1">
        <v>1148</v>
      </c>
      <c r="BI148" s="1">
        <v>48138</v>
      </c>
      <c r="BJ148" s="1"/>
      <c r="BK148" s="1"/>
      <c r="BL148" s="1"/>
      <c r="BM148" s="1">
        <v>3240</v>
      </c>
      <c r="BN148" s="1">
        <v>1222</v>
      </c>
      <c r="BO148" s="1">
        <v>2677</v>
      </c>
      <c r="BP148" s="1">
        <v>3043</v>
      </c>
      <c r="BQ148" s="1">
        <v>17109</v>
      </c>
      <c r="BR148" s="1">
        <v>15205</v>
      </c>
      <c r="BS148" s="1">
        <v>8043</v>
      </c>
      <c r="BT148" s="1">
        <v>1072</v>
      </c>
      <c r="BU148" s="1">
        <v>47829</v>
      </c>
      <c r="BV148" s="1"/>
      <c r="BW148" s="1"/>
      <c r="BX148" s="1"/>
      <c r="BY148" s="1">
        <v>826</v>
      </c>
      <c r="BZ148" s="1">
        <v>903</v>
      </c>
      <c r="CA148" s="1">
        <v>919</v>
      </c>
      <c r="CB148" s="1">
        <v>936</v>
      </c>
      <c r="CC148" s="1">
        <v>943</v>
      </c>
      <c r="CD148" s="1">
        <v>828</v>
      </c>
      <c r="CE148" s="1">
        <v>872</v>
      </c>
      <c r="CF148" s="1">
        <v>836</v>
      </c>
      <c r="CG148" s="1">
        <v>1013</v>
      </c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</row>
    <row r="149" spans="1:99" x14ac:dyDescent="0.2">
      <c r="A149" s="3" t="s">
        <v>196</v>
      </c>
      <c r="B149" s="1">
        <v>21472.684000000001</v>
      </c>
      <c r="C149" s="1">
        <v>38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>
        <v>2693</v>
      </c>
      <c r="AP149" s="1">
        <v>1351</v>
      </c>
      <c r="AQ149" s="1">
        <v>2670</v>
      </c>
      <c r="AR149" s="1">
        <v>2840</v>
      </c>
      <c r="AS149" s="1">
        <v>15403</v>
      </c>
      <c r="AT149" s="1">
        <v>12864</v>
      </c>
      <c r="AU149" s="1">
        <v>7513</v>
      </c>
      <c r="AV149" s="1">
        <v>1150</v>
      </c>
      <c r="AW149" s="1">
        <v>44451</v>
      </c>
      <c r="AX149" s="1"/>
      <c r="AY149" s="1"/>
      <c r="AZ149" s="1"/>
      <c r="BA149" s="1">
        <v>2878</v>
      </c>
      <c r="BB149" s="1">
        <v>1282</v>
      </c>
      <c r="BC149" s="1">
        <v>2744</v>
      </c>
      <c r="BD149" s="1">
        <v>3018</v>
      </c>
      <c r="BE149" s="1">
        <v>16708</v>
      </c>
      <c r="BF149" s="1">
        <v>15238</v>
      </c>
      <c r="BG149" s="1">
        <v>8043</v>
      </c>
      <c r="BH149" s="1">
        <v>1194</v>
      </c>
      <c r="BI149" s="1">
        <v>47761</v>
      </c>
      <c r="BJ149" s="1"/>
      <c r="BK149" s="1"/>
      <c r="BL149" s="1"/>
      <c r="BM149" s="1">
        <v>3173</v>
      </c>
      <c r="BN149" s="1">
        <v>1225</v>
      </c>
      <c r="BO149" s="1">
        <v>2656</v>
      </c>
      <c r="BP149" s="1">
        <v>3029</v>
      </c>
      <c r="BQ149" s="1">
        <v>16884</v>
      </c>
      <c r="BR149" s="1">
        <v>14926</v>
      </c>
      <c r="BS149" s="1">
        <v>7998</v>
      </c>
      <c r="BT149" s="1">
        <v>1098</v>
      </c>
      <c r="BU149" s="1">
        <v>47473</v>
      </c>
      <c r="BV149" s="1"/>
      <c r="BW149" s="1"/>
      <c r="BX149" s="1"/>
      <c r="BY149" s="1">
        <v>832</v>
      </c>
      <c r="BZ149" s="1">
        <v>926</v>
      </c>
      <c r="CA149" s="1">
        <v>931</v>
      </c>
      <c r="CB149" s="1">
        <v>948</v>
      </c>
      <c r="CC149" s="1">
        <v>955</v>
      </c>
      <c r="CD149" s="1">
        <v>845</v>
      </c>
      <c r="CE149" s="1">
        <v>889</v>
      </c>
      <c r="CF149" s="1">
        <v>860</v>
      </c>
      <c r="CG149" s="1">
        <v>1011</v>
      </c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</row>
    <row r="150" spans="1:99" x14ac:dyDescent="0.2">
      <c r="A150" s="3" t="s">
        <v>197</v>
      </c>
      <c r="B150" s="1">
        <v>22331.544999999998</v>
      </c>
      <c r="C150" s="1">
        <v>37.1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>
        <v>2671</v>
      </c>
      <c r="AP150" s="1">
        <v>1350</v>
      </c>
      <c r="AQ150" s="1">
        <v>2635</v>
      </c>
      <c r="AR150" s="1">
        <v>2767</v>
      </c>
      <c r="AS150" s="1">
        <v>15151</v>
      </c>
      <c r="AT150" s="1">
        <v>12543</v>
      </c>
      <c r="AU150" s="1">
        <v>7416</v>
      </c>
      <c r="AV150" s="1">
        <v>1139</v>
      </c>
      <c r="AW150" s="1">
        <v>43866</v>
      </c>
      <c r="AX150" s="1"/>
      <c r="AY150" s="1"/>
      <c r="AZ150" s="1"/>
      <c r="BA150" s="1">
        <v>2888</v>
      </c>
      <c r="BB150" s="1">
        <v>1293</v>
      </c>
      <c r="BC150" s="1">
        <v>2740</v>
      </c>
      <c r="BD150" s="1">
        <v>2955</v>
      </c>
      <c r="BE150" s="1">
        <v>16501</v>
      </c>
      <c r="BF150" s="1">
        <v>14905</v>
      </c>
      <c r="BG150" s="1">
        <v>7910</v>
      </c>
      <c r="BH150" s="1">
        <v>1174</v>
      </c>
      <c r="BI150" s="1">
        <v>46747</v>
      </c>
      <c r="BJ150" s="1"/>
      <c r="BK150" s="1"/>
      <c r="BL150" s="1"/>
      <c r="BM150" s="1">
        <v>3182</v>
      </c>
      <c r="BN150" s="1">
        <v>1211</v>
      </c>
      <c r="BO150" s="1">
        <v>2628</v>
      </c>
      <c r="BP150" s="1">
        <v>2982</v>
      </c>
      <c r="BQ150" s="1">
        <v>16596</v>
      </c>
      <c r="BR150" s="1">
        <v>14608</v>
      </c>
      <c r="BS150" s="1">
        <v>7699</v>
      </c>
      <c r="BT150" s="1">
        <v>1106</v>
      </c>
      <c r="BU150" s="1">
        <v>47461</v>
      </c>
      <c r="BV150" s="1"/>
      <c r="BW150" s="1"/>
      <c r="BX150" s="1"/>
      <c r="BY150" s="1">
        <v>842</v>
      </c>
      <c r="BZ150" s="1">
        <v>922</v>
      </c>
      <c r="CA150" s="1">
        <v>903</v>
      </c>
      <c r="CB150" s="1">
        <v>938</v>
      </c>
      <c r="CC150" s="1">
        <v>915</v>
      </c>
      <c r="CD150" s="1">
        <v>863</v>
      </c>
      <c r="CE150" s="1">
        <v>868</v>
      </c>
      <c r="CF150" s="1">
        <v>845</v>
      </c>
      <c r="CG150" s="1">
        <v>1005</v>
      </c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</row>
    <row r="151" spans="1:99" x14ac:dyDescent="0.2">
      <c r="A151" s="3" t="s">
        <v>198</v>
      </c>
      <c r="B151" s="1">
        <v>23190.478999999999</v>
      </c>
      <c r="C151" s="1">
        <v>36.700000000000003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>
        <v>2638</v>
      </c>
      <c r="AP151" s="1">
        <v>1339</v>
      </c>
      <c r="AQ151" s="1">
        <v>2599</v>
      </c>
      <c r="AR151" s="1">
        <v>2717</v>
      </c>
      <c r="AS151" s="1">
        <v>14778</v>
      </c>
      <c r="AT151" s="1">
        <v>12328</v>
      </c>
      <c r="AU151" s="1">
        <v>7240</v>
      </c>
      <c r="AV151" s="1">
        <v>1160</v>
      </c>
      <c r="AW151" s="1">
        <v>43469</v>
      </c>
      <c r="AX151" s="1"/>
      <c r="AY151" s="1"/>
      <c r="AZ151" s="1"/>
      <c r="BA151" s="1">
        <v>2864</v>
      </c>
      <c r="BB151" s="1">
        <v>1321</v>
      </c>
      <c r="BC151" s="1">
        <v>2721</v>
      </c>
      <c r="BD151" s="1">
        <v>2956</v>
      </c>
      <c r="BE151" s="1">
        <v>16327</v>
      </c>
      <c r="BF151" s="1">
        <v>14807</v>
      </c>
      <c r="BG151" s="1">
        <v>7850</v>
      </c>
      <c r="BH151" s="1">
        <v>1181</v>
      </c>
      <c r="BI151" s="1">
        <v>46224</v>
      </c>
      <c r="BJ151" s="1"/>
      <c r="BK151" s="1"/>
      <c r="BL151" s="1"/>
      <c r="BM151" s="1">
        <v>3114</v>
      </c>
      <c r="BN151" s="1">
        <v>1211</v>
      </c>
      <c r="BO151" s="1">
        <v>2598</v>
      </c>
      <c r="BP151" s="1">
        <v>2962</v>
      </c>
      <c r="BQ151" s="1">
        <v>16214</v>
      </c>
      <c r="BR151" s="1">
        <v>14277</v>
      </c>
      <c r="BS151" s="1">
        <v>7668</v>
      </c>
      <c r="BT151" s="1">
        <v>1088</v>
      </c>
      <c r="BU151" s="1">
        <v>46162</v>
      </c>
      <c r="BV151" s="1"/>
      <c r="BW151" s="1"/>
      <c r="BX151" s="1"/>
      <c r="BY151" s="1">
        <v>835</v>
      </c>
      <c r="BZ151" s="1">
        <v>943</v>
      </c>
      <c r="CA151" s="1">
        <v>933</v>
      </c>
      <c r="CB151" s="1">
        <v>931</v>
      </c>
      <c r="CC151" s="1">
        <v>943</v>
      </c>
      <c r="CD151" s="1">
        <v>840</v>
      </c>
      <c r="CE151" s="1">
        <v>871</v>
      </c>
      <c r="CF151" s="1">
        <v>867</v>
      </c>
      <c r="CG151" s="1">
        <v>1028</v>
      </c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</row>
    <row r="152" spans="1:99" x14ac:dyDescent="0.2">
      <c r="A152" s="3" t="s">
        <v>199</v>
      </c>
      <c r="B152" s="1">
        <v>24049.146000000001</v>
      </c>
      <c r="C152" s="1">
        <v>37.799999999999997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>
        <v>2604</v>
      </c>
      <c r="AP152" s="1">
        <v>1292</v>
      </c>
      <c r="AQ152" s="1">
        <v>2588</v>
      </c>
      <c r="AR152" s="1">
        <v>2728</v>
      </c>
      <c r="AS152" s="1">
        <v>14647</v>
      </c>
      <c r="AT152" s="1">
        <v>12210</v>
      </c>
      <c r="AU152" s="1">
        <v>7048</v>
      </c>
      <c r="AV152" s="1">
        <v>1166</v>
      </c>
      <c r="AW152" s="1">
        <v>43014</v>
      </c>
      <c r="AX152" s="1"/>
      <c r="AY152" s="1"/>
      <c r="AZ152" s="1"/>
      <c r="BA152" s="1">
        <v>2838</v>
      </c>
      <c r="BB152" s="1">
        <v>1313</v>
      </c>
      <c r="BC152" s="1">
        <v>2664</v>
      </c>
      <c r="BD152" s="1">
        <v>2939</v>
      </c>
      <c r="BE152" s="1">
        <v>16027</v>
      </c>
      <c r="BF152" s="1">
        <v>14373</v>
      </c>
      <c r="BG152" s="1">
        <v>7556</v>
      </c>
      <c r="BH152" s="1">
        <v>1200</v>
      </c>
      <c r="BI152" s="1">
        <v>45778</v>
      </c>
      <c r="BJ152" s="1"/>
      <c r="BK152" s="1"/>
      <c r="BL152" s="1"/>
      <c r="BM152" s="1">
        <v>3061</v>
      </c>
      <c r="BN152" s="1">
        <v>1222</v>
      </c>
      <c r="BO152" s="1">
        <v>2552</v>
      </c>
      <c r="BP152" s="1">
        <v>2895</v>
      </c>
      <c r="BQ152" s="1">
        <v>15817</v>
      </c>
      <c r="BR152" s="1">
        <v>13957</v>
      </c>
      <c r="BS152" s="1">
        <v>7517</v>
      </c>
      <c r="BT152" s="1">
        <v>1109</v>
      </c>
      <c r="BU152" s="1">
        <v>46096</v>
      </c>
      <c r="BV152" s="1"/>
      <c r="BW152" s="1"/>
      <c r="BX152" s="1"/>
      <c r="BY152" s="1">
        <v>837</v>
      </c>
      <c r="BZ152" s="1">
        <v>920</v>
      </c>
      <c r="CA152" s="1">
        <v>922</v>
      </c>
      <c r="CB152" s="1">
        <v>944</v>
      </c>
      <c r="CC152" s="1">
        <v>923</v>
      </c>
      <c r="CD152" s="1">
        <v>825</v>
      </c>
      <c r="CE152" s="1">
        <v>887</v>
      </c>
      <c r="CF152" s="1">
        <v>867</v>
      </c>
      <c r="CG152" s="1">
        <v>1022</v>
      </c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</row>
    <row r="153" spans="1:99" x14ac:dyDescent="0.2">
      <c r="A153" s="3" t="s">
        <v>200</v>
      </c>
      <c r="B153" s="1">
        <v>24908.082999999999</v>
      </c>
      <c r="C153" s="1">
        <v>36.700000000000003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>
        <v>2541</v>
      </c>
      <c r="AP153" s="1">
        <v>1313</v>
      </c>
      <c r="AQ153" s="1">
        <v>2537</v>
      </c>
      <c r="AR153" s="1">
        <v>2687</v>
      </c>
      <c r="AS153" s="1">
        <v>14350</v>
      </c>
      <c r="AT153" s="1">
        <v>11986</v>
      </c>
      <c r="AU153" s="1">
        <v>6997</v>
      </c>
      <c r="AV153" s="1">
        <v>1166</v>
      </c>
      <c r="AW153" s="1">
        <v>42161</v>
      </c>
      <c r="AX153" s="1"/>
      <c r="AY153" s="1"/>
      <c r="AZ153" s="1"/>
      <c r="BA153" s="1">
        <v>2794</v>
      </c>
      <c r="BB153" s="1">
        <v>1318</v>
      </c>
      <c r="BC153" s="1">
        <v>2640</v>
      </c>
      <c r="BD153" s="1">
        <v>2892</v>
      </c>
      <c r="BE153" s="1">
        <v>15687</v>
      </c>
      <c r="BF153" s="1">
        <v>14059</v>
      </c>
      <c r="BG153" s="1">
        <v>7432</v>
      </c>
      <c r="BH153" s="1">
        <v>1187</v>
      </c>
      <c r="BI153" s="1">
        <v>44874</v>
      </c>
      <c r="BJ153" s="1"/>
      <c r="BK153" s="1"/>
      <c r="BL153" s="1"/>
      <c r="BM153" s="1">
        <v>3018</v>
      </c>
      <c r="BN153" s="1">
        <v>1226</v>
      </c>
      <c r="BO153" s="1">
        <v>2530</v>
      </c>
      <c r="BP153" s="1">
        <v>2876</v>
      </c>
      <c r="BQ153" s="1">
        <v>15714</v>
      </c>
      <c r="BR153" s="1">
        <v>13814</v>
      </c>
      <c r="BS153" s="1">
        <v>7359</v>
      </c>
      <c r="BT153" s="1">
        <v>1100</v>
      </c>
      <c r="BU153" s="1">
        <v>45486</v>
      </c>
      <c r="BV153" s="1"/>
      <c r="BW153" s="1"/>
      <c r="BX153" s="1"/>
      <c r="BY153" s="1">
        <v>843</v>
      </c>
      <c r="BZ153" s="1">
        <v>914</v>
      </c>
      <c r="CA153" s="1">
        <v>920</v>
      </c>
      <c r="CB153" s="1">
        <v>943</v>
      </c>
      <c r="CC153" s="1">
        <v>949</v>
      </c>
      <c r="CD153" s="1">
        <v>827</v>
      </c>
      <c r="CE153" s="1">
        <v>877</v>
      </c>
      <c r="CF153" s="1">
        <v>849</v>
      </c>
      <c r="CG153" s="1">
        <v>1016</v>
      </c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</row>
    <row r="154" spans="1:99" x14ac:dyDescent="0.2">
      <c r="A154" s="3" t="s">
        <v>201</v>
      </c>
      <c r="B154" s="1">
        <v>25767.043000000001</v>
      </c>
      <c r="C154" s="1">
        <v>37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>
        <v>2564</v>
      </c>
      <c r="AP154" s="1">
        <v>1317</v>
      </c>
      <c r="AQ154" s="1">
        <v>2571</v>
      </c>
      <c r="AR154" s="1">
        <v>2657</v>
      </c>
      <c r="AS154" s="1">
        <v>14091</v>
      </c>
      <c r="AT154" s="1">
        <v>11767</v>
      </c>
      <c r="AU154" s="1">
        <v>6899</v>
      </c>
      <c r="AV154" s="1">
        <v>1167</v>
      </c>
      <c r="AW154" s="1">
        <v>41776</v>
      </c>
      <c r="AX154" s="1"/>
      <c r="AY154" s="1"/>
      <c r="AZ154" s="1"/>
      <c r="BA154" s="1">
        <v>2795</v>
      </c>
      <c r="BB154" s="1">
        <v>1309</v>
      </c>
      <c r="BC154" s="1">
        <v>2607</v>
      </c>
      <c r="BD154" s="1">
        <v>2838</v>
      </c>
      <c r="BE154" s="1">
        <v>15333</v>
      </c>
      <c r="BF154" s="1">
        <v>13970</v>
      </c>
      <c r="BG154" s="1">
        <v>7339</v>
      </c>
      <c r="BH154" s="1">
        <v>1189</v>
      </c>
      <c r="BI154" s="1">
        <v>44714</v>
      </c>
      <c r="BJ154" s="1"/>
      <c r="BK154" s="1"/>
      <c r="BL154" s="1"/>
      <c r="BM154" s="1">
        <v>3002</v>
      </c>
      <c r="BN154" s="1">
        <v>1219</v>
      </c>
      <c r="BO154" s="1">
        <v>2514</v>
      </c>
      <c r="BP154" s="1">
        <v>2846</v>
      </c>
      <c r="BQ154" s="1">
        <v>15464</v>
      </c>
      <c r="BR154" s="1">
        <v>13480</v>
      </c>
      <c r="BS154" s="1">
        <v>7215</v>
      </c>
      <c r="BT154" s="1">
        <v>1103</v>
      </c>
      <c r="BU154" s="1">
        <v>45111</v>
      </c>
      <c r="BV154" s="1"/>
      <c r="BW154" s="1"/>
      <c r="BX154" s="1"/>
      <c r="BY154" s="1">
        <v>833</v>
      </c>
      <c r="BZ154" s="1">
        <v>941</v>
      </c>
      <c r="CA154" s="1">
        <v>926</v>
      </c>
      <c r="CB154" s="1">
        <v>944</v>
      </c>
      <c r="CC154" s="1">
        <v>948</v>
      </c>
      <c r="CD154" s="1">
        <v>845</v>
      </c>
      <c r="CE154" s="1">
        <v>906</v>
      </c>
      <c r="CF154" s="1">
        <v>862</v>
      </c>
      <c r="CG154" s="1">
        <v>1029</v>
      </c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</row>
    <row r="155" spans="1:99" x14ac:dyDescent="0.2">
      <c r="A155" s="3" t="s">
        <v>202</v>
      </c>
      <c r="B155" s="1">
        <v>26625.675999999999</v>
      </c>
      <c r="C155" s="1">
        <v>37.6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>
        <v>2528</v>
      </c>
      <c r="AP155" s="1">
        <v>1340</v>
      </c>
      <c r="AQ155" s="1">
        <v>2498</v>
      </c>
      <c r="AR155" s="1">
        <v>2653</v>
      </c>
      <c r="AS155" s="1">
        <v>13831</v>
      </c>
      <c r="AT155" s="1">
        <v>11589</v>
      </c>
      <c r="AU155" s="1">
        <v>6853</v>
      </c>
      <c r="AV155" s="1">
        <v>1174</v>
      </c>
      <c r="AW155" s="1">
        <v>41449</v>
      </c>
      <c r="AX155" s="1"/>
      <c r="AY155" s="1"/>
      <c r="AZ155" s="1"/>
      <c r="BA155" s="1">
        <v>2762</v>
      </c>
      <c r="BB155" s="1">
        <v>1334</v>
      </c>
      <c r="BC155" s="1">
        <v>2576</v>
      </c>
      <c r="BD155" s="1">
        <v>2843</v>
      </c>
      <c r="BE155" s="1">
        <v>15292</v>
      </c>
      <c r="BF155" s="1">
        <v>13717</v>
      </c>
      <c r="BG155" s="1">
        <v>7255</v>
      </c>
      <c r="BH155" s="1">
        <v>1211</v>
      </c>
      <c r="BI155" s="1">
        <v>44378</v>
      </c>
      <c r="BJ155" s="1"/>
      <c r="BK155" s="1"/>
      <c r="BL155" s="1"/>
      <c r="BM155" s="1">
        <v>2930</v>
      </c>
      <c r="BN155" s="1">
        <v>1192</v>
      </c>
      <c r="BO155" s="1">
        <v>2498</v>
      </c>
      <c r="BP155" s="1">
        <v>2810</v>
      </c>
      <c r="BQ155" s="1">
        <v>15230</v>
      </c>
      <c r="BR155" s="1">
        <v>13405</v>
      </c>
      <c r="BS155" s="1">
        <v>7225</v>
      </c>
      <c r="BT155" s="1">
        <v>1116</v>
      </c>
      <c r="BU155" s="1">
        <v>44482</v>
      </c>
      <c r="BV155" s="1"/>
      <c r="BW155" s="1"/>
      <c r="BX155" s="1"/>
      <c r="BY155" s="1">
        <v>838</v>
      </c>
      <c r="BZ155" s="1">
        <v>913</v>
      </c>
      <c r="CA155" s="1">
        <v>927</v>
      </c>
      <c r="CB155" s="1">
        <v>948</v>
      </c>
      <c r="CC155" s="1">
        <v>953</v>
      </c>
      <c r="CD155" s="1">
        <v>840</v>
      </c>
      <c r="CE155" s="1">
        <v>887</v>
      </c>
      <c r="CF155" s="1">
        <v>858</v>
      </c>
      <c r="CG155" s="1">
        <v>1007</v>
      </c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</row>
    <row r="156" spans="1:99" x14ac:dyDescent="0.2">
      <c r="A156" s="3" t="s">
        <v>203</v>
      </c>
      <c r="B156" s="1">
        <v>27484.674999999999</v>
      </c>
      <c r="C156" s="1">
        <v>36.6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>
        <v>2518</v>
      </c>
      <c r="AP156" s="1">
        <v>1317</v>
      </c>
      <c r="AQ156" s="1">
        <v>2473</v>
      </c>
      <c r="AR156" s="1">
        <v>2645</v>
      </c>
      <c r="AS156" s="1">
        <v>13723</v>
      </c>
      <c r="AT156" s="1">
        <v>11505</v>
      </c>
      <c r="AU156" s="1">
        <v>6660</v>
      </c>
      <c r="AV156" s="1">
        <v>1168</v>
      </c>
      <c r="AW156" s="1">
        <v>41174</v>
      </c>
      <c r="AX156" s="1"/>
      <c r="AY156" s="1"/>
      <c r="AZ156" s="1"/>
      <c r="BA156" s="1">
        <v>2756</v>
      </c>
      <c r="BB156" s="1">
        <v>1286</v>
      </c>
      <c r="BC156" s="1">
        <v>2593</v>
      </c>
      <c r="BD156" s="1">
        <v>2819</v>
      </c>
      <c r="BE156" s="1">
        <v>14906</v>
      </c>
      <c r="BF156" s="1">
        <v>13493</v>
      </c>
      <c r="BG156" s="1">
        <v>7189</v>
      </c>
      <c r="BH156" s="1">
        <v>1233</v>
      </c>
      <c r="BI156" s="1">
        <v>43818</v>
      </c>
      <c r="BJ156" s="1"/>
      <c r="BK156" s="1"/>
      <c r="BL156" s="1"/>
      <c r="BM156" s="1">
        <v>2928</v>
      </c>
      <c r="BN156" s="1">
        <v>1224</v>
      </c>
      <c r="BO156" s="1">
        <v>2494</v>
      </c>
      <c r="BP156" s="1">
        <v>2786</v>
      </c>
      <c r="BQ156" s="1">
        <v>15103</v>
      </c>
      <c r="BR156" s="1">
        <v>13358</v>
      </c>
      <c r="BS156" s="1">
        <v>7096</v>
      </c>
      <c r="BT156" s="1">
        <v>1110</v>
      </c>
      <c r="BU156" s="1">
        <v>43982</v>
      </c>
      <c r="BV156" s="1"/>
      <c r="BW156" s="1"/>
      <c r="BX156" s="1"/>
      <c r="BY156" s="1">
        <v>845</v>
      </c>
      <c r="BZ156" s="1">
        <v>919</v>
      </c>
      <c r="CA156" s="1">
        <v>925</v>
      </c>
      <c r="CB156" s="1">
        <v>936</v>
      </c>
      <c r="CC156" s="1">
        <v>933</v>
      </c>
      <c r="CD156" s="1">
        <v>826</v>
      </c>
      <c r="CE156" s="1">
        <v>870</v>
      </c>
      <c r="CF156" s="1">
        <v>865</v>
      </c>
      <c r="CG156" s="1">
        <v>1023</v>
      </c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</row>
    <row r="157" spans="1:99" x14ac:dyDescent="0.2">
      <c r="A157" s="3" t="s">
        <v>204</v>
      </c>
      <c r="B157" s="1">
        <v>28343.287</v>
      </c>
      <c r="C157" s="1">
        <v>38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>
        <v>2474</v>
      </c>
      <c r="AP157" s="1">
        <v>1325</v>
      </c>
      <c r="AQ157" s="1">
        <v>2514</v>
      </c>
      <c r="AR157" s="1">
        <v>2597</v>
      </c>
      <c r="AS157" s="1">
        <v>13412</v>
      </c>
      <c r="AT157" s="1">
        <v>11371</v>
      </c>
      <c r="AU157" s="1">
        <v>6557</v>
      </c>
      <c r="AV157" s="1">
        <v>1189</v>
      </c>
      <c r="AW157" s="1">
        <v>40318</v>
      </c>
      <c r="AX157" s="1"/>
      <c r="AY157" s="1"/>
      <c r="AZ157" s="1"/>
      <c r="BA157" s="1">
        <v>2684</v>
      </c>
      <c r="BB157" s="1">
        <v>1302</v>
      </c>
      <c r="BC157" s="1">
        <v>2579</v>
      </c>
      <c r="BD157" s="1">
        <v>2771</v>
      </c>
      <c r="BE157" s="1">
        <v>14908</v>
      </c>
      <c r="BF157" s="1">
        <v>13326</v>
      </c>
      <c r="BG157" s="1">
        <v>7098</v>
      </c>
      <c r="BH157" s="1">
        <v>1230</v>
      </c>
      <c r="BI157" s="1">
        <v>43293</v>
      </c>
      <c r="BJ157" s="1"/>
      <c r="BK157" s="1"/>
      <c r="BL157" s="1"/>
      <c r="BM157" s="1">
        <v>2936</v>
      </c>
      <c r="BN157" s="1">
        <v>1194</v>
      </c>
      <c r="BO157" s="1">
        <v>2465</v>
      </c>
      <c r="BP157" s="1">
        <v>2803</v>
      </c>
      <c r="BQ157" s="1">
        <v>14768</v>
      </c>
      <c r="BR157" s="1">
        <v>13107</v>
      </c>
      <c r="BS157" s="1">
        <v>7043</v>
      </c>
      <c r="BT157" s="1">
        <v>1111</v>
      </c>
      <c r="BU157" s="1">
        <v>43750</v>
      </c>
      <c r="BV157" s="1"/>
      <c r="BW157" s="1"/>
      <c r="BX157" s="1"/>
      <c r="BY157" s="1">
        <v>852</v>
      </c>
      <c r="BZ157" s="1">
        <v>925</v>
      </c>
      <c r="CA157" s="1">
        <v>925</v>
      </c>
      <c r="CB157" s="1">
        <v>951</v>
      </c>
      <c r="CC157" s="1">
        <v>946</v>
      </c>
      <c r="CD157" s="1">
        <v>827</v>
      </c>
      <c r="CE157" s="1">
        <v>890</v>
      </c>
      <c r="CF157" s="1">
        <v>876</v>
      </c>
      <c r="CG157" s="1">
        <v>1016</v>
      </c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</row>
    <row r="158" spans="1:99" x14ac:dyDescent="0.2">
      <c r="A158" s="3" t="s">
        <v>205</v>
      </c>
      <c r="B158" s="1">
        <v>29201.879000000001</v>
      </c>
      <c r="C158" s="1">
        <v>37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>
        <v>2458</v>
      </c>
      <c r="AP158" s="1">
        <v>1317</v>
      </c>
      <c r="AQ158" s="1">
        <v>2447</v>
      </c>
      <c r="AR158" s="1">
        <v>2565</v>
      </c>
      <c r="AS158" s="1">
        <v>13168</v>
      </c>
      <c r="AT158" s="1">
        <v>11082</v>
      </c>
      <c r="AU158" s="1">
        <v>6519</v>
      </c>
      <c r="AV158" s="1">
        <v>1161</v>
      </c>
      <c r="AW158" s="1">
        <v>39688</v>
      </c>
      <c r="AX158" s="1"/>
      <c r="AY158" s="1"/>
      <c r="AZ158" s="1"/>
      <c r="BA158" s="1">
        <v>2664</v>
      </c>
      <c r="BB158" s="1">
        <v>1326</v>
      </c>
      <c r="BC158" s="1">
        <v>2519</v>
      </c>
      <c r="BD158" s="1">
        <v>2747</v>
      </c>
      <c r="BE158" s="1">
        <v>14531</v>
      </c>
      <c r="BF158" s="1">
        <v>12924</v>
      </c>
      <c r="BG158" s="1">
        <v>6899</v>
      </c>
      <c r="BH158" s="1">
        <v>1226</v>
      </c>
      <c r="BI158" s="1">
        <v>42423</v>
      </c>
      <c r="BJ158" s="1"/>
      <c r="BK158" s="1"/>
      <c r="BL158" s="1"/>
      <c r="BM158" s="1">
        <v>2930</v>
      </c>
      <c r="BN158" s="1">
        <v>1222</v>
      </c>
      <c r="BO158" s="1">
        <v>2424</v>
      </c>
      <c r="BP158" s="1">
        <v>2753</v>
      </c>
      <c r="BQ158" s="1">
        <v>14570</v>
      </c>
      <c r="BR158" s="1">
        <v>12861</v>
      </c>
      <c r="BS158" s="1">
        <v>6917</v>
      </c>
      <c r="BT158" s="1">
        <v>1098</v>
      </c>
      <c r="BU158" s="1">
        <v>43413</v>
      </c>
      <c r="BV158" s="1"/>
      <c r="BW158" s="1"/>
      <c r="BX158" s="1"/>
      <c r="BY158" s="1">
        <v>830</v>
      </c>
      <c r="BZ158" s="1">
        <v>929</v>
      </c>
      <c r="CA158" s="1">
        <v>913</v>
      </c>
      <c r="CB158" s="1">
        <v>931</v>
      </c>
      <c r="CC158" s="1">
        <v>931</v>
      </c>
      <c r="CD158" s="1">
        <v>833</v>
      </c>
      <c r="CE158" s="1">
        <v>874</v>
      </c>
      <c r="CF158" s="1">
        <v>861</v>
      </c>
      <c r="CG158" s="1">
        <v>993</v>
      </c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</row>
    <row r="159" spans="1:99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99" x14ac:dyDescent="0.2">
      <c r="A160" s="1" t="s">
        <v>54</v>
      </c>
      <c r="B160" s="1"/>
      <c r="C160" s="1"/>
      <c r="D160" s="1"/>
      <c r="E160" s="1" t="s">
        <v>206</v>
      </c>
      <c r="F160" s="1"/>
      <c r="G160" s="1"/>
      <c r="H160" s="1"/>
      <c r="I160" s="1"/>
      <c r="J160" s="1"/>
      <c r="K160" s="1"/>
    </row>
    <row r="161" spans="1:1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AF802-AE6B-DB49-88F9-2C5C0FF62DEF}">
  <dimension ref="A1:M9"/>
  <sheetViews>
    <sheetView tabSelected="1" workbookViewId="0">
      <selection activeCell="E13" sqref="E13"/>
    </sheetView>
  </sheetViews>
  <sheetFormatPr baseColWidth="10" defaultRowHeight="15" x14ac:dyDescent="0.2"/>
  <sheetData>
    <row r="1" spans="1:13" x14ac:dyDescent="0.2">
      <c r="A1" s="34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6">
        <v>12</v>
      </c>
    </row>
    <row r="2" spans="1:13" ht="16" thickBot="1" x14ac:dyDescent="0.25">
      <c r="A2" s="37" t="s">
        <v>247</v>
      </c>
      <c r="B2" s="5"/>
      <c r="C2" s="6"/>
      <c r="D2" s="6"/>
      <c r="E2" s="6"/>
      <c r="F2" s="6"/>
      <c r="G2" s="6"/>
      <c r="H2" s="6"/>
      <c r="I2" s="6"/>
      <c r="J2" s="6"/>
      <c r="K2" s="6"/>
      <c r="L2" s="5"/>
      <c r="M2" s="7"/>
    </row>
    <row r="3" spans="1:13" ht="16" thickBot="1" x14ac:dyDescent="0.25">
      <c r="A3" s="37" t="s">
        <v>248</v>
      </c>
      <c r="B3" s="8"/>
      <c r="C3" s="9" t="s">
        <v>207</v>
      </c>
      <c r="D3" s="10" t="s">
        <v>208</v>
      </c>
      <c r="E3" s="10" t="s">
        <v>209</v>
      </c>
      <c r="F3" s="10" t="s">
        <v>210</v>
      </c>
      <c r="G3" s="10" t="s">
        <v>211</v>
      </c>
      <c r="H3" s="10" t="s">
        <v>212</v>
      </c>
      <c r="I3" s="10" t="s">
        <v>213</v>
      </c>
      <c r="J3" s="10" t="s">
        <v>214</v>
      </c>
      <c r="K3" s="11" t="s">
        <v>215</v>
      </c>
      <c r="L3" s="12"/>
      <c r="M3" s="13"/>
    </row>
    <row r="4" spans="1:13" ht="16" thickBot="1" x14ac:dyDescent="0.25">
      <c r="A4" s="37" t="s">
        <v>249</v>
      </c>
      <c r="B4" s="5"/>
      <c r="C4" s="14"/>
      <c r="D4" s="14"/>
      <c r="E4" s="14"/>
      <c r="F4" s="14"/>
      <c r="G4" s="14"/>
      <c r="H4" s="14"/>
      <c r="I4" s="14"/>
      <c r="J4" s="14"/>
      <c r="K4" s="14"/>
      <c r="L4" s="5"/>
      <c r="M4" s="7"/>
    </row>
    <row r="5" spans="1:13" ht="16" thickBot="1" x14ac:dyDescent="0.25">
      <c r="A5" s="37" t="s">
        <v>250</v>
      </c>
      <c r="B5" s="8"/>
      <c r="C5" s="15" t="s">
        <v>207</v>
      </c>
      <c r="D5" s="16" t="s">
        <v>208</v>
      </c>
      <c r="E5" s="16" t="s">
        <v>209</v>
      </c>
      <c r="F5" s="16" t="s">
        <v>210</v>
      </c>
      <c r="G5" s="16" t="s">
        <v>211</v>
      </c>
      <c r="H5" s="16" t="s">
        <v>212</v>
      </c>
      <c r="I5" s="16" t="s">
        <v>213</v>
      </c>
      <c r="J5" s="17" t="s">
        <v>214</v>
      </c>
      <c r="K5" s="18" t="s">
        <v>215</v>
      </c>
      <c r="L5" s="12"/>
      <c r="M5" s="13"/>
    </row>
    <row r="6" spans="1:13" ht="16" thickBot="1" x14ac:dyDescent="0.25">
      <c r="A6" s="37" t="s">
        <v>251</v>
      </c>
      <c r="B6" s="8"/>
      <c r="C6" s="19" t="s">
        <v>207</v>
      </c>
      <c r="D6" s="20" t="s">
        <v>208</v>
      </c>
      <c r="E6" s="20" t="s">
        <v>209</v>
      </c>
      <c r="F6" s="20" t="s">
        <v>210</v>
      </c>
      <c r="G6" s="20" t="s">
        <v>211</v>
      </c>
      <c r="H6" s="20" t="s">
        <v>212</v>
      </c>
      <c r="I6" s="20" t="s">
        <v>213</v>
      </c>
      <c r="J6" s="17" t="s">
        <v>214</v>
      </c>
      <c r="K6" s="18" t="s">
        <v>215</v>
      </c>
      <c r="L6" s="12"/>
      <c r="M6" s="13"/>
    </row>
    <row r="7" spans="1:13" ht="16" thickBot="1" x14ac:dyDescent="0.25">
      <c r="A7" s="37" t="s">
        <v>252</v>
      </c>
      <c r="B7" s="8"/>
      <c r="C7" s="21" t="s">
        <v>207</v>
      </c>
      <c r="D7" s="22" t="s">
        <v>208</v>
      </c>
      <c r="E7" s="22" t="s">
        <v>209</v>
      </c>
      <c r="F7" s="22" t="s">
        <v>210</v>
      </c>
      <c r="G7" s="22" t="s">
        <v>211</v>
      </c>
      <c r="H7" s="22" t="s">
        <v>212</v>
      </c>
      <c r="I7" s="22" t="s">
        <v>213</v>
      </c>
      <c r="J7" s="17" t="s">
        <v>214</v>
      </c>
      <c r="K7" s="18" t="s">
        <v>215</v>
      </c>
      <c r="L7" s="12"/>
      <c r="M7" s="13"/>
    </row>
    <row r="8" spans="1:13" x14ac:dyDescent="0.2">
      <c r="A8" s="37" t="s">
        <v>253</v>
      </c>
      <c r="B8" s="5"/>
      <c r="C8" s="23"/>
      <c r="D8" s="23"/>
      <c r="E8" s="23"/>
      <c r="F8" s="23"/>
      <c r="G8" s="23"/>
      <c r="H8" s="23"/>
      <c r="I8" s="23"/>
      <c r="J8" s="23"/>
      <c r="K8" s="23"/>
      <c r="L8" s="5"/>
      <c r="M8" s="13"/>
    </row>
    <row r="9" spans="1:13" ht="16" thickBot="1" x14ac:dyDescent="0.25">
      <c r="A9" s="38" t="s">
        <v>254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6C803-A5DF-7E4C-9FB3-7283E90135DF}">
  <dimension ref="B1:DE68"/>
  <sheetViews>
    <sheetView topLeftCell="A27" zoomScale="186" zoomScaleNormal="186" workbookViewId="0">
      <selection activeCell="R66" sqref="R66"/>
    </sheetView>
  </sheetViews>
  <sheetFormatPr baseColWidth="10" defaultRowHeight="15" x14ac:dyDescent="0.2"/>
  <sheetData>
    <row r="1" spans="2:109" ht="16" thickBot="1" x14ac:dyDescent="0.25"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</row>
    <row r="2" spans="2:109" ht="16" thickBot="1" x14ac:dyDescent="0.25">
      <c r="C2" s="24" t="s">
        <v>217</v>
      </c>
      <c r="D2" s="28" t="s">
        <v>216</v>
      </c>
      <c r="E2" s="28" t="s">
        <v>134</v>
      </c>
      <c r="F2" s="28" t="s">
        <v>135</v>
      </c>
      <c r="G2" s="25" t="s">
        <v>218</v>
      </c>
      <c r="H2" s="28" t="s">
        <v>133</v>
      </c>
      <c r="I2" s="28" t="s">
        <v>134</v>
      </c>
      <c r="J2" s="28" t="s">
        <v>135</v>
      </c>
      <c r="K2" s="25" t="s">
        <v>219</v>
      </c>
      <c r="L2" s="28" t="s">
        <v>133</v>
      </c>
      <c r="M2" s="28" t="s">
        <v>134</v>
      </c>
      <c r="N2" s="28" t="s">
        <v>135</v>
      </c>
      <c r="O2" s="25" t="s">
        <v>220</v>
      </c>
      <c r="P2" s="28" t="s">
        <v>133</v>
      </c>
      <c r="Q2" s="28" t="s">
        <v>134</v>
      </c>
      <c r="R2" s="28" t="s">
        <v>135</v>
      </c>
      <c r="S2" s="25" t="s">
        <v>221</v>
      </c>
      <c r="T2" s="28" t="s">
        <v>133</v>
      </c>
      <c r="U2" s="28" t="s">
        <v>134</v>
      </c>
      <c r="V2" s="28" t="s">
        <v>135</v>
      </c>
      <c r="W2" s="25" t="s">
        <v>222</v>
      </c>
      <c r="X2" s="28" t="s">
        <v>133</v>
      </c>
      <c r="Y2" s="28" t="s">
        <v>134</v>
      </c>
      <c r="Z2" s="28" t="s">
        <v>135</v>
      </c>
      <c r="AA2" s="25" t="s">
        <v>223</v>
      </c>
      <c r="AB2" s="28" t="s">
        <v>133</v>
      </c>
      <c r="AC2" s="28" t="s">
        <v>134</v>
      </c>
      <c r="AD2" s="28" t="s">
        <v>135</v>
      </c>
      <c r="AE2" s="25" t="s">
        <v>224</v>
      </c>
      <c r="AF2" s="28" t="s">
        <v>133</v>
      </c>
      <c r="AG2" s="28" t="s">
        <v>134</v>
      </c>
      <c r="AH2" s="28" t="s">
        <v>135</v>
      </c>
      <c r="AI2" s="26" t="s">
        <v>225</v>
      </c>
      <c r="AJ2" s="28" t="s">
        <v>133</v>
      </c>
      <c r="AK2" s="28" t="s">
        <v>134</v>
      </c>
      <c r="AL2" s="28" t="s">
        <v>135</v>
      </c>
      <c r="AM2" s="29" t="s">
        <v>226</v>
      </c>
      <c r="AN2" s="30" t="s">
        <v>133</v>
      </c>
      <c r="AO2" s="30" t="s">
        <v>134</v>
      </c>
      <c r="AP2" s="30" t="s">
        <v>135</v>
      </c>
      <c r="AQ2" s="31" t="s">
        <v>227</v>
      </c>
      <c r="AR2" s="30" t="s">
        <v>133</v>
      </c>
      <c r="AS2" s="30" t="s">
        <v>134</v>
      </c>
      <c r="AT2" s="30" t="s">
        <v>135</v>
      </c>
      <c r="AU2" s="31" t="s">
        <v>228</v>
      </c>
      <c r="AV2" s="30" t="s">
        <v>133</v>
      </c>
      <c r="AW2" s="30" t="s">
        <v>134</v>
      </c>
      <c r="AX2" s="30" t="s">
        <v>135</v>
      </c>
      <c r="AY2" s="31" t="s">
        <v>229</v>
      </c>
      <c r="AZ2" s="30" t="s">
        <v>133</v>
      </c>
      <c r="BA2" s="30" t="s">
        <v>134</v>
      </c>
      <c r="BB2" s="30" t="s">
        <v>135</v>
      </c>
      <c r="BC2" s="31" t="s">
        <v>230</v>
      </c>
      <c r="BD2" s="30" t="s">
        <v>133</v>
      </c>
      <c r="BE2" s="30" t="s">
        <v>134</v>
      </c>
      <c r="BF2" s="30" t="s">
        <v>135</v>
      </c>
      <c r="BG2" s="31" t="s">
        <v>231</v>
      </c>
      <c r="BH2" s="30" t="s">
        <v>133</v>
      </c>
      <c r="BI2" s="30" t="s">
        <v>134</v>
      </c>
      <c r="BJ2" s="30" t="s">
        <v>135</v>
      </c>
      <c r="BK2" s="31" t="s">
        <v>232</v>
      </c>
      <c r="BL2" s="30" t="s">
        <v>133</v>
      </c>
      <c r="BM2" s="30" t="s">
        <v>134</v>
      </c>
      <c r="BN2" s="30" t="s">
        <v>135</v>
      </c>
      <c r="BO2" s="31" t="s">
        <v>233</v>
      </c>
      <c r="BP2" s="30" t="s">
        <v>133</v>
      </c>
      <c r="BQ2" s="30" t="s">
        <v>134</v>
      </c>
      <c r="BR2" s="30" t="s">
        <v>135</v>
      </c>
      <c r="BS2" s="32" t="s">
        <v>234</v>
      </c>
      <c r="BT2" s="30" t="s">
        <v>145</v>
      </c>
      <c r="BU2" s="30" t="s">
        <v>146</v>
      </c>
      <c r="BV2" s="28" t="s">
        <v>147</v>
      </c>
      <c r="BW2" s="24" t="s">
        <v>235</v>
      </c>
      <c r="BX2" s="28" t="s">
        <v>133</v>
      </c>
      <c r="BY2" s="28" t="s">
        <v>134</v>
      </c>
      <c r="BZ2" s="28" t="s">
        <v>135</v>
      </c>
      <c r="CA2" s="25" t="s">
        <v>236</v>
      </c>
      <c r="CB2" s="28" t="s">
        <v>133</v>
      </c>
      <c r="CC2" s="28" t="s">
        <v>134</v>
      </c>
      <c r="CD2" s="28" t="s">
        <v>135</v>
      </c>
      <c r="CE2" s="25" t="s">
        <v>237</v>
      </c>
      <c r="CF2" s="28" t="s">
        <v>133</v>
      </c>
      <c r="CG2" s="28" t="s">
        <v>134</v>
      </c>
      <c r="CH2" s="28" t="s">
        <v>135</v>
      </c>
      <c r="CI2" s="25" t="s">
        <v>238</v>
      </c>
      <c r="CJ2" s="28" t="s">
        <v>133</v>
      </c>
      <c r="CK2" s="28" t="s">
        <v>134</v>
      </c>
      <c r="CL2" s="28" t="s">
        <v>135</v>
      </c>
      <c r="CM2" s="25" t="s">
        <v>239</v>
      </c>
      <c r="CN2" s="28" t="s">
        <v>133</v>
      </c>
      <c r="CO2" s="28" t="s">
        <v>134</v>
      </c>
      <c r="CP2" s="28" t="s">
        <v>135</v>
      </c>
      <c r="CQ2" s="25" t="s">
        <v>240</v>
      </c>
      <c r="CR2" s="28" t="s">
        <v>133</v>
      </c>
      <c r="CS2" s="28" t="s">
        <v>134</v>
      </c>
      <c r="CT2" s="28" t="s">
        <v>135</v>
      </c>
      <c r="CU2" s="25" t="s">
        <v>241</v>
      </c>
      <c r="CV2" s="28" t="s">
        <v>133</v>
      </c>
      <c r="CW2" s="28" t="s">
        <v>134</v>
      </c>
      <c r="CX2" s="28" t="s">
        <v>135</v>
      </c>
      <c r="CY2" s="25" t="s">
        <v>242</v>
      </c>
      <c r="CZ2" s="28" t="s">
        <v>133</v>
      </c>
      <c r="DA2" s="28" t="s">
        <v>134</v>
      </c>
      <c r="DB2" s="28" t="s">
        <v>135</v>
      </c>
      <c r="DC2" s="26" t="s">
        <v>243</v>
      </c>
      <c r="DD2" s="28" t="s">
        <v>157</v>
      </c>
    </row>
    <row r="3" spans="2:109" x14ac:dyDescent="0.2">
      <c r="B3">
        <v>0</v>
      </c>
      <c r="C3" s="1">
        <v>0.1066</v>
      </c>
      <c r="D3" s="1">
        <f t="shared" ref="D3:D37" si="0">C3-$E$42</f>
        <v>9.6015873015872083E-3</v>
      </c>
      <c r="E3" s="1">
        <f>LN(D3)</f>
        <v>-4.6458268502608107</v>
      </c>
      <c r="F3" s="1"/>
      <c r="G3" s="1">
        <v>0.10539999999999999</v>
      </c>
      <c r="H3" s="1">
        <f t="shared" ref="H3:H37" si="1">G3-$E$42</f>
        <v>8.4015873015872017E-3</v>
      </c>
      <c r="I3" s="1">
        <f>LN(H3)</f>
        <v>-4.7793346265097396</v>
      </c>
      <c r="J3" s="1"/>
      <c r="K3" s="1">
        <v>0.1042</v>
      </c>
      <c r="L3" s="1">
        <f t="shared" ref="L3:L37" si="2">K3-$E$42</f>
        <v>7.2015873015872089E-3</v>
      </c>
      <c r="M3" s="1">
        <f>LN(L3)</f>
        <v>-4.9334538187037644</v>
      </c>
      <c r="N3" s="1"/>
      <c r="O3" s="1">
        <v>0.10249999999999999</v>
      </c>
      <c r="P3" s="1">
        <f t="shared" ref="P3:P37" si="3">O3-$E$42</f>
        <v>5.5015873015872019E-3</v>
      </c>
      <c r="Q3" s="1">
        <f>LN(P3)</f>
        <v>-5.2027186280921818</v>
      </c>
      <c r="R3" s="1"/>
      <c r="S3" s="1">
        <v>0.10440000000000001</v>
      </c>
      <c r="T3" s="1">
        <f t="shared" ref="T3:T37" si="4">S3-$E$42</f>
        <v>7.4015873015872147E-3</v>
      </c>
      <c r="U3" s="1">
        <f>LN(T3)</f>
        <v>-4.9060608015594065</v>
      </c>
      <c r="V3" s="1"/>
      <c r="W3" s="1">
        <v>0.1047</v>
      </c>
      <c r="X3" s="1">
        <f t="shared" ref="X3:X37" si="5">W3-$E$42</f>
        <v>7.7015873015872094E-3</v>
      </c>
      <c r="Y3" s="1">
        <f>LN(X3)</f>
        <v>-4.8663288283037867</v>
      </c>
      <c r="Z3" s="1"/>
      <c r="AA3" s="1">
        <v>9.9400000000000002E-2</v>
      </c>
      <c r="AB3" s="1">
        <f t="shared" ref="AB3:AB37" si="6">AA3-$E$42</f>
        <v>2.4015873015872102E-3</v>
      </c>
      <c r="AC3" s="1">
        <f>LN(AB3)</f>
        <v>-6.0316253845793977</v>
      </c>
      <c r="AD3" s="1"/>
      <c r="AE3" s="1">
        <v>0.1011</v>
      </c>
      <c r="AF3" s="1">
        <f t="shared" ref="AF3:AF37" si="7">AE3-$E$42</f>
        <v>4.1015873015872034E-3</v>
      </c>
      <c r="AG3" s="1">
        <f>LN(AF3)</f>
        <v>-5.4963812334652467</v>
      </c>
      <c r="AH3" s="1"/>
      <c r="AI3" s="1">
        <v>0.1147</v>
      </c>
      <c r="AJ3" s="1">
        <f t="shared" ref="AJ3:AJ37" si="8">AI3-$E$42</f>
        <v>1.7701587301587204E-2</v>
      </c>
      <c r="AK3" s="1">
        <f>LN(AJ3)</f>
        <v>-4.0341009653674158</v>
      </c>
      <c r="AL3" s="1"/>
      <c r="AM3" s="1">
        <v>0.1062</v>
      </c>
      <c r="AN3" s="1">
        <f t="shared" ref="AN3:AN37" si="9">AM3-$E$42</f>
        <v>9.2015873015872107E-3</v>
      </c>
      <c r="AO3" s="1">
        <f>LN(AN3)</f>
        <v>-4.6883792770279928</v>
      </c>
      <c r="AP3" s="1"/>
      <c r="AQ3" s="1">
        <v>0.1051</v>
      </c>
      <c r="AR3" s="1">
        <f t="shared" ref="AR3:AR37" si="10">AQ3-$E$42</f>
        <v>8.101587301587207E-3</v>
      </c>
      <c r="AS3" s="1">
        <f>LN(AR3)</f>
        <v>-4.8156952733431009</v>
      </c>
      <c r="AT3" s="1"/>
      <c r="AU3" s="1">
        <v>0.11070000000000001</v>
      </c>
      <c r="AV3" s="1">
        <f t="shared" ref="AV3:AV37" si="11">AU3-$E$42</f>
        <v>1.3701587301587215E-2</v>
      </c>
      <c r="AW3" s="1">
        <f>LN(AV3)</f>
        <v>-4.2902435914297508</v>
      </c>
      <c r="AX3" s="1"/>
      <c r="AY3" s="1">
        <v>0.1137</v>
      </c>
      <c r="AZ3" s="1">
        <f t="shared" ref="AZ3:AZ37" si="12">AY3-$E$42</f>
        <v>1.6701587301587204E-2</v>
      </c>
      <c r="BA3" s="1">
        <f>LN(AZ3)</f>
        <v>-4.0922515160769688</v>
      </c>
      <c r="BB3" s="1"/>
      <c r="BC3" s="1">
        <v>0.11119999999999999</v>
      </c>
      <c r="BD3" s="1">
        <f t="shared" ref="BD3:BD37" si="13">BC3-$E$42</f>
        <v>1.4201587301587201E-2</v>
      </c>
      <c r="BE3" s="1">
        <f>LN(BD3)</f>
        <v>-4.2544015388201268</v>
      </c>
      <c r="BF3" s="1"/>
      <c r="BG3" s="1">
        <v>0.1111</v>
      </c>
      <c r="BH3" s="1">
        <f t="shared" ref="BH3:BH37" si="14">BG3-$E$42</f>
        <v>1.4101587301587212E-2</v>
      </c>
      <c r="BI3" s="1">
        <f>LN(BG3)</f>
        <v>-2.1973245823365528</v>
      </c>
      <c r="BJ3" s="1"/>
      <c r="BK3" s="1">
        <v>0.10340000000000001</v>
      </c>
      <c r="BL3" s="1">
        <f t="shared" ref="BL3:BL37" si="15">BK3-$E$42</f>
        <v>6.4015873015872138E-3</v>
      </c>
      <c r="BM3" s="1">
        <f>LN(BL3)</f>
        <v>-5.0512093034943613</v>
      </c>
      <c r="BN3" s="1"/>
      <c r="BO3" s="1">
        <v>0.1055</v>
      </c>
      <c r="BP3" s="1">
        <f t="shared" ref="BP3:BP37" si="16">BO3-$E$42</f>
        <v>8.5015873015872045E-3</v>
      </c>
      <c r="BQ3" s="1">
        <f>LN(BP3)</f>
        <v>-4.7675023915566639</v>
      </c>
      <c r="BR3" s="1"/>
      <c r="BS3" s="1">
        <v>0.10979999999999999</v>
      </c>
      <c r="BT3" s="1">
        <f t="shared" ref="BT3:BT37" si="17">BS3-$E$42</f>
        <v>1.2801587301587203E-2</v>
      </c>
      <c r="BU3" s="1">
        <f>LN(BT3)</f>
        <v>-4.3581861078084136</v>
      </c>
      <c r="BV3" s="1"/>
      <c r="BW3" s="1">
        <v>0.10680000000000001</v>
      </c>
      <c r="BX3" s="1">
        <f t="shared" ref="BX3:BX37" si="18">BW3-$E$42</f>
        <v>9.801587301587214E-3</v>
      </c>
      <c r="BY3" s="1">
        <f>LN(BX3)</f>
        <v>-4.6252109368715466</v>
      </c>
      <c r="BZ3" s="1"/>
      <c r="CA3" s="1">
        <v>0.10100000000000001</v>
      </c>
      <c r="CB3" s="1">
        <f t="shared" ref="CB3:CB37" si="19">CA3-$E$42</f>
        <v>4.0015873015872144E-3</v>
      </c>
      <c r="CC3" s="1">
        <f>LN(CB3)</f>
        <v>-5.521064171179817</v>
      </c>
      <c r="CD3" s="1"/>
      <c r="CE3" s="1">
        <v>0.10879999999999999</v>
      </c>
      <c r="CF3" s="1">
        <f t="shared" ref="CF3:CF37" si="20">CE3-$E$42</f>
        <v>1.1801587301587202E-2</v>
      </c>
      <c r="CG3" s="1">
        <f>LN(CF3)</f>
        <v>-4.4395212394734687</v>
      </c>
      <c r="CH3" s="1"/>
      <c r="CI3" s="1">
        <v>0.10780000000000001</v>
      </c>
      <c r="CJ3" s="1">
        <f t="shared" ref="CJ3:CJ37" si="21">CI3-$E$42</f>
        <v>1.0801587301587215E-2</v>
      </c>
      <c r="CK3" s="1">
        <f>LN(CJ3)</f>
        <v>-4.5280621832821568</v>
      </c>
      <c r="CL3" s="1"/>
      <c r="CM3" s="1">
        <v>0.10879999999999999</v>
      </c>
      <c r="CN3" s="1">
        <f t="shared" ref="CN3:CN37" si="22">CM3-$E$42</f>
        <v>1.1801587301587202E-2</v>
      </c>
      <c r="CO3" s="1">
        <f>LN(CN3)</f>
        <v>-4.4395212394734687</v>
      </c>
      <c r="CP3" s="1"/>
      <c r="CQ3" s="1">
        <v>0.11070000000000001</v>
      </c>
      <c r="CR3" s="1">
        <f t="shared" ref="CR3:CR37" si="23">CQ3-$E$42</f>
        <v>1.3701587301587215E-2</v>
      </c>
      <c r="CS3" s="1">
        <f>LN(CR3)</f>
        <v>-4.2902435914297508</v>
      </c>
      <c r="CT3" s="1"/>
      <c r="CU3" s="1">
        <v>0.1047</v>
      </c>
      <c r="CV3" s="1">
        <f t="shared" ref="CV3:CV37" si="24">CU3-$E$42</f>
        <v>7.7015873015872094E-3</v>
      </c>
      <c r="CW3" s="1">
        <f>LN(CV3)</f>
        <v>-4.8663288283037867</v>
      </c>
      <c r="CX3" s="1"/>
      <c r="CY3" s="1">
        <v>0.1057</v>
      </c>
      <c r="CZ3" s="1">
        <f t="shared" ref="CZ3:CZ37" si="25">CY3-$E$42</f>
        <v>8.7015873015872103E-3</v>
      </c>
      <c r="DA3" s="1">
        <f>LN(CZ3)</f>
        <v>-4.7442498215049946</v>
      </c>
      <c r="DB3" s="1"/>
      <c r="DC3" s="1">
        <v>0.1075</v>
      </c>
      <c r="DD3" s="1">
        <f t="shared" ref="DD3:DD37" si="26">DC3-$E$42</f>
        <v>1.0501587301587206E-2</v>
      </c>
      <c r="DE3">
        <f>LN(DD3)</f>
        <v>-4.5562288616641968</v>
      </c>
    </row>
    <row r="4" spans="2:109" x14ac:dyDescent="0.2">
      <c r="B4">
        <v>0.23868861111111112</v>
      </c>
      <c r="C4" s="1">
        <v>0.1027</v>
      </c>
      <c r="D4" s="1">
        <f t="shared" si="0"/>
        <v>5.7015873015872076E-3</v>
      </c>
      <c r="E4" s="1">
        <f t="shared" ref="E4:E37" si="27">LN(D4)</f>
        <v>-5.1670106689456414</v>
      </c>
      <c r="F4" s="1"/>
      <c r="G4" s="1">
        <v>0.1026</v>
      </c>
      <c r="H4" s="1">
        <f t="shared" si="1"/>
        <v>5.6015873015872047E-3</v>
      </c>
      <c r="I4" s="1">
        <f t="shared" ref="I4:I37" si="28">LN(H4)</f>
        <v>-5.1847052746924627</v>
      </c>
      <c r="J4" s="1"/>
      <c r="K4" s="1">
        <v>0.1023</v>
      </c>
      <c r="L4" s="1">
        <f t="shared" si="2"/>
        <v>5.30158730158721E-3</v>
      </c>
      <c r="M4" s="1">
        <f t="shared" ref="M4:M37" si="29">LN(L4)</f>
        <v>-5.2397490123969863</v>
      </c>
      <c r="N4" s="1"/>
      <c r="O4" s="1">
        <v>0.1027</v>
      </c>
      <c r="P4" s="1">
        <f t="shared" si="3"/>
        <v>5.7015873015872076E-3</v>
      </c>
      <c r="Q4" s="1">
        <f t="shared" ref="Q4:Q37" si="30">LN(P4)</f>
        <v>-5.1670106689456414</v>
      </c>
      <c r="R4" s="1"/>
      <c r="S4" s="1">
        <v>0.1021</v>
      </c>
      <c r="T4" s="1">
        <f t="shared" si="4"/>
        <v>5.1015873015872043E-3</v>
      </c>
      <c r="U4" s="1">
        <f t="shared" ref="U4:U37" si="31">LN(T4)</f>
        <v>-5.278203552070277</v>
      </c>
      <c r="V4" s="1"/>
      <c r="W4" s="1">
        <v>0.10299999999999999</v>
      </c>
      <c r="X4" s="1">
        <f t="shared" si="5"/>
        <v>6.0015873015872023E-3</v>
      </c>
      <c r="Y4" s="1">
        <f t="shared" ref="Y4:Y37" si="32">LN(X4)</f>
        <v>-5.1157312944767988</v>
      </c>
      <c r="Z4" s="1"/>
      <c r="AA4" s="1">
        <v>0.1019</v>
      </c>
      <c r="AB4" s="1">
        <f t="shared" si="6"/>
        <v>4.9015873015872125E-3</v>
      </c>
      <c r="AC4" s="1">
        <f t="shared" ref="AC4:AC37" si="33">LN(AB4)</f>
        <v>-5.3181961872230668</v>
      </c>
      <c r="AD4" s="1"/>
      <c r="AE4" s="1">
        <v>0.1024</v>
      </c>
      <c r="AF4" s="1">
        <f t="shared" si="7"/>
        <v>5.4015873015872129E-3</v>
      </c>
      <c r="AG4" s="1">
        <f t="shared" ref="AG4:AG37" si="34">LN(AF4)</f>
        <v>-5.221062423866826</v>
      </c>
      <c r="AH4" s="1"/>
      <c r="AI4" s="1">
        <v>0.1084</v>
      </c>
      <c r="AJ4" s="1">
        <f t="shared" si="8"/>
        <v>1.1401587301587204E-2</v>
      </c>
      <c r="AK4" s="1">
        <f t="shared" ref="AK4:AK37" si="35">LN(AJ4)</f>
        <v>-4.4740026962929225</v>
      </c>
      <c r="AL4" s="1"/>
      <c r="AM4" s="1">
        <v>0.107</v>
      </c>
      <c r="AN4" s="1">
        <f t="shared" si="9"/>
        <v>1.0001587301587206E-2</v>
      </c>
      <c r="AO4" s="1">
        <f t="shared" ref="AO4:AO37" si="36">LN(AN4)</f>
        <v>-4.6050114684256691</v>
      </c>
      <c r="AP4" s="1"/>
      <c r="AQ4" s="1">
        <v>0.10349999999999999</v>
      </c>
      <c r="AR4" s="1">
        <f t="shared" si="10"/>
        <v>6.5015873015872028E-3</v>
      </c>
      <c r="AS4" s="1">
        <f t="shared" ref="AS4:AS37" si="37">LN(AR4)</f>
        <v>-5.0357089316483865</v>
      </c>
      <c r="AT4" s="1"/>
      <c r="AU4" s="1">
        <v>0.1027</v>
      </c>
      <c r="AV4" s="1">
        <f t="shared" si="11"/>
        <v>5.7015873015872076E-3</v>
      </c>
      <c r="AW4" s="1">
        <f t="shared" ref="AW4:AW37" si="38">LN(AV4)</f>
        <v>-5.1670106689456414</v>
      </c>
      <c r="AX4" s="1"/>
      <c r="AY4" s="1">
        <v>0.10299999999999999</v>
      </c>
      <c r="AZ4" s="1">
        <f t="shared" si="12"/>
        <v>6.0015873015872023E-3</v>
      </c>
      <c r="BA4" s="1">
        <f t="shared" ref="BA4:BA37" si="39">LN(AZ4)</f>
        <v>-5.1157312944767988</v>
      </c>
      <c r="BB4" s="1"/>
      <c r="BC4" s="1">
        <v>0.1026</v>
      </c>
      <c r="BD4" s="1">
        <f t="shared" si="13"/>
        <v>5.6015873015872047E-3</v>
      </c>
      <c r="BE4" s="1">
        <f t="shared" ref="BE4:BE37" si="40">LN(BD4)</f>
        <v>-5.1847052746924627</v>
      </c>
      <c r="BF4" s="1"/>
      <c r="BG4" s="1">
        <v>0.10440000000000001</v>
      </c>
      <c r="BH4" s="1">
        <f t="shared" si="14"/>
        <v>7.4015873015872147E-3</v>
      </c>
      <c r="BI4" s="1">
        <f t="shared" ref="BI4:BI37" si="41">LN(BG4)</f>
        <v>-2.2595256035335987</v>
      </c>
      <c r="BJ4" s="1"/>
      <c r="BK4" s="1">
        <v>0.10340000000000001</v>
      </c>
      <c r="BL4" s="1">
        <f t="shared" si="15"/>
        <v>6.4015873015872138E-3</v>
      </c>
      <c r="BM4" s="1">
        <f t="shared" ref="BM4:BM37" si="42">LN(BL4)</f>
        <v>-5.0512093034943613</v>
      </c>
      <c r="BN4" s="1"/>
      <c r="BO4" s="1">
        <v>0.1042</v>
      </c>
      <c r="BP4" s="1">
        <f t="shared" si="16"/>
        <v>7.2015873015872089E-3</v>
      </c>
      <c r="BQ4" s="1">
        <f t="shared" ref="BQ4:BQ37" si="43">LN(BP4)</f>
        <v>-4.9334538187037644</v>
      </c>
      <c r="BR4" s="1"/>
      <c r="BS4" s="1">
        <v>0.1065</v>
      </c>
      <c r="BT4" s="1">
        <f t="shared" si="17"/>
        <v>9.5015873015872054E-3</v>
      </c>
      <c r="BU4" s="1">
        <f t="shared" ref="BU4:BU37" si="44">LN(BT4)</f>
        <v>-4.6562964099550816</v>
      </c>
      <c r="BV4" s="1"/>
      <c r="BW4" s="1">
        <v>0.1041</v>
      </c>
      <c r="BX4" s="1">
        <f t="shared" si="18"/>
        <v>7.1015873015872061E-3</v>
      </c>
      <c r="BY4" s="1">
        <f t="shared" ref="BY4:BY37" si="45">LN(BX4)</f>
        <v>-4.9474369563176541</v>
      </c>
      <c r="BZ4" s="1"/>
      <c r="CA4" s="1">
        <v>0.1038</v>
      </c>
      <c r="CB4" s="1">
        <f t="shared" si="19"/>
        <v>6.8015873015872114E-3</v>
      </c>
      <c r="CC4" s="1">
        <f t="shared" ref="CC4:CC37" si="46">LN(CB4)</f>
        <v>-4.9905992673358481</v>
      </c>
      <c r="CD4" s="1"/>
      <c r="CE4" s="1">
        <v>0.1032</v>
      </c>
      <c r="CF4" s="1">
        <f t="shared" si="20"/>
        <v>6.2015873015872081E-3</v>
      </c>
      <c r="CG4" s="1">
        <f t="shared" ref="CG4:CG37" si="47">LN(CF4)</f>
        <v>-5.0829500033126598</v>
      </c>
      <c r="CH4" s="1"/>
      <c r="CI4" s="1">
        <v>0.1032</v>
      </c>
      <c r="CJ4" s="1">
        <f t="shared" si="21"/>
        <v>6.2015873015872081E-3</v>
      </c>
      <c r="CK4" s="1">
        <f t="shared" ref="CK4:CK37" si="48">LN(CJ4)</f>
        <v>-5.0829500033126598</v>
      </c>
      <c r="CL4" s="1"/>
      <c r="CM4" s="1">
        <v>0.1026</v>
      </c>
      <c r="CN4" s="1">
        <f t="shared" si="22"/>
        <v>5.6015873015872047E-3</v>
      </c>
      <c r="CO4" s="1">
        <f t="shared" ref="CO4:CO37" si="49">LN(CN4)</f>
        <v>-5.1847052746924627</v>
      </c>
      <c r="CP4" s="1"/>
      <c r="CQ4" s="1">
        <v>0.1045</v>
      </c>
      <c r="CR4" s="1">
        <f t="shared" si="23"/>
        <v>7.5015873015872037E-3</v>
      </c>
      <c r="CS4" s="1">
        <f t="shared" ref="CS4:CS37" si="50">LN(CR4)</f>
        <v>-4.8926406406208756</v>
      </c>
      <c r="CT4" s="1"/>
      <c r="CU4" s="1">
        <v>0.10390000000000001</v>
      </c>
      <c r="CV4" s="1">
        <f t="shared" si="24"/>
        <v>6.9015873015872142E-3</v>
      </c>
      <c r="CW4" s="1">
        <f t="shared" ref="CW4:CW37" si="51">LN(CV4)</f>
        <v>-4.9760038501266282</v>
      </c>
      <c r="CX4" s="1"/>
      <c r="CY4" s="1">
        <v>0.10349999999999999</v>
      </c>
      <c r="CZ4" s="1">
        <f t="shared" si="25"/>
        <v>6.5015873015872028E-3</v>
      </c>
      <c r="DA4" s="1">
        <f t="shared" ref="DA4:DA37" si="52">LN(CZ4)</f>
        <v>-5.0357089316483865</v>
      </c>
      <c r="DB4" s="1"/>
      <c r="DC4" s="1">
        <v>0.1062</v>
      </c>
      <c r="DD4" s="1">
        <f t="shared" si="26"/>
        <v>9.2015873015872107E-3</v>
      </c>
      <c r="DE4">
        <f t="shared" ref="DE4:DE37" si="53">LN(DD4)</f>
        <v>-4.6883792770279928</v>
      </c>
    </row>
    <row r="5" spans="2:109" x14ac:dyDescent="0.2">
      <c r="B5">
        <v>0.47718972222222222</v>
      </c>
      <c r="C5" s="1">
        <v>0.10390000000000001</v>
      </c>
      <c r="D5" s="1">
        <f t="shared" si="0"/>
        <v>6.9015873015872142E-3</v>
      </c>
      <c r="E5" s="1">
        <f t="shared" si="27"/>
        <v>-4.9760038501266282</v>
      </c>
      <c r="F5" s="1"/>
      <c r="G5" s="1">
        <v>0.1027</v>
      </c>
      <c r="H5" s="1">
        <f t="shared" si="1"/>
        <v>5.7015873015872076E-3</v>
      </c>
      <c r="I5" s="1">
        <f t="shared" si="28"/>
        <v>-5.1670106689456414</v>
      </c>
      <c r="J5" s="1"/>
      <c r="K5" s="1">
        <v>0.10290000000000001</v>
      </c>
      <c r="L5" s="1">
        <f t="shared" si="2"/>
        <v>5.9015873015872133E-3</v>
      </c>
      <c r="M5" s="1">
        <f t="shared" si="29"/>
        <v>-5.1325339300863408</v>
      </c>
      <c r="N5" s="1"/>
      <c r="O5" s="1">
        <v>0.1037</v>
      </c>
      <c r="P5" s="1">
        <f t="shared" si="3"/>
        <v>6.7015873015872085E-3</v>
      </c>
      <c r="Q5" s="1">
        <f t="shared" si="30"/>
        <v>-5.005410869959463</v>
      </c>
      <c r="R5" s="1"/>
      <c r="S5" s="1">
        <v>0.10249999999999999</v>
      </c>
      <c r="T5" s="1">
        <f t="shared" si="4"/>
        <v>5.5015873015872019E-3</v>
      </c>
      <c r="U5" s="1">
        <f t="shared" si="31"/>
        <v>-5.2027186280921818</v>
      </c>
      <c r="V5" s="1"/>
      <c r="W5" s="1">
        <v>0.1038</v>
      </c>
      <c r="X5" s="1">
        <f t="shared" si="5"/>
        <v>6.8015873015872114E-3</v>
      </c>
      <c r="Y5" s="1">
        <f t="shared" si="32"/>
        <v>-4.9905992673358481</v>
      </c>
      <c r="Z5" s="1"/>
      <c r="AA5" s="1">
        <v>0.1027</v>
      </c>
      <c r="AB5" s="1">
        <f t="shared" si="6"/>
        <v>5.7015873015872076E-3</v>
      </c>
      <c r="AC5" s="1">
        <f t="shared" si="33"/>
        <v>-5.1670106689456414</v>
      </c>
      <c r="AD5" s="1"/>
      <c r="AE5" s="1">
        <v>0.1028</v>
      </c>
      <c r="AF5" s="1">
        <f t="shared" si="7"/>
        <v>5.8015873015872105E-3</v>
      </c>
      <c r="AG5" s="1">
        <f t="shared" si="34"/>
        <v>-5.1496237261838527</v>
      </c>
      <c r="AH5" s="1"/>
      <c r="AI5" s="1">
        <v>0.1089</v>
      </c>
      <c r="AJ5" s="1">
        <f t="shared" si="8"/>
        <v>1.1901587301587205E-2</v>
      </c>
      <c r="AK5" s="1">
        <f t="shared" si="35"/>
        <v>-4.4310835010718659</v>
      </c>
      <c r="AL5" s="1"/>
      <c r="AM5" s="1">
        <v>0.1081</v>
      </c>
      <c r="AN5" s="1">
        <f t="shared" si="9"/>
        <v>1.110158730158721E-2</v>
      </c>
      <c r="AO5" s="1">
        <f t="shared" si="36"/>
        <v>-4.5006671807444025</v>
      </c>
      <c r="AP5" s="1"/>
      <c r="AQ5" s="1">
        <v>0.1042</v>
      </c>
      <c r="AR5" s="1">
        <f t="shared" si="10"/>
        <v>7.2015873015872089E-3</v>
      </c>
      <c r="AS5" s="1">
        <f t="shared" si="37"/>
        <v>-4.9334538187037644</v>
      </c>
      <c r="AT5" s="1"/>
      <c r="AU5" s="1">
        <v>0.1033</v>
      </c>
      <c r="AV5" s="1">
        <f t="shared" si="11"/>
        <v>6.3015873015872109E-3</v>
      </c>
      <c r="AW5" s="1">
        <f t="shared" si="38"/>
        <v>-5.0669537246864937</v>
      </c>
      <c r="AX5" s="1"/>
      <c r="AY5" s="1">
        <v>0.1037</v>
      </c>
      <c r="AZ5" s="1">
        <f t="shared" si="12"/>
        <v>6.7015873015872085E-3</v>
      </c>
      <c r="BA5" s="1">
        <f t="shared" si="39"/>
        <v>-5.005410869959463</v>
      </c>
      <c r="BB5" s="1"/>
      <c r="BC5" s="1">
        <v>0.1028</v>
      </c>
      <c r="BD5" s="1">
        <f t="shared" si="13"/>
        <v>5.8015873015872105E-3</v>
      </c>
      <c r="BE5" s="1">
        <f t="shared" si="40"/>
        <v>-5.1496237261838527</v>
      </c>
      <c r="BF5" s="1"/>
      <c r="BG5" s="1">
        <v>0.1045</v>
      </c>
      <c r="BH5" s="1">
        <f t="shared" si="14"/>
        <v>7.5015873015872037E-3</v>
      </c>
      <c r="BI5" s="1">
        <f t="shared" si="41"/>
        <v>-2.2585682075772713</v>
      </c>
      <c r="BJ5" s="1"/>
      <c r="BK5" s="1">
        <v>0.1037</v>
      </c>
      <c r="BL5" s="1">
        <f t="shared" si="15"/>
        <v>6.7015873015872085E-3</v>
      </c>
      <c r="BM5" s="1">
        <f t="shared" si="42"/>
        <v>-5.005410869959463</v>
      </c>
      <c r="BN5" s="1"/>
      <c r="BO5" s="1">
        <v>0.1045</v>
      </c>
      <c r="BP5" s="1">
        <f t="shared" si="16"/>
        <v>7.5015873015872037E-3</v>
      </c>
      <c r="BQ5" s="1">
        <f t="shared" si="43"/>
        <v>-4.8926406406208756</v>
      </c>
      <c r="BR5" s="1"/>
      <c r="BS5" s="1">
        <v>0.107</v>
      </c>
      <c r="BT5" s="1">
        <f t="shared" si="17"/>
        <v>1.0001587301587206E-2</v>
      </c>
      <c r="BU5" s="1">
        <f t="shared" si="44"/>
        <v>-4.6050114684256691</v>
      </c>
      <c r="BV5" s="1"/>
      <c r="BW5" s="1">
        <v>0.1055</v>
      </c>
      <c r="BX5" s="1">
        <f t="shared" si="18"/>
        <v>8.5015873015872045E-3</v>
      </c>
      <c r="BY5" s="1">
        <f t="shared" si="45"/>
        <v>-4.7675023915566639</v>
      </c>
      <c r="BZ5" s="1"/>
      <c r="CA5" s="1">
        <v>0.1038</v>
      </c>
      <c r="CB5" s="1">
        <f t="shared" si="19"/>
        <v>6.8015873015872114E-3</v>
      </c>
      <c r="CC5" s="1">
        <f t="shared" si="46"/>
        <v>-4.9905992673358481</v>
      </c>
      <c r="CD5" s="1"/>
      <c r="CE5" s="1">
        <v>0.1038</v>
      </c>
      <c r="CF5" s="1">
        <f t="shared" si="20"/>
        <v>6.8015873015872114E-3</v>
      </c>
      <c r="CG5" s="1">
        <f t="shared" si="47"/>
        <v>-4.9905992673358481</v>
      </c>
      <c r="CH5" s="1"/>
      <c r="CI5" s="1">
        <v>0.10390000000000001</v>
      </c>
      <c r="CJ5" s="1">
        <f t="shared" si="21"/>
        <v>6.9015873015872142E-3</v>
      </c>
      <c r="CK5" s="1">
        <f t="shared" si="48"/>
        <v>-4.9760038501266282</v>
      </c>
      <c r="CL5" s="1"/>
      <c r="CM5" s="1">
        <v>0.10340000000000001</v>
      </c>
      <c r="CN5" s="1">
        <f t="shared" si="22"/>
        <v>6.4015873015872138E-3</v>
      </c>
      <c r="CO5" s="1">
        <f t="shared" si="49"/>
        <v>-5.0512093034943613</v>
      </c>
      <c r="CP5" s="1"/>
      <c r="CQ5" s="1">
        <v>0.10489999999999999</v>
      </c>
      <c r="CR5" s="1">
        <f t="shared" si="23"/>
        <v>7.9015873015872012E-3</v>
      </c>
      <c r="CS5" s="1">
        <f t="shared" si="50"/>
        <v>-4.8406916154401909</v>
      </c>
      <c r="CT5" s="1"/>
      <c r="CU5" s="1">
        <v>0.10390000000000001</v>
      </c>
      <c r="CV5" s="1">
        <f t="shared" si="24"/>
        <v>6.9015873015872142E-3</v>
      </c>
      <c r="CW5" s="1">
        <f t="shared" si="51"/>
        <v>-4.9760038501266282</v>
      </c>
      <c r="CX5" s="1"/>
      <c r="CY5" s="1">
        <v>0.1037</v>
      </c>
      <c r="CZ5" s="1">
        <f t="shared" si="25"/>
        <v>6.7015873015872085E-3</v>
      </c>
      <c r="DA5" s="1">
        <f t="shared" si="52"/>
        <v>-5.005410869959463</v>
      </c>
      <c r="DB5" s="1"/>
      <c r="DC5" s="1">
        <v>0.1065</v>
      </c>
      <c r="DD5" s="1">
        <f t="shared" si="26"/>
        <v>9.5015873015872054E-3</v>
      </c>
      <c r="DE5">
        <f t="shared" si="53"/>
        <v>-4.6562964099550816</v>
      </c>
    </row>
    <row r="6" spans="2:109" x14ac:dyDescent="0.2">
      <c r="B6">
        <v>0.71578444444444445</v>
      </c>
      <c r="C6" s="1">
        <v>0.1074</v>
      </c>
      <c r="D6" s="1">
        <f t="shared" si="0"/>
        <v>1.0401587301587203E-2</v>
      </c>
      <c r="E6" s="1">
        <f t="shared" si="27"/>
        <v>-4.5657968593282279</v>
      </c>
      <c r="F6" s="1"/>
      <c r="G6" s="1">
        <v>0.106</v>
      </c>
      <c r="H6" s="1">
        <f t="shared" si="1"/>
        <v>9.001587301587205E-3</v>
      </c>
      <c r="I6" s="1">
        <f t="shared" si="28"/>
        <v>-4.7103543503536978</v>
      </c>
      <c r="J6" s="1"/>
      <c r="K6" s="1">
        <v>0.1055</v>
      </c>
      <c r="L6" s="1">
        <f t="shared" si="2"/>
        <v>8.5015873015872045E-3</v>
      </c>
      <c r="M6" s="1">
        <f t="shared" si="29"/>
        <v>-4.7675023915566639</v>
      </c>
      <c r="N6" s="1"/>
      <c r="O6" s="1">
        <v>0.1071</v>
      </c>
      <c r="P6" s="1">
        <f t="shared" si="3"/>
        <v>1.0101587301587209E-2</v>
      </c>
      <c r="Q6" s="1">
        <f t="shared" si="30"/>
        <v>-4.5950627089100475</v>
      </c>
      <c r="R6" s="1"/>
      <c r="S6" s="1">
        <v>0.1048</v>
      </c>
      <c r="T6" s="1">
        <f t="shared" si="4"/>
        <v>7.8015873015872123E-3</v>
      </c>
      <c r="U6" s="1">
        <f t="shared" si="31"/>
        <v>-4.8534280657864599</v>
      </c>
      <c r="V6" s="1"/>
      <c r="W6" s="1">
        <v>0.10639999999999999</v>
      </c>
      <c r="X6" s="1">
        <f t="shared" si="5"/>
        <v>9.4015873015872026E-3</v>
      </c>
      <c r="Y6" s="1">
        <f t="shared" si="32"/>
        <v>-4.6668767420907606</v>
      </c>
      <c r="Z6" s="1"/>
      <c r="AA6" s="1">
        <v>0.1051</v>
      </c>
      <c r="AB6" s="1">
        <f t="shared" si="6"/>
        <v>8.101587301587207E-3</v>
      </c>
      <c r="AC6" s="1">
        <f t="shared" si="33"/>
        <v>-4.8156952733431009</v>
      </c>
      <c r="AD6" s="1"/>
      <c r="AE6" s="1">
        <v>0.1052</v>
      </c>
      <c r="AF6" s="1">
        <f t="shared" si="7"/>
        <v>8.2015873015872098E-3</v>
      </c>
      <c r="AG6" s="1">
        <f t="shared" si="34"/>
        <v>-4.803427570080542</v>
      </c>
      <c r="AH6" s="1"/>
      <c r="AI6" s="1">
        <v>0.112</v>
      </c>
      <c r="AJ6" s="1">
        <f t="shared" si="8"/>
        <v>1.500158730158721E-2</v>
      </c>
      <c r="AK6" s="1">
        <f t="shared" si="35"/>
        <v>-4.1995992633726651</v>
      </c>
      <c r="AL6" s="1"/>
      <c r="AM6" s="1">
        <v>0.1114</v>
      </c>
      <c r="AN6" s="1">
        <f t="shared" si="9"/>
        <v>1.4401587301587207E-2</v>
      </c>
      <c r="AO6" s="1">
        <f t="shared" si="36"/>
        <v>-4.2404168491980929</v>
      </c>
      <c r="AP6" s="1"/>
      <c r="AQ6" s="1">
        <v>0.107</v>
      </c>
      <c r="AR6" s="1">
        <f t="shared" si="10"/>
        <v>1.0001587301587206E-2</v>
      </c>
      <c r="AS6" s="1">
        <f t="shared" si="37"/>
        <v>-4.6050114684256691</v>
      </c>
      <c r="AT6" s="1"/>
      <c r="AU6" s="1">
        <v>0.106</v>
      </c>
      <c r="AV6" s="1">
        <f t="shared" si="11"/>
        <v>9.001587301587205E-3</v>
      </c>
      <c r="AW6" s="1">
        <f t="shared" si="38"/>
        <v>-4.7103543503536978</v>
      </c>
      <c r="AX6" s="1"/>
      <c r="AY6" s="1">
        <v>0.10680000000000001</v>
      </c>
      <c r="AZ6" s="1">
        <f t="shared" si="12"/>
        <v>9.801587301587214E-3</v>
      </c>
      <c r="BA6" s="1">
        <f t="shared" si="39"/>
        <v>-4.6252109368715466</v>
      </c>
      <c r="BB6" s="1"/>
      <c r="BC6" s="1">
        <v>0.1055</v>
      </c>
      <c r="BD6" s="1">
        <f t="shared" si="13"/>
        <v>8.5015873015872045E-3</v>
      </c>
      <c r="BE6" s="1">
        <f t="shared" si="40"/>
        <v>-4.7675023915566639</v>
      </c>
      <c r="BF6" s="1"/>
      <c r="BG6" s="1">
        <v>0.1067</v>
      </c>
      <c r="BH6" s="1">
        <f t="shared" si="14"/>
        <v>9.7015873015872112E-3</v>
      </c>
      <c r="BI6" s="1">
        <f t="shared" si="41"/>
        <v>-2.2377341206744292</v>
      </c>
      <c r="BJ6" s="1"/>
      <c r="BK6" s="1">
        <v>0.1061</v>
      </c>
      <c r="BL6" s="1">
        <f t="shared" si="15"/>
        <v>9.1015873015872079E-3</v>
      </c>
      <c r="BM6" s="1">
        <f t="shared" si="42"/>
        <v>-4.6993064519244108</v>
      </c>
      <c r="BN6" s="1"/>
      <c r="BO6" s="1">
        <v>0.1067</v>
      </c>
      <c r="BP6" s="1">
        <f t="shared" si="16"/>
        <v>9.7015873015872112E-3</v>
      </c>
      <c r="BQ6" s="1">
        <f t="shared" si="43"/>
        <v>-4.6354657675213682</v>
      </c>
      <c r="BR6" s="1"/>
      <c r="BS6" s="1">
        <v>0.1095</v>
      </c>
      <c r="BT6" s="1">
        <f t="shared" si="17"/>
        <v>1.2501587301587208E-2</v>
      </c>
      <c r="BU6" s="1">
        <f t="shared" si="44"/>
        <v>-4.3818996586087069</v>
      </c>
      <c r="BV6" s="1"/>
      <c r="BW6" s="1">
        <v>0.10920000000000001</v>
      </c>
      <c r="BX6" s="1">
        <f t="shared" si="18"/>
        <v>1.2201587301587213E-2</v>
      </c>
      <c r="BY6" s="1">
        <f t="shared" si="45"/>
        <v>-4.4061892290185902</v>
      </c>
      <c r="BZ6" s="1"/>
      <c r="CA6" s="1">
        <v>0.10730000000000001</v>
      </c>
      <c r="CB6" s="1">
        <f t="shared" si="19"/>
        <v>1.0301587301587214E-2</v>
      </c>
      <c r="CC6" s="1">
        <f t="shared" si="46"/>
        <v>-4.5754572886695879</v>
      </c>
      <c r="CD6" s="1"/>
      <c r="CE6" s="1">
        <v>0.1065</v>
      </c>
      <c r="CF6" s="1">
        <f t="shared" si="20"/>
        <v>9.5015873015872054E-3</v>
      </c>
      <c r="CG6" s="1">
        <f t="shared" si="47"/>
        <v>-4.6562964099550816</v>
      </c>
      <c r="CH6" s="1"/>
      <c r="CI6" s="1">
        <v>0.10680000000000001</v>
      </c>
      <c r="CJ6" s="1">
        <f t="shared" si="21"/>
        <v>9.801587301587214E-3</v>
      </c>
      <c r="CK6" s="1">
        <f t="shared" si="48"/>
        <v>-4.6252109368715466</v>
      </c>
      <c r="CL6" s="1"/>
      <c r="CM6" s="1">
        <v>0.1055</v>
      </c>
      <c r="CN6" s="1">
        <f t="shared" si="22"/>
        <v>8.5015873015872045E-3</v>
      </c>
      <c r="CO6" s="1">
        <f t="shared" si="49"/>
        <v>-4.7675023915566639</v>
      </c>
      <c r="CP6" s="1"/>
      <c r="CQ6" s="1">
        <v>0.1077</v>
      </c>
      <c r="CR6" s="1">
        <f t="shared" si="23"/>
        <v>1.0701587301587212E-2</v>
      </c>
      <c r="CS6" s="1">
        <f t="shared" si="50"/>
        <v>-4.5373632025737178</v>
      </c>
      <c r="CT6" s="1"/>
      <c r="CU6" s="1">
        <v>0.1062</v>
      </c>
      <c r="CV6" s="1">
        <f t="shared" si="24"/>
        <v>9.2015873015872107E-3</v>
      </c>
      <c r="CW6" s="1">
        <f t="shared" si="51"/>
        <v>-4.6883792770279928</v>
      </c>
      <c r="CX6" s="1"/>
      <c r="CY6" s="1">
        <v>0.1062</v>
      </c>
      <c r="CZ6" s="1">
        <f t="shared" si="25"/>
        <v>9.2015873015872107E-3</v>
      </c>
      <c r="DA6" s="1">
        <f t="shared" si="52"/>
        <v>-4.6883792770279928</v>
      </c>
      <c r="DB6" s="1"/>
      <c r="DC6" s="1">
        <v>0.10920000000000001</v>
      </c>
      <c r="DD6" s="1">
        <f t="shared" si="26"/>
        <v>1.2201587301587213E-2</v>
      </c>
      <c r="DE6">
        <f t="shared" si="53"/>
        <v>-4.4061892290185902</v>
      </c>
    </row>
    <row r="7" spans="2:109" x14ac:dyDescent="0.2">
      <c r="B7">
        <v>0.95429027777777786</v>
      </c>
      <c r="C7" s="1">
        <v>0.112</v>
      </c>
      <c r="D7" s="1">
        <f t="shared" si="0"/>
        <v>1.500158730158721E-2</v>
      </c>
      <c r="E7" s="1">
        <f t="shared" si="27"/>
        <v>-4.1995992633726651</v>
      </c>
      <c r="F7" s="1"/>
      <c r="G7" s="1">
        <v>0.1095</v>
      </c>
      <c r="H7" s="1">
        <f t="shared" si="1"/>
        <v>1.2501587301587208E-2</v>
      </c>
      <c r="I7" s="1">
        <f t="shared" si="28"/>
        <v>-4.3818996586087069</v>
      </c>
      <c r="J7" s="1"/>
      <c r="K7" s="1">
        <v>0.1099</v>
      </c>
      <c r="L7" s="1">
        <f t="shared" si="2"/>
        <v>1.2901587301587206E-2</v>
      </c>
      <c r="M7" s="1">
        <f t="shared" si="29"/>
        <v>-4.3504049285494597</v>
      </c>
      <c r="N7" s="1"/>
      <c r="O7" s="1">
        <v>0.1119</v>
      </c>
      <c r="P7" s="1">
        <f t="shared" si="3"/>
        <v>1.4901587301587207E-2</v>
      </c>
      <c r="Q7" s="1">
        <f t="shared" si="30"/>
        <v>-4.2062875413968079</v>
      </c>
      <c r="R7" s="1"/>
      <c r="S7" s="1">
        <v>0.1086</v>
      </c>
      <c r="T7" s="1">
        <f t="shared" si="4"/>
        <v>1.160158730158721E-2</v>
      </c>
      <c r="U7" s="1">
        <f t="shared" si="31"/>
        <v>-4.4566133538873318</v>
      </c>
      <c r="V7" s="1"/>
      <c r="W7" s="1">
        <v>0.1116</v>
      </c>
      <c r="X7" s="1">
        <f t="shared" si="5"/>
        <v>1.4601587301587213E-2</v>
      </c>
      <c r="Y7" s="1">
        <f t="shared" si="32"/>
        <v>-4.2266250368905647</v>
      </c>
      <c r="Z7" s="1"/>
      <c r="AA7" s="1">
        <v>0.10929999999999999</v>
      </c>
      <c r="AB7" s="1">
        <f t="shared" si="6"/>
        <v>1.2301587301587202E-2</v>
      </c>
      <c r="AC7" s="1">
        <f t="shared" si="33"/>
        <v>-4.398026976020331</v>
      </c>
      <c r="AD7" s="1"/>
      <c r="AE7" s="1">
        <v>0.10920000000000001</v>
      </c>
      <c r="AF7" s="1">
        <f t="shared" si="7"/>
        <v>1.2201587301587213E-2</v>
      </c>
      <c r="AG7" s="1">
        <f t="shared" si="34"/>
        <v>-4.4061892290185902</v>
      </c>
      <c r="AH7" s="1"/>
      <c r="AI7" s="1">
        <v>0.11700000000000001</v>
      </c>
      <c r="AJ7" s="1">
        <f t="shared" si="8"/>
        <v>2.0001587301587215E-2</v>
      </c>
      <c r="AK7" s="1">
        <f t="shared" si="35"/>
        <v>-3.9119436434980268</v>
      </c>
      <c r="AL7" s="1"/>
      <c r="AM7" s="1">
        <v>0.1181</v>
      </c>
      <c r="AN7" s="1">
        <f t="shared" si="9"/>
        <v>2.1101587301587205E-2</v>
      </c>
      <c r="AO7" s="1">
        <f t="shared" si="36"/>
        <v>-3.8584070137661928</v>
      </c>
      <c r="AP7" s="1"/>
      <c r="AQ7" s="1">
        <v>0.1128</v>
      </c>
      <c r="AR7" s="1">
        <f t="shared" si="10"/>
        <v>1.5801587301587205E-2</v>
      </c>
      <c r="AS7" s="1">
        <f t="shared" si="37"/>
        <v>-4.1476448818694251</v>
      </c>
      <c r="AT7" s="1"/>
      <c r="AU7" s="1">
        <v>0.1116</v>
      </c>
      <c r="AV7" s="1">
        <f t="shared" si="11"/>
        <v>1.4601587301587213E-2</v>
      </c>
      <c r="AW7" s="1">
        <f t="shared" si="38"/>
        <v>-4.2266250368905647</v>
      </c>
      <c r="AX7" s="1"/>
      <c r="AY7" s="1">
        <v>0.11269999999999999</v>
      </c>
      <c r="AZ7" s="1">
        <f t="shared" si="12"/>
        <v>1.5701587301587203E-2</v>
      </c>
      <c r="BA7" s="1">
        <f t="shared" si="39"/>
        <v>-4.1539934697264149</v>
      </c>
      <c r="BB7" s="1"/>
      <c r="BC7" s="1">
        <v>0.11</v>
      </c>
      <c r="BD7" s="1">
        <f t="shared" si="13"/>
        <v>1.3001587301587209E-2</v>
      </c>
      <c r="BE7" s="1">
        <f t="shared" si="40"/>
        <v>-4.3426838288521203</v>
      </c>
      <c r="BF7" s="1"/>
      <c r="BG7" s="1">
        <v>0.1118</v>
      </c>
      <c r="BH7" s="1">
        <f t="shared" si="14"/>
        <v>1.4801587301587205E-2</v>
      </c>
      <c r="BI7" s="1">
        <f t="shared" si="41"/>
        <v>-2.1910437182611382</v>
      </c>
      <c r="BJ7" s="1"/>
      <c r="BK7" s="1">
        <v>0.1105</v>
      </c>
      <c r="BL7" s="1">
        <f t="shared" si="15"/>
        <v>1.3501587301587209E-2</v>
      </c>
      <c r="BM7" s="1">
        <f t="shared" si="42"/>
        <v>-4.304948022554143</v>
      </c>
      <c r="BN7" s="1"/>
      <c r="BO7" s="1">
        <v>0.1115</v>
      </c>
      <c r="BP7" s="1">
        <f t="shared" si="16"/>
        <v>1.450158730158721E-2</v>
      </c>
      <c r="BQ7" s="1">
        <f t="shared" si="43"/>
        <v>-4.2334971664719303</v>
      </c>
      <c r="BR7" s="1"/>
      <c r="BS7" s="1">
        <v>0.1145</v>
      </c>
      <c r="BT7" s="1">
        <f t="shared" si="17"/>
        <v>1.7501587301587213E-2</v>
      </c>
      <c r="BU7" s="1">
        <f t="shared" si="44"/>
        <v>-4.0454636992180912</v>
      </c>
      <c r="BV7" s="1"/>
      <c r="BW7" s="1">
        <v>0.11609999999999999</v>
      </c>
      <c r="BX7" s="1">
        <f t="shared" si="18"/>
        <v>1.9101587301587203E-2</v>
      </c>
      <c r="BY7" s="1">
        <f t="shared" si="45"/>
        <v>-3.9579838425874234</v>
      </c>
      <c r="BZ7" s="1"/>
      <c r="CA7" s="1">
        <v>0.1135</v>
      </c>
      <c r="CB7" s="1">
        <f t="shared" si="19"/>
        <v>1.6501587301587212E-2</v>
      </c>
      <c r="CC7" s="1">
        <f t="shared" si="46"/>
        <v>-4.1042987026063402</v>
      </c>
      <c r="CD7" s="1"/>
      <c r="CE7" s="1">
        <v>0.1111</v>
      </c>
      <c r="CF7" s="1">
        <f t="shared" si="20"/>
        <v>1.4101587301587212E-2</v>
      </c>
      <c r="CG7" s="1">
        <f t="shared" si="47"/>
        <v>-4.2614679133534041</v>
      </c>
      <c r="CH7" s="1"/>
      <c r="CI7" s="1">
        <v>0.11260000000000001</v>
      </c>
      <c r="CJ7" s="1">
        <f t="shared" si="21"/>
        <v>1.5601587301587214E-2</v>
      </c>
      <c r="CK7" s="1">
        <f t="shared" si="48"/>
        <v>-4.1603826198010916</v>
      </c>
      <c r="CL7" s="1"/>
      <c r="CM7" s="1">
        <v>0.10970000000000001</v>
      </c>
      <c r="CN7" s="1">
        <f t="shared" si="22"/>
        <v>1.2701587301587214E-2</v>
      </c>
      <c r="CO7" s="1">
        <f t="shared" si="49"/>
        <v>-4.3660283089505416</v>
      </c>
      <c r="CP7" s="1"/>
      <c r="CQ7" s="1">
        <v>0.11260000000000001</v>
      </c>
      <c r="CR7" s="1">
        <f t="shared" si="23"/>
        <v>1.5601587301587214E-2</v>
      </c>
      <c r="CS7" s="1">
        <f t="shared" si="50"/>
        <v>-4.1603826198010916</v>
      </c>
      <c r="CT7" s="1"/>
      <c r="CU7" s="1">
        <v>0.1104</v>
      </c>
      <c r="CV7" s="1">
        <f t="shared" si="24"/>
        <v>1.3401587301587206E-2</v>
      </c>
      <c r="CW7" s="1">
        <f t="shared" si="51"/>
        <v>-4.3123821236982227</v>
      </c>
      <c r="CX7" s="1"/>
      <c r="CY7" s="1">
        <v>0.1106</v>
      </c>
      <c r="CZ7" s="1">
        <f t="shared" si="25"/>
        <v>1.3601587301587212E-2</v>
      </c>
      <c r="DA7" s="1">
        <f t="shared" si="52"/>
        <v>-4.2975687796986035</v>
      </c>
      <c r="DB7" s="1"/>
      <c r="DC7" s="1">
        <v>0.1137</v>
      </c>
      <c r="DD7" s="1">
        <f t="shared" si="26"/>
        <v>1.6701587301587204E-2</v>
      </c>
      <c r="DE7">
        <f t="shared" si="53"/>
        <v>-4.0922515160769688</v>
      </c>
    </row>
    <row r="8" spans="2:109" x14ac:dyDescent="0.2">
      <c r="B8">
        <v>1.1927908333333332</v>
      </c>
      <c r="C8" s="1">
        <v>0.1202</v>
      </c>
      <c r="D8" s="1">
        <f t="shared" si="0"/>
        <v>2.3201587301587209E-2</v>
      </c>
      <c r="E8" s="1">
        <f t="shared" si="27"/>
        <v>-3.7635345844784265</v>
      </c>
      <c r="F8" s="1"/>
      <c r="G8" s="1">
        <v>0.1171</v>
      </c>
      <c r="H8" s="1">
        <f t="shared" si="1"/>
        <v>2.0101587301587204E-2</v>
      </c>
      <c r="I8" s="1">
        <f t="shared" si="28"/>
        <v>-3.9069564968068722</v>
      </c>
      <c r="J8" s="1"/>
      <c r="K8" s="1">
        <v>0.11700000000000001</v>
      </c>
      <c r="L8" s="1">
        <f t="shared" si="2"/>
        <v>2.0001587301587215E-2</v>
      </c>
      <c r="M8" s="1">
        <f t="shared" si="29"/>
        <v>-3.9119436434980268</v>
      </c>
      <c r="N8" s="1"/>
      <c r="O8" s="1">
        <v>0.1207</v>
      </c>
      <c r="P8" s="1">
        <f t="shared" si="3"/>
        <v>2.370158730158721E-2</v>
      </c>
      <c r="Q8" s="1">
        <f t="shared" si="30"/>
        <v>-3.742213258333245</v>
      </c>
      <c r="R8" s="1"/>
      <c r="S8" s="1">
        <v>0.1152</v>
      </c>
      <c r="T8" s="1">
        <f t="shared" si="4"/>
        <v>1.8201587301587205E-2</v>
      </c>
      <c r="U8" s="1">
        <f t="shared" si="31"/>
        <v>-4.0062464743294166</v>
      </c>
      <c r="V8" s="1"/>
      <c r="W8" s="1">
        <v>0.1197</v>
      </c>
      <c r="X8" s="1">
        <f t="shared" si="5"/>
        <v>2.2701587301587209E-2</v>
      </c>
      <c r="Y8" s="1">
        <f t="shared" si="32"/>
        <v>-3.785320431759378</v>
      </c>
      <c r="Z8" s="1"/>
      <c r="AA8" s="1">
        <v>0.1167</v>
      </c>
      <c r="AB8" s="1">
        <f t="shared" si="6"/>
        <v>1.9701587301587206E-2</v>
      </c>
      <c r="AC8" s="1">
        <f t="shared" si="33"/>
        <v>-3.9270560727994495</v>
      </c>
      <c r="AD8" s="1"/>
      <c r="AE8" s="1">
        <v>0.1173</v>
      </c>
      <c r="AF8" s="1">
        <f t="shared" si="7"/>
        <v>2.0301587301587209E-2</v>
      </c>
      <c r="AG8" s="1">
        <f t="shared" si="34"/>
        <v>-3.8970562037948318</v>
      </c>
      <c r="AH8" s="1"/>
      <c r="AI8" s="1">
        <v>0.1255</v>
      </c>
      <c r="AJ8" s="1">
        <f t="shared" si="8"/>
        <v>2.8501587301587208E-2</v>
      </c>
      <c r="AK8" s="1">
        <f t="shared" si="35"/>
        <v>-3.5577954984658962</v>
      </c>
      <c r="AL8" s="1"/>
      <c r="AM8" s="1">
        <v>0.12770000000000001</v>
      </c>
      <c r="AN8" s="1">
        <f t="shared" si="9"/>
        <v>3.0701587301587216E-2</v>
      </c>
      <c r="AO8" s="1">
        <f t="shared" si="36"/>
        <v>-3.4834409220908098</v>
      </c>
      <c r="AP8" s="1"/>
      <c r="AQ8" s="1">
        <v>0.1208</v>
      </c>
      <c r="AR8" s="1">
        <f t="shared" si="10"/>
        <v>2.3801587301587213E-2</v>
      </c>
      <c r="AS8" s="1">
        <f t="shared" si="37"/>
        <v>-3.7380030071846098</v>
      </c>
      <c r="AT8" s="1"/>
      <c r="AU8" s="1">
        <v>0.1192</v>
      </c>
      <c r="AV8" s="1">
        <f t="shared" si="11"/>
        <v>2.2201587301587208E-2</v>
      </c>
      <c r="AW8" s="1">
        <f t="shared" si="38"/>
        <v>-3.8075914925884158</v>
      </c>
      <c r="AX8" s="1"/>
      <c r="AY8" s="1">
        <v>0.12130000000000001</v>
      </c>
      <c r="AZ8" s="1">
        <f t="shared" si="12"/>
        <v>2.4301587301587213E-2</v>
      </c>
      <c r="BA8" s="1">
        <f t="shared" si="39"/>
        <v>-3.7172136097159898</v>
      </c>
      <c r="BB8" s="1"/>
      <c r="BC8" s="1">
        <v>0.1171</v>
      </c>
      <c r="BD8" s="1">
        <f t="shared" si="13"/>
        <v>2.0101587301587204E-2</v>
      </c>
      <c r="BE8" s="1">
        <f t="shared" si="40"/>
        <v>-3.9069564968068722</v>
      </c>
      <c r="BF8" s="1"/>
      <c r="BG8" s="1">
        <v>0.11890000000000001</v>
      </c>
      <c r="BH8" s="1">
        <f t="shared" si="14"/>
        <v>2.1901587301587214E-2</v>
      </c>
      <c r="BI8" s="1">
        <f t="shared" si="41"/>
        <v>-2.1294724752854011</v>
      </c>
      <c r="BJ8" s="1"/>
      <c r="BK8" s="1">
        <v>0.1171</v>
      </c>
      <c r="BL8" s="1">
        <f t="shared" si="15"/>
        <v>2.0101587301587204E-2</v>
      </c>
      <c r="BM8" s="1">
        <f t="shared" si="42"/>
        <v>-3.9069564968068722</v>
      </c>
      <c r="BN8" s="1"/>
      <c r="BO8" s="1">
        <v>0.1198</v>
      </c>
      <c r="BP8" s="1">
        <f t="shared" si="16"/>
        <v>2.2801587301587212E-2</v>
      </c>
      <c r="BQ8" s="1">
        <f t="shared" si="43"/>
        <v>-3.7809251269543296</v>
      </c>
      <c r="BR8" s="1"/>
      <c r="BS8" s="1">
        <v>0.1231</v>
      </c>
      <c r="BT8" s="1">
        <f t="shared" si="17"/>
        <v>2.6101587301587209E-2</v>
      </c>
      <c r="BU8" s="1">
        <f t="shared" si="44"/>
        <v>-3.6457591503499498</v>
      </c>
      <c r="BV8" s="1"/>
      <c r="BW8" s="1">
        <v>0.12590000000000001</v>
      </c>
      <c r="BX8" s="1">
        <f t="shared" si="18"/>
        <v>2.890158730158722E-2</v>
      </c>
      <c r="BY8" s="1">
        <f t="shared" si="45"/>
        <v>-3.5438587614416606</v>
      </c>
      <c r="BZ8" s="1"/>
      <c r="CA8" s="1">
        <v>0.1226</v>
      </c>
      <c r="CB8" s="1">
        <f t="shared" si="19"/>
        <v>2.5601587301587209E-2</v>
      </c>
      <c r="CC8" s="1">
        <f t="shared" si="46"/>
        <v>-3.6651009254505365</v>
      </c>
      <c r="CD8" s="1"/>
      <c r="CE8" s="1">
        <v>0.11899999999999999</v>
      </c>
      <c r="CF8" s="1">
        <f t="shared" si="20"/>
        <v>2.2001587301587203E-2</v>
      </c>
      <c r="CG8" s="1">
        <f t="shared" si="47"/>
        <v>-3.8166406781543669</v>
      </c>
      <c r="CH8" s="1"/>
      <c r="CI8" s="1">
        <v>0.12139999999999999</v>
      </c>
      <c r="CJ8" s="1">
        <f t="shared" si="21"/>
        <v>2.4401587301587202E-2</v>
      </c>
      <c r="CK8" s="1">
        <f t="shared" si="48"/>
        <v>-3.7131070954551202</v>
      </c>
      <c r="CL8" s="1"/>
      <c r="CM8" s="1">
        <v>0.1171</v>
      </c>
      <c r="CN8" s="1">
        <f t="shared" si="22"/>
        <v>2.0101587301587204E-2</v>
      </c>
      <c r="CO8" s="1">
        <f t="shared" si="49"/>
        <v>-3.9069564968068722</v>
      </c>
      <c r="CP8" s="1"/>
      <c r="CQ8" s="1">
        <v>0.12130000000000001</v>
      </c>
      <c r="CR8" s="1">
        <f t="shared" si="23"/>
        <v>2.4301587301587213E-2</v>
      </c>
      <c r="CS8" s="1">
        <f t="shared" si="50"/>
        <v>-3.7172136097159898</v>
      </c>
      <c r="CT8" s="1"/>
      <c r="CU8" s="1">
        <v>0.1178</v>
      </c>
      <c r="CV8" s="1">
        <f t="shared" si="24"/>
        <v>2.080158730158721E-2</v>
      </c>
      <c r="CW8" s="1">
        <f t="shared" si="51"/>
        <v>-3.8727259826102132</v>
      </c>
      <c r="CX8" s="1"/>
      <c r="CY8" s="1">
        <v>0.1183</v>
      </c>
      <c r="CZ8" s="1">
        <f t="shared" si="25"/>
        <v>2.130158730158721E-2</v>
      </c>
      <c r="DA8" s="1">
        <f t="shared" si="52"/>
        <v>-3.8489736878420469</v>
      </c>
      <c r="DB8" s="1"/>
      <c r="DC8" s="1">
        <v>0.12130000000000001</v>
      </c>
      <c r="DD8" s="1">
        <f t="shared" si="26"/>
        <v>2.4301587301587213E-2</v>
      </c>
      <c r="DE8">
        <f t="shared" si="53"/>
        <v>-3.7172136097159898</v>
      </c>
    </row>
    <row r="9" spans="2:109" x14ac:dyDescent="0.2">
      <c r="B9">
        <v>1.4313891666666667</v>
      </c>
      <c r="C9" s="1">
        <v>0.1358</v>
      </c>
      <c r="D9" s="1">
        <f t="shared" si="0"/>
        <v>3.8801587301587212E-2</v>
      </c>
      <c r="E9" s="1">
        <f t="shared" si="27"/>
        <v>-3.2492941233549719</v>
      </c>
      <c r="F9" s="1"/>
      <c r="G9" s="1">
        <v>0.12970000000000001</v>
      </c>
      <c r="H9" s="1">
        <f t="shared" si="1"/>
        <v>3.2701587301587218E-2</v>
      </c>
      <c r="I9" s="1">
        <f t="shared" si="28"/>
        <v>-3.4203316609240795</v>
      </c>
      <c r="J9" s="1"/>
      <c r="K9" s="1">
        <v>0.1285</v>
      </c>
      <c r="L9" s="1">
        <f t="shared" si="2"/>
        <v>3.1501587301587211E-2</v>
      </c>
      <c r="M9" s="1">
        <f t="shared" si="29"/>
        <v>-3.4577173438935316</v>
      </c>
      <c r="N9" s="1"/>
      <c r="O9" s="1">
        <v>0.1356</v>
      </c>
      <c r="P9" s="1">
        <f t="shared" si="3"/>
        <v>3.8601587301587206E-2</v>
      </c>
      <c r="Q9" s="1">
        <f t="shared" si="30"/>
        <v>-3.2544618815540525</v>
      </c>
      <c r="R9" s="1"/>
      <c r="S9" s="1">
        <v>0.12590000000000001</v>
      </c>
      <c r="T9" s="1">
        <f t="shared" si="4"/>
        <v>2.890158730158722E-2</v>
      </c>
      <c r="U9" s="1">
        <f t="shared" si="31"/>
        <v>-3.5438587614416606</v>
      </c>
      <c r="V9" s="1"/>
      <c r="W9" s="1">
        <v>0.1331</v>
      </c>
      <c r="X9" s="1">
        <f t="shared" si="5"/>
        <v>3.6101587301587204E-2</v>
      </c>
      <c r="Y9" s="1">
        <f t="shared" si="32"/>
        <v>-3.3214184450368824</v>
      </c>
      <c r="Z9" s="1"/>
      <c r="AA9" s="1">
        <v>0.128</v>
      </c>
      <c r="AB9" s="1">
        <f t="shared" si="6"/>
        <v>3.1001587301587211E-2</v>
      </c>
      <c r="AC9" s="1">
        <f t="shared" si="33"/>
        <v>-3.4737168725308272</v>
      </c>
      <c r="AD9" s="1"/>
      <c r="AE9" s="1">
        <v>0.12920000000000001</v>
      </c>
      <c r="AF9" s="1">
        <f t="shared" si="7"/>
        <v>3.2201587301587217E-2</v>
      </c>
      <c r="AG9" s="1">
        <f t="shared" si="34"/>
        <v>-3.4357395325663886</v>
      </c>
      <c r="AH9" s="1"/>
      <c r="AI9" s="1">
        <v>0.1371</v>
      </c>
      <c r="AJ9" s="1">
        <f t="shared" si="8"/>
        <v>4.0101587301587208E-2</v>
      </c>
      <c r="AK9" s="1">
        <f t="shared" si="35"/>
        <v>-3.2163393618722944</v>
      </c>
      <c r="AL9" s="1"/>
      <c r="AM9" s="1">
        <v>0.14299999999999999</v>
      </c>
      <c r="AN9" s="1">
        <f t="shared" si="9"/>
        <v>4.6001587301587196E-2</v>
      </c>
      <c r="AO9" s="1">
        <f t="shared" si="36"/>
        <v>-3.0790793765321363</v>
      </c>
      <c r="AP9" s="1"/>
      <c r="AQ9" s="1">
        <v>0.1323</v>
      </c>
      <c r="AR9" s="1">
        <f t="shared" si="10"/>
        <v>3.5301587301587209E-2</v>
      </c>
      <c r="AS9" s="1">
        <f t="shared" si="37"/>
        <v>-3.3438273500031994</v>
      </c>
      <c r="AT9" s="1"/>
      <c r="AU9" s="1">
        <v>0.13159999999999999</v>
      </c>
      <c r="AV9" s="1">
        <f t="shared" si="11"/>
        <v>3.4601587301587203E-2</v>
      </c>
      <c r="AW9" s="1">
        <f t="shared" si="38"/>
        <v>-3.3638557222023029</v>
      </c>
      <c r="AX9" s="1"/>
      <c r="AY9" s="1">
        <v>0.13539999999999999</v>
      </c>
      <c r="AZ9" s="1">
        <f t="shared" si="12"/>
        <v>3.8401587301587201E-2</v>
      </c>
      <c r="BA9" s="1">
        <f t="shared" si="39"/>
        <v>-3.2596564842639304</v>
      </c>
      <c r="BB9" s="1"/>
      <c r="BC9" s="1">
        <v>0.12690000000000001</v>
      </c>
      <c r="BD9" s="1">
        <f t="shared" si="13"/>
        <v>2.9901587301587221E-2</v>
      </c>
      <c r="BE9" s="1">
        <f t="shared" si="40"/>
        <v>-3.5098437129849556</v>
      </c>
      <c r="BF9" s="1"/>
      <c r="BG9" s="1">
        <v>0.13020000000000001</v>
      </c>
      <c r="BH9" s="1">
        <f t="shared" si="14"/>
        <v>3.3201587301587218E-2</v>
      </c>
      <c r="BI9" s="1">
        <f t="shared" si="41"/>
        <v>-2.038683549207668</v>
      </c>
      <c r="BJ9" s="1"/>
      <c r="BK9" s="1">
        <v>0.1288</v>
      </c>
      <c r="BL9" s="1">
        <f t="shared" si="15"/>
        <v>3.1801587301587206E-2</v>
      </c>
      <c r="BM9" s="1">
        <f t="shared" si="42"/>
        <v>-3.4482390752974736</v>
      </c>
      <c r="BN9" s="1"/>
      <c r="BO9" s="1">
        <v>0.1313</v>
      </c>
      <c r="BP9" s="1">
        <f t="shared" si="16"/>
        <v>3.4301587301587208E-2</v>
      </c>
      <c r="BQ9" s="1">
        <f t="shared" si="43"/>
        <v>-3.3725636488667865</v>
      </c>
      <c r="BR9" s="1"/>
      <c r="BS9" s="1">
        <v>0.13450000000000001</v>
      </c>
      <c r="BT9" s="1">
        <f t="shared" si="17"/>
        <v>3.7501587301587216E-2</v>
      </c>
      <c r="BU9" s="1">
        <f t="shared" si="44"/>
        <v>-3.2833720188592523</v>
      </c>
      <c r="BV9" s="1"/>
      <c r="BW9" s="1">
        <v>0.14460000000000001</v>
      </c>
      <c r="BX9" s="1">
        <f t="shared" si="18"/>
        <v>4.7601587301587214E-2</v>
      </c>
      <c r="BY9" s="1">
        <f t="shared" si="45"/>
        <v>-3.0448891716287503</v>
      </c>
      <c r="BZ9" s="1"/>
      <c r="CA9" s="1">
        <v>0.13780000000000001</v>
      </c>
      <c r="CB9" s="1">
        <f t="shared" si="19"/>
        <v>4.0801587301587214E-2</v>
      </c>
      <c r="CC9" s="1">
        <f t="shared" si="46"/>
        <v>-3.1990342938781127</v>
      </c>
      <c r="CD9" s="1"/>
      <c r="CE9" s="1">
        <v>0.13109999999999999</v>
      </c>
      <c r="CF9" s="1">
        <f t="shared" si="20"/>
        <v>3.4101587301587202E-2</v>
      </c>
      <c r="CG9" s="1">
        <f t="shared" si="47"/>
        <v>-3.3784113473423685</v>
      </c>
      <c r="CH9" s="1"/>
      <c r="CI9" s="1">
        <v>0.13600000000000001</v>
      </c>
      <c r="CJ9" s="1">
        <f t="shared" si="21"/>
        <v>3.9001587301587218E-2</v>
      </c>
      <c r="CK9" s="1">
        <f t="shared" si="48"/>
        <v>-3.244152933640017</v>
      </c>
      <c r="CL9" s="1"/>
      <c r="CM9" s="1">
        <v>0.1278</v>
      </c>
      <c r="CN9" s="1">
        <f t="shared" si="22"/>
        <v>3.0801587301587205E-2</v>
      </c>
      <c r="CO9" s="1">
        <f t="shared" si="49"/>
        <v>-3.4801890545647121</v>
      </c>
      <c r="CP9" s="1"/>
      <c r="CQ9" s="1">
        <v>0.13320000000000001</v>
      </c>
      <c r="CR9" s="1">
        <f t="shared" si="23"/>
        <v>3.6201587301587221E-2</v>
      </c>
      <c r="CS9" s="1">
        <f t="shared" si="50"/>
        <v>-3.3186523130015679</v>
      </c>
      <c r="CT9" s="1"/>
      <c r="CU9" s="1">
        <v>0.1295</v>
      </c>
      <c r="CV9" s="1">
        <f t="shared" si="24"/>
        <v>3.2501587301587212E-2</v>
      </c>
      <c r="CW9" s="1">
        <f t="shared" si="51"/>
        <v>-3.4264663507902444</v>
      </c>
      <c r="CX9" s="1"/>
      <c r="CY9" s="1">
        <v>0.1305</v>
      </c>
      <c r="CZ9" s="1">
        <f t="shared" si="25"/>
        <v>3.3501587301587213E-2</v>
      </c>
      <c r="DA9" s="1">
        <f t="shared" si="52"/>
        <v>-3.3961624591366824</v>
      </c>
      <c r="DB9" s="1"/>
      <c r="DC9" s="1">
        <v>0.13320000000000001</v>
      </c>
      <c r="DD9" s="1">
        <f t="shared" si="26"/>
        <v>3.6201587301587221E-2</v>
      </c>
      <c r="DE9">
        <f t="shared" si="53"/>
        <v>-3.3186523130015679</v>
      </c>
    </row>
    <row r="10" spans="2:109" x14ac:dyDescent="0.2">
      <c r="B10">
        <v>1.6699052777777776</v>
      </c>
      <c r="C10" s="1">
        <v>0.16309999999999999</v>
      </c>
      <c r="D10" s="1">
        <f t="shared" si="0"/>
        <v>6.6101587301587203E-2</v>
      </c>
      <c r="E10" s="1">
        <f t="shared" si="27"/>
        <v>-2.7165625187730735</v>
      </c>
      <c r="F10" s="1"/>
      <c r="G10" s="1">
        <v>0.15409999999999999</v>
      </c>
      <c r="H10" s="1">
        <f t="shared" si="1"/>
        <v>5.7101587301587195E-2</v>
      </c>
      <c r="I10" s="1">
        <f t="shared" si="28"/>
        <v>-2.8629233640798013</v>
      </c>
      <c r="J10" s="1"/>
      <c r="K10" s="1">
        <v>0.15049999999999999</v>
      </c>
      <c r="L10" s="1">
        <f t="shared" si="2"/>
        <v>5.3501587301587203E-2</v>
      </c>
      <c r="M10" s="1">
        <f t="shared" si="29"/>
        <v>-2.9280439563317522</v>
      </c>
      <c r="N10" s="1"/>
      <c r="O10" s="1">
        <v>0.16120000000000001</v>
      </c>
      <c r="P10" s="1">
        <f t="shared" si="3"/>
        <v>6.4201587301587218E-2</v>
      </c>
      <c r="Q10" s="1">
        <f t="shared" si="30"/>
        <v>-2.7457273442680741</v>
      </c>
      <c r="R10" s="1"/>
      <c r="S10" s="1">
        <v>0.14430000000000001</v>
      </c>
      <c r="T10" s="1">
        <f t="shared" si="4"/>
        <v>4.730158730158722E-2</v>
      </c>
      <c r="U10" s="1">
        <f t="shared" si="31"/>
        <v>-3.0512114258742216</v>
      </c>
      <c r="V10" s="1"/>
      <c r="W10" s="1">
        <v>0.15529999999999999</v>
      </c>
      <c r="X10" s="1">
        <f t="shared" si="5"/>
        <v>5.8301587301587202E-2</v>
      </c>
      <c r="Y10" s="1">
        <f t="shared" si="32"/>
        <v>-2.842125959554004</v>
      </c>
      <c r="Z10" s="1"/>
      <c r="AA10" s="1">
        <v>0.14810000000000001</v>
      </c>
      <c r="AB10" s="1">
        <f t="shared" si="6"/>
        <v>5.1101587301587217E-2</v>
      </c>
      <c r="AC10" s="1">
        <f t="shared" si="33"/>
        <v>-2.9739397196015425</v>
      </c>
      <c r="AD10" s="1"/>
      <c r="AE10" s="1">
        <v>0.14949999999999999</v>
      </c>
      <c r="AF10" s="1">
        <f t="shared" si="7"/>
        <v>5.2501587301587202E-2</v>
      </c>
      <c r="AG10" s="1">
        <f t="shared" si="34"/>
        <v>-2.94691187552566</v>
      </c>
      <c r="AH10" s="1"/>
      <c r="AI10" s="1">
        <v>0.15909999999999999</v>
      </c>
      <c r="AJ10" s="1">
        <f t="shared" si="8"/>
        <v>6.2101587301587199E-2</v>
      </c>
      <c r="AK10" s="1">
        <f t="shared" si="35"/>
        <v>-2.7789837299573334</v>
      </c>
      <c r="AL10" s="1"/>
      <c r="AM10" s="1">
        <v>0.1734</v>
      </c>
      <c r="AN10" s="1">
        <f t="shared" si="9"/>
        <v>7.6401587301587207E-2</v>
      </c>
      <c r="AO10" s="1">
        <f t="shared" si="36"/>
        <v>-2.5717518068266991</v>
      </c>
      <c r="AP10" s="1"/>
      <c r="AQ10" s="1">
        <v>0.15640000000000001</v>
      </c>
      <c r="AR10" s="1">
        <f t="shared" si="10"/>
        <v>5.9401587301587219E-2</v>
      </c>
      <c r="AS10" s="1">
        <f t="shared" si="37"/>
        <v>-2.8234343307216276</v>
      </c>
      <c r="AT10" s="1"/>
      <c r="AU10" s="1">
        <v>0.15379999999999999</v>
      </c>
      <c r="AV10" s="1">
        <f t="shared" si="11"/>
        <v>5.68015873015872E-2</v>
      </c>
      <c r="AW10" s="1">
        <f t="shared" si="38"/>
        <v>-2.8681910081950193</v>
      </c>
      <c r="AX10" s="1"/>
      <c r="AY10" s="1">
        <v>0.1613</v>
      </c>
      <c r="AZ10" s="1">
        <f t="shared" si="12"/>
        <v>6.4301587301587207E-2</v>
      </c>
      <c r="BA10" s="1">
        <f t="shared" si="39"/>
        <v>-2.7441709621709807</v>
      </c>
      <c r="BB10" s="1"/>
      <c r="BC10" s="1">
        <v>0.14549999999999999</v>
      </c>
      <c r="BD10" s="1">
        <f t="shared" si="13"/>
        <v>4.8501587301587198E-2</v>
      </c>
      <c r="BE10" s="1">
        <f t="shared" si="40"/>
        <v>-3.0261587537064671</v>
      </c>
      <c r="BF10" s="1"/>
      <c r="BG10" s="1">
        <v>0.15079999999999999</v>
      </c>
      <c r="BH10" s="1">
        <f t="shared" si="14"/>
        <v>5.3801587301587198E-2</v>
      </c>
      <c r="BI10" s="1">
        <f t="shared" si="41"/>
        <v>-1.8918008234082815</v>
      </c>
      <c r="BJ10" s="1"/>
      <c r="BK10" s="1">
        <v>0.14910000000000001</v>
      </c>
      <c r="BL10" s="1">
        <f t="shared" si="15"/>
        <v>5.2101587301587218E-2</v>
      </c>
      <c r="BM10" s="1">
        <f t="shared" si="42"/>
        <v>-2.9545598642456952</v>
      </c>
      <c r="BN10" s="1"/>
      <c r="BO10" s="1">
        <v>0.15029999999999999</v>
      </c>
      <c r="BP10" s="1">
        <f t="shared" si="16"/>
        <v>5.3301587301587197E-2</v>
      </c>
      <c r="BQ10" s="1">
        <f t="shared" si="43"/>
        <v>-2.9317891677361856</v>
      </c>
      <c r="BR10" s="1"/>
      <c r="BS10" s="1">
        <v>0.15440000000000001</v>
      </c>
      <c r="BT10" s="1">
        <f t="shared" si="17"/>
        <v>5.7401587301587217E-2</v>
      </c>
      <c r="BU10" s="1">
        <f t="shared" si="44"/>
        <v>-2.8576833227012064</v>
      </c>
      <c r="BV10" s="1"/>
      <c r="BW10" s="1">
        <v>0.17510000000000001</v>
      </c>
      <c r="BX10" s="1">
        <f t="shared" si="18"/>
        <v>7.8101587301587214E-2</v>
      </c>
      <c r="BY10" s="1">
        <f t="shared" si="45"/>
        <v>-2.5497448983790409</v>
      </c>
      <c r="BZ10" s="1"/>
      <c r="CA10" s="1">
        <v>0.1636</v>
      </c>
      <c r="CB10" s="1">
        <f t="shared" si="19"/>
        <v>6.6601587301587203E-2</v>
      </c>
      <c r="CC10" s="1">
        <f t="shared" si="46"/>
        <v>-2.7090268683626384</v>
      </c>
      <c r="CD10" s="1"/>
      <c r="CE10" s="1">
        <v>0.152</v>
      </c>
      <c r="CF10" s="1">
        <f t="shared" si="20"/>
        <v>5.5001587301587204E-2</v>
      </c>
      <c r="CG10" s="1">
        <f t="shared" si="47"/>
        <v>-2.9003932341372507</v>
      </c>
      <c r="CH10" s="1"/>
      <c r="CI10" s="1">
        <v>0.15989999999999999</v>
      </c>
      <c r="CJ10" s="1">
        <f t="shared" si="21"/>
        <v>6.2901587301587195E-2</v>
      </c>
      <c r="CK10" s="1">
        <f t="shared" si="48"/>
        <v>-2.7661838802747964</v>
      </c>
      <c r="CL10" s="1"/>
      <c r="CM10" s="1">
        <v>0.14560000000000001</v>
      </c>
      <c r="CN10" s="1">
        <f t="shared" si="22"/>
        <v>4.8601587301587215E-2</v>
      </c>
      <c r="CO10" s="1">
        <f t="shared" si="49"/>
        <v>-3.0240990880825462</v>
      </c>
      <c r="CP10" s="1"/>
      <c r="CQ10" s="1">
        <v>0.15490000000000001</v>
      </c>
      <c r="CR10" s="1">
        <f t="shared" si="23"/>
        <v>5.7901587301587218E-2</v>
      </c>
      <c r="CS10" s="1">
        <f t="shared" si="50"/>
        <v>-2.8490104802437739</v>
      </c>
      <c r="CT10" s="1"/>
      <c r="CU10" s="1">
        <v>0.1472</v>
      </c>
      <c r="CV10" s="1">
        <f t="shared" si="24"/>
        <v>5.0201587301587206E-2</v>
      </c>
      <c r="CW10" s="1">
        <f t="shared" si="51"/>
        <v>-2.9917086332308109</v>
      </c>
      <c r="CX10" s="1"/>
      <c r="CY10" s="1">
        <v>0.15</v>
      </c>
      <c r="CZ10" s="1">
        <f t="shared" si="25"/>
        <v>5.3001587301587202E-2</v>
      </c>
      <c r="DA10" s="1">
        <f t="shared" si="52"/>
        <v>-2.9374334167919294</v>
      </c>
      <c r="DB10" s="1"/>
      <c r="DC10" s="1">
        <v>0.15160000000000001</v>
      </c>
      <c r="DD10" s="1">
        <f t="shared" si="26"/>
        <v>5.4601587301587221E-2</v>
      </c>
      <c r="DE10">
        <f t="shared" si="53"/>
        <v>-2.9076923251962028</v>
      </c>
    </row>
    <row r="11" spans="2:109" x14ac:dyDescent="0.2">
      <c r="B11">
        <v>1.9083944444444445</v>
      </c>
      <c r="C11" s="1">
        <v>0.20760000000000001</v>
      </c>
      <c r="D11" s="1">
        <f t="shared" si="0"/>
        <v>0.11060158730158721</v>
      </c>
      <c r="E11" s="1">
        <f t="shared" si="27"/>
        <v>-2.2018208382646343</v>
      </c>
      <c r="F11" s="1"/>
      <c r="G11" s="1">
        <v>0.18959999999999999</v>
      </c>
      <c r="H11" s="1">
        <f t="shared" si="1"/>
        <v>9.2601587301587199E-2</v>
      </c>
      <c r="I11" s="1">
        <f t="shared" si="28"/>
        <v>-2.3794489959910941</v>
      </c>
      <c r="J11" s="1"/>
      <c r="K11" s="1">
        <v>0.1862</v>
      </c>
      <c r="L11" s="1">
        <f t="shared" si="2"/>
        <v>8.9201587301587212E-2</v>
      </c>
      <c r="M11" s="1">
        <f t="shared" si="29"/>
        <v>-2.4168564446936567</v>
      </c>
      <c r="N11" s="1"/>
      <c r="O11" s="1">
        <v>0.2041</v>
      </c>
      <c r="P11" s="1">
        <f t="shared" si="3"/>
        <v>0.10710158730158721</v>
      </c>
      <c r="Q11" s="1">
        <f t="shared" si="30"/>
        <v>-2.2339774808951489</v>
      </c>
      <c r="R11" s="1"/>
      <c r="S11" s="1">
        <v>0.1759</v>
      </c>
      <c r="T11" s="1">
        <f t="shared" si="4"/>
        <v>7.8901587301587209E-2</v>
      </c>
      <c r="U11" s="1">
        <f t="shared" si="31"/>
        <v>-2.5395539334418316</v>
      </c>
      <c r="V11" s="1"/>
      <c r="W11" s="1">
        <v>0.1933</v>
      </c>
      <c r="X11" s="1">
        <f t="shared" si="5"/>
        <v>9.6301587301587208E-2</v>
      </c>
      <c r="Y11" s="1">
        <f t="shared" si="32"/>
        <v>-2.340270477431373</v>
      </c>
      <c r="Z11" s="1"/>
      <c r="AA11" s="1">
        <v>0.1835</v>
      </c>
      <c r="AB11" s="1">
        <f t="shared" si="6"/>
        <v>8.6501587301587204E-2</v>
      </c>
      <c r="AC11" s="1">
        <f t="shared" si="33"/>
        <v>-2.4475925149053017</v>
      </c>
      <c r="AD11" s="1"/>
      <c r="AE11" s="1">
        <v>0.18690000000000001</v>
      </c>
      <c r="AF11" s="1">
        <f t="shared" si="7"/>
        <v>8.9901587301587219E-2</v>
      </c>
      <c r="AG11" s="1">
        <f t="shared" si="34"/>
        <v>-2.409039681358017</v>
      </c>
      <c r="AH11" s="1"/>
      <c r="AI11" s="1">
        <v>0.19570000000000001</v>
      </c>
      <c r="AJ11" s="1">
        <f t="shared" si="8"/>
        <v>9.8701587301587221E-2</v>
      </c>
      <c r="AK11" s="1">
        <f t="shared" si="35"/>
        <v>-2.3156542505890658</v>
      </c>
      <c r="AL11" s="1"/>
      <c r="AM11" s="1">
        <v>0.22059999999999999</v>
      </c>
      <c r="AN11" s="1">
        <f t="shared" si="9"/>
        <v>0.1236015873015872</v>
      </c>
      <c r="AO11" s="1">
        <f t="shared" si="36"/>
        <v>-2.0906918917951565</v>
      </c>
      <c r="AP11" s="1"/>
      <c r="AQ11" s="1">
        <v>0.1946</v>
      </c>
      <c r="AR11" s="1">
        <f t="shared" si="10"/>
        <v>9.7601587301587203E-2</v>
      </c>
      <c r="AS11" s="1">
        <f t="shared" si="37"/>
        <v>-2.3268615223594025</v>
      </c>
      <c r="AT11" s="1"/>
      <c r="AU11" s="1">
        <v>0.19009999999999999</v>
      </c>
      <c r="AV11" s="1">
        <f t="shared" si="11"/>
        <v>9.3101587301587199E-2</v>
      </c>
      <c r="AW11" s="1">
        <f t="shared" si="38"/>
        <v>-2.3740640454181698</v>
      </c>
      <c r="AX11" s="1"/>
      <c r="AY11" s="1">
        <v>0.20330000000000001</v>
      </c>
      <c r="AZ11" s="1">
        <f t="shared" si="12"/>
        <v>0.10630158730158722</v>
      </c>
      <c r="BA11" s="1">
        <f t="shared" si="39"/>
        <v>-2.2414750614636203</v>
      </c>
      <c r="BB11" s="1"/>
      <c r="BC11" s="1">
        <v>0.17599999999999999</v>
      </c>
      <c r="BD11" s="1">
        <f t="shared" si="13"/>
        <v>7.9001587301587198E-2</v>
      </c>
      <c r="BE11" s="1">
        <f t="shared" si="40"/>
        <v>-2.5382873342918111</v>
      </c>
      <c r="BF11" s="1"/>
      <c r="BG11" s="1">
        <v>0.18329999999999999</v>
      </c>
      <c r="BH11" s="1">
        <f t="shared" si="14"/>
        <v>8.6301587301587199E-2</v>
      </c>
      <c r="BI11" s="1">
        <f t="shared" si="41"/>
        <v>-1.6966311241364778</v>
      </c>
      <c r="BJ11" s="1"/>
      <c r="BK11" s="1">
        <v>0.1817</v>
      </c>
      <c r="BL11" s="1">
        <f t="shared" si="15"/>
        <v>8.4701587301587208E-2</v>
      </c>
      <c r="BM11" s="1">
        <f t="shared" si="42"/>
        <v>-2.4686209372212455</v>
      </c>
      <c r="BN11" s="1"/>
      <c r="BO11" s="1">
        <v>0.18490000000000001</v>
      </c>
      <c r="BP11" s="1">
        <f t="shared" si="16"/>
        <v>8.7901587301587217E-2</v>
      </c>
      <c r="BQ11" s="1">
        <f t="shared" si="43"/>
        <v>-2.4315374164155155</v>
      </c>
      <c r="BR11" s="1"/>
      <c r="BS11" s="1">
        <v>0.18579999999999999</v>
      </c>
      <c r="BT11" s="1">
        <f t="shared" si="17"/>
        <v>8.8801587301587201E-2</v>
      </c>
      <c r="BU11" s="1">
        <f t="shared" si="44"/>
        <v>-2.421350754125895</v>
      </c>
      <c r="BV11" s="1"/>
      <c r="BW11" s="1">
        <v>0.22520000000000001</v>
      </c>
      <c r="BX11" s="1">
        <f t="shared" si="18"/>
        <v>0.12820158730158721</v>
      </c>
      <c r="BY11" s="1">
        <f t="shared" si="45"/>
        <v>-2.054151353124579</v>
      </c>
      <c r="BZ11" s="1"/>
      <c r="CA11" s="1">
        <v>0.20630000000000001</v>
      </c>
      <c r="CB11" s="1">
        <f t="shared" si="19"/>
        <v>0.10930158730158722</v>
      </c>
      <c r="CC11" s="1">
        <f t="shared" si="46"/>
        <v>-2.2136443614752013</v>
      </c>
      <c r="CD11" s="1"/>
      <c r="CE11" s="1">
        <v>0.18709999999999999</v>
      </c>
      <c r="CF11" s="1">
        <f t="shared" si="20"/>
        <v>9.0101587301587197E-2</v>
      </c>
      <c r="CG11" s="1">
        <f t="shared" si="47"/>
        <v>-2.4068174974132885</v>
      </c>
      <c r="CH11" s="1"/>
      <c r="CI11" s="1">
        <v>0.2029</v>
      </c>
      <c r="CJ11" s="1">
        <f t="shared" si="21"/>
        <v>0.10590158730158721</v>
      </c>
      <c r="CK11" s="1">
        <f t="shared" si="48"/>
        <v>-2.2452450378035627</v>
      </c>
      <c r="CL11" s="1"/>
      <c r="CM11" s="1">
        <v>0.17660000000000001</v>
      </c>
      <c r="CN11" s="1">
        <f t="shared" si="22"/>
        <v>7.9601587301587215E-2</v>
      </c>
      <c r="CO11" s="1">
        <f t="shared" si="49"/>
        <v>-2.5307212453559047</v>
      </c>
      <c r="CP11" s="1"/>
      <c r="CQ11" s="1">
        <v>0.19109999999999999</v>
      </c>
      <c r="CR11" s="1">
        <f t="shared" si="23"/>
        <v>9.41015873015872E-2</v>
      </c>
      <c r="CS11" s="1">
        <f t="shared" si="50"/>
        <v>-2.363380364290911</v>
      </c>
      <c r="CT11" s="1"/>
      <c r="CU11" s="1">
        <v>0.17960000000000001</v>
      </c>
      <c r="CV11" s="1">
        <f t="shared" si="24"/>
        <v>8.2601587301587218E-2</v>
      </c>
      <c r="CW11" s="1">
        <f t="shared" si="51"/>
        <v>-2.4937263819136062</v>
      </c>
      <c r="CX11" s="1"/>
      <c r="CY11" s="1">
        <v>0.18429999999999999</v>
      </c>
      <c r="CZ11" s="1">
        <f t="shared" si="25"/>
        <v>8.73015873015872E-2</v>
      </c>
      <c r="DA11" s="1">
        <f t="shared" si="52"/>
        <v>-2.4383866341531086</v>
      </c>
      <c r="DB11" s="1"/>
      <c r="DC11" s="1">
        <v>0.1832</v>
      </c>
      <c r="DD11" s="1">
        <f t="shared" si="26"/>
        <v>8.620158730158721E-2</v>
      </c>
      <c r="DE11">
        <f t="shared" si="53"/>
        <v>-2.4510666873104832</v>
      </c>
    </row>
    <row r="12" spans="2:109" s="33" customFormat="1" x14ac:dyDescent="0.2">
      <c r="B12" s="33">
        <v>2.1469902777777778</v>
      </c>
      <c r="C12" s="33">
        <v>0.27900000000000003</v>
      </c>
      <c r="D12" s="33">
        <f t="shared" si="0"/>
        <v>0.18200158730158722</v>
      </c>
      <c r="E12" s="33">
        <f t="shared" si="27"/>
        <v>-1.7037398705060809</v>
      </c>
      <c r="G12" s="33">
        <v>0.25230000000000002</v>
      </c>
      <c r="H12" s="33">
        <f t="shared" si="1"/>
        <v>0.15530158730158722</v>
      </c>
      <c r="I12" s="33">
        <f t="shared" si="28"/>
        <v>-1.8623863280066619</v>
      </c>
      <c r="K12" s="33">
        <v>0.24340000000000001</v>
      </c>
      <c r="L12" s="33">
        <f t="shared" si="2"/>
        <v>0.1464015873015872</v>
      </c>
      <c r="M12" s="33">
        <f t="shared" si="29"/>
        <v>-1.9214018352897462</v>
      </c>
      <c r="O12" s="33">
        <v>0.27400000000000002</v>
      </c>
      <c r="P12" s="33">
        <f t="shared" si="3"/>
        <v>0.17700158730158722</v>
      </c>
      <c r="Q12" s="33">
        <f t="shared" si="30"/>
        <v>-1.731596578642941</v>
      </c>
      <c r="S12" s="33">
        <v>0.2223</v>
      </c>
      <c r="T12" s="33">
        <f t="shared" si="4"/>
        <v>0.12530158730158719</v>
      </c>
      <c r="U12" s="33">
        <f t="shared" si="31"/>
        <v>-2.0770317491508781</v>
      </c>
      <c r="W12" s="33">
        <v>0.24560000000000001</v>
      </c>
      <c r="X12" s="33">
        <f t="shared" si="5"/>
        <v>0.14860158730158723</v>
      </c>
      <c r="Y12" s="33">
        <f t="shared" si="32"/>
        <v>-1.9064864650490183</v>
      </c>
      <c r="AA12" s="33">
        <v>0.23230000000000001</v>
      </c>
      <c r="AB12" s="33">
        <f t="shared" si="6"/>
        <v>0.1353015873015872</v>
      </c>
      <c r="AC12" s="33">
        <f t="shared" si="33"/>
        <v>-2.0002490121551628</v>
      </c>
      <c r="AE12" s="33">
        <v>0.23669999999999999</v>
      </c>
      <c r="AF12" s="33">
        <f t="shared" si="7"/>
        <v>0.13970158730158722</v>
      </c>
      <c r="AG12" s="33">
        <f t="shared" si="34"/>
        <v>-1.9682466505676843</v>
      </c>
      <c r="AI12" s="33">
        <v>0.24440000000000001</v>
      </c>
      <c r="AJ12" s="33">
        <f t="shared" si="8"/>
        <v>0.1474015873015872</v>
      </c>
      <c r="AK12" s="33">
        <f t="shared" si="35"/>
        <v>-1.9145945306173981</v>
      </c>
      <c r="AM12" s="33">
        <v>0.29349999999999998</v>
      </c>
      <c r="AN12" s="33">
        <f t="shared" si="9"/>
        <v>0.19650158730158718</v>
      </c>
      <c r="AO12" s="33">
        <f t="shared" si="36"/>
        <v>-1.6270847698347743</v>
      </c>
      <c r="AQ12" s="33">
        <v>0.25330000000000003</v>
      </c>
      <c r="AR12" s="33">
        <f t="shared" si="10"/>
        <v>0.15630158730158722</v>
      </c>
      <c r="AS12" s="33">
        <f t="shared" si="37"/>
        <v>-1.8559678861258682</v>
      </c>
      <c r="AU12" s="33">
        <v>0.24679999999999999</v>
      </c>
      <c r="AV12" s="33">
        <f t="shared" si="11"/>
        <v>0.14980158730158721</v>
      </c>
      <c r="AW12" s="33">
        <f t="shared" si="38"/>
        <v>-1.8984436118163901</v>
      </c>
      <c r="AY12" s="33">
        <v>0.26669999999999999</v>
      </c>
      <c r="AZ12" s="33">
        <f t="shared" si="12"/>
        <v>0.16970158730158719</v>
      </c>
      <c r="BA12" s="33">
        <f t="shared" si="39"/>
        <v>-1.773713753211233</v>
      </c>
      <c r="BC12" s="33">
        <v>0.2205</v>
      </c>
      <c r="BD12" s="33">
        <f t="shared" si="13"/>
        <v>0.12350158730158721</v>
      </c>
      <c r="BE12" s="33">
        <f t="shared" si="40"/>
        <v>-2.0915012703522686</v>
      </c>
      <c r="BG12" s="33">
        <v>0.23219999999999999</v>
      </c>
      <c r="BH12" s="33">
        <f t="shared" si="14"/>
        <v>0.13520158730158721</v>
      </c>
      <c r="BI12" s="33">
        <f t="shared" si="41"/>
        <v>-1.460156209718346</v>
      </c>
      <c r="BK12" s="33">
        <v>0.23069999999999999</v>
      </c>
      <c r="BL12" s="33">
        <f t="shared" si="15"/>
        <v>0.13370158730158721</v>
      </c>
      <c r="BM12" s="33">
        <f t="shared" si="42"/>
        <v>-2.012144922831121</v>
      </c>
      <c r="BO12" s="33">
        <v>0.23669999999999999</v>
      </c>
      <c r="BP12" s="33">
        <f t="shared" si="16"/>
        <v>0.13970158730158722</v>
      </c>
      <c r="BQ12" s="33">
        <f t="shared" si="43"/>
        <v>-1.9682466505676843</v>
      </c>
      <c r="BS12" s="33">
        <v>0.23130000000000001</v>
      </c>
      <c r="BT12" s="33">
        <f t="shared" si="17"/>
        <v>0.1343015873015872</v>
      </c>
      <c r="BU12" s="33">
        <f t="shared" si="44"/>
        <v>-2.0076673564491698</v>
      </c>
      <c r="BW12" s="33">
        <v>0.30449999999999999</v>
      </c>
      <c r="BX12" s="33">
        <f t="shared" si="18"/>
        <v>0.20750158730158719</v>
      </c>
      <c r="BY12" s="33">
        <f t="shared" si="45"/>
        <v>-1.5726162896944391</v>
      </c>
      <c r="CA12" s="33">
        <v>0.27210000000000001</v>
      </c>
      <c r="CB12" s="33">
        <f t="shared" si="19"/>
        <v>0.1751015873015872</v>
      </c>
      <c r="CC12" s="33">
        <f t="shared" si="46"/>
        <v>-1.7423889746167003</v>
      </c>
      <c r="CE12" s="33">
        <v>0.24379999999999999</v>
      </c>
      <c r="CF12" s="33">
        <f t="shared" si="20"/>
        <v>0.14680158730158721</v>
      </c>
      <c r="CG12" s="33">
        <f t="shared" si="47"/>
        <v>-1.9186733501790667</v>
      </c>
      <c r="CI12" s="33">
        <v>0.26590000000000003</v>
      </c>
      <c r="CJ12" s="33">
        <f t="shared" si="21"/>
        <v>0.16890158730158722</v>
      </c>
      <c r="CK12" s="33">
        <f t="shared" si="48"/>
        <v>-1.7784390573345839</v>
      </c>
      <c r="CM12" s="33">
        <v>0.22090000000000001</v>
      </c>
      <c r="CN12" s="33">
        <f t="shared" si="22"/>
        <v>0.12390158730158722</v>
      </c>
      <c r="CO12" s="33">
        <f t="shared" si="49"/>
        <v>-2.0882676792782773</v>
      </c>
      <c r="CQ12" s="33">
        <v>0.2414</v>
      </c>
      <c r="CR12" s="33">
        <f t="shared" si="23"/>
        <v>0.1444015873015872</v>
      </c>
      <c r="CS12" s="33">
        <f t="shared" si="50"/>
        <v>-1.9351570601905639</v>
      </c>
      <c r="CU12" s="33">
        <v>0.22509999999999999</v>
      </c>
      <c r="CV12" s="33">
        <f t="shared" si="24"/>
        <v>0.12810158730158722</v>
      </c>
      <c r="CW12" s="33">
        <f t="shared" si="51"/>
        <v>-2.0549316790431247</v>
      </c>
      <c r="CY12" s="33">
        <v>0.2326</v>
      </c>
      <c r="CZ12" s="33">
        <f t="shared" si="25"/>
        <v>0.13560158730158722</v>
      </c>
      <c r="DA12" s="33">
        <f t="shared" si="52"/>
        <v>-1.9980341977804361</v>
      </c>
      <c r="DC12" s="33">
        <v>0.2266</v>
      </c>
      <c r="DD12" s="33">
        <f t="shared" si="26"/>
        <v>0.12960158730158722</v>
      </c>
      <c r="DE12" s="33">
        <f t="shared" si="53"/>
        <v>-2.0432902474415329</v>
      </c>
    </row>
    <row r="13" spans="2:109" s="33" customFormat="1" x14ac:dyDescent="0.2">
      <c r="B13" s="33">
        <v>2.3854933333333332</v>
      </c>
      <c r="C13" s="33">
        <v>0.34289999999999998</v>
      </c>
      <c r="D13" s="33">
        <f t="shared" si="0"/>
        <v>0.24590158730158718</v>
      </c>
      <c r="E13" s="33">
        <f t="shared" si="27"/>
        <v>-1.4028238747113357</v>
      </c>
      <c r="G13" s="33">
        <v>0.34029999999999999</v>
      </c>
      <c r="H13" s="33">
        <f t="shared" si="1"/>
        <v>0.24330158730158719</v>
      </c>
      <c r="I13" s="33">
        <f t="shared" si="28"/>
        <v>-1.4134535051630284</v>
      </c>
      <c r="K13" s="33">
        <v>0.33400000000000002</v>
      </c>
      <c r="L13" s="33">
        <f t="shared" si="2"/>
        <v>0.23700158730158721</v>
      </c>
      <c r="M13" s="33">
        <f t="shared" si="29"/>
        <v>-1.4396884403943824</v>
      </c>
      <c r="O13" s="33">
        <v>0.35589999999999999</v>
      </c>
      <c r="P13" s="33">
        <f t="shared" si="3"/>
        <v>0.25890158730158719</v>
      </c>
      <c r="Q13" s="33">
        <f t="shared" si="30"/>
        <v>-1.3513072612987225</v>
      </c>
      <c r="S13" s="33">
        <v>0.29659999999999997</v>
      </c>
      <c r="T13" s="33">
        <f t="shared" si="4"/>
        <v>0.19960158730158717</v>
      </c>
      <c r="U13" s="33">
        <f t="shared" si="31"/>
        <v>-1.6114319627236324</v>
      </c>
      <c r="W13" s="33">
        <v>0.33379999999999999</v>
      </c>
      <c r="X13" s="33">
        <f t="shared" si="5"/>
        <v>0.23680158730158718</v>
      </c>
      <c r="Y13" s="33">
        <f t="shared" si="32"/>
        <v>-1.4405326728630496</v>
      </c>
      <c r="AA13" s="33">
        <v>0.31319999999999998</v>
      </c>
      <c r="AB13" s="33">
        <f t="shared" si="6"/>
        <v>0.21620158730158717</v>
      </c>
      <c r="AC13" s="33">
        <f t="shared" si="33"/>
        <v>-1.531544031983503</v>
      </c>
      <c r="AE13" s="33">
        <v>0.31940000000000002</v>
      </c>
      <c r="AF13" s="33">
        <f t="shared" si="7"/>
        <v>0.22240158730158721</v>
      </c>
      <c r="AG13" s="33">
        <f t="shared" si="34"/>
        <v>-1.5032705794837546</v>
      </c>
      <c r="AI13" s="33">
        <v>0.32029999999999997</v>
      </c>
      <c r="AJ13" s="33">
        <f t="shared" si="8"/>
        <v>0.22330158730158717</v>
      </c>
      <c r="AK13" s="33">
        <f t="shared" si="35"/>
        <v>-1.4992320117797973</v>
      </c>
      <c r="AM13" s="33">
        <v>0.37</v>
      </c>
      <c r="AN13" s="33">
        <f t="shared" si="9"/>
        <v>0.27300158730158719</v>
      </c>
      <c r="AO13" s="33">
        <f t="shared" si="36"/>
        <v>-1.298277669522552</v>
      </c>
      <c r="AQ13" s="33">
        <v>0.3458</v>
      </c>
      <c r="AR13" s="33">
        <f t="shared" si="10"/>
        <v>0.24880158730158719</v>
      </c>
      <c r="AS13" s="33">
        <f t="shared" si="37"/>
        <v>-1.3910995383079332</v>
      </c>
      <c r="AU13" s="33">
        <v>0.34260000000000002</v>
      </c>
      <c r="AV13" s="33">
        <f t="shared" si="11"/>
        <v>0.24560158730158721</v>
      </c>
      <c r="AW13" s="33">
        <f t="shared" si="38"/>
        <v>-1.4040446197756891</v>
      </c>
      <c r="AY13" s="33">
        <v>0.35930000000000001</v>
      </c>
      <c r="AZ13" s="33">
        <f t="shared" si="12"/>
        <v>0.2623015873015872</v>
      </c>
      <c r="BA13" s="33">
        <f t="shared" si="39"/>
        <v>-1.3382603406537832</v>
      </c>
      <c r="BC13" s="33">
        <v>0.2928</v>
      </c>
      <c r="BD13" s="33">
        <f t="shared" si="13"/>
        <v>0.1958015873015872</v>
      </c>
      <c r="BE13" s="33">
        <f t="shared" si="40"/>
        <v>-1.6306534421689074</v>
      </c>
      <c r="BG13" s="33">
        <v>0.31080000000000002</v>
      </c>
      <c r="BH13" s="33">
        <f t="shared" si="14"/>
        <v>0.21380158730158721</v>
      </c>
      <c r="BI13" s="33">
        <f t="shared" si="41"/>
        <v>-1.1686056604886446</v>
      </c>
      <c r="BK13" s="33">
        <v>0.30859999999999999</v>
      </c>
      <c r="BL13" s="33">
        <f t="shared" si="15"/>
        <v>0.21160158730158718</v>
      </c>
      <c r="BM13" s="33">
        <f t="shared" si="42"/>
        <v>-1.553050077600858</v>
      </c>
      <c r="BO13" s="33">
        <v>0.31580000000000003</v>
      </c>
      <c r="BP13" s="33">
        <f t="shared" si="16"/>
        <v>0.21880158730158722</v>
      </c>
      <c r="BQ13" s="33">
        <f t="shared" si="43"/>
        <v>-1.5195899538829871</v>
      </c>
      <c r="BS13" s="33">
        <v>0.30120000000000002</v>
      </c>
      <c r="BT13" s="33">
        <f t="shared" si="17"/>
        <v>0.20420158730158722</v>
      </c>
      <c r="BU13" s="33">
        <f t="shared" si="44"/>
        <v>-1.5886476000125025</v>
      </c>
      <c r="BW13" s="33">
        <v>0.38069999999999998</v>
      </c>
      <c r="BX13" s="33">
        <f t="shared" si="18"/>
        <v>0.28370158730158718</v>
      </c>
      <c r="BY13" s="33">
        <f t="shared" si="45"/>
        <v>-1.259832342182676</v>
      </c>
      <c r="CA13" s="33">
        <v>0.3634</v>
      </c>
      <c r="CB13" s="33">
        <f t="shared" si="19"/>
        <v>0.26640158730158719</v>
      </c>
      <c r="CC13" s="33">
        <f t="shared" si="46"/>
        <v>-1.3227503819943625</v>
      </c>
      <c r="CE13" s="33">
        <v>0.3306</v>
      </c>
      <c r="CF13" s="33">
        <f t="shared" si="20"/>
        <v>0.2336015873015872</v>
      </c>
      <c r="CG13" s="33">
        <f t="shared" si="47"/>
        <v>-1.454138233095726</v>
      </c>
      <c r="CI13" s="33">
        <v>0.36770000000000003</v>
      </c>
      <c r="CJ13" s="33">
        <f t="shared" si="21"/>
        <v>0.27070158730158722</v>
      </c>
      <c r="CK13" s="33">
        <f t="shared" si="48"/>
        <v>-1.3067382186864716</v>
      </c>
      <c r="CM13" s="33">
        <v>0.29310000000000003</v>
      </c>
      <c r="CN13" s="33">
        <f t="shared" si="22"/>
        <v>0.19610158730158722</v>
      </c>
      <c r="CO13" s="33">
        <f t="shared" si="49"/>
        <v>-1.629122451464879</v>
      </c>
      <c r="CQ13" s="33">
        <v>0.32500000000000001</v>
      </c>
      <c r="CR13" s="33">
        <f t="shared" si="23"/>
        <v>0.22800158730158721</v>
      </c>
      <c r="CS13" s="33">
        <f t="shared" si="50"/>
        <v>-1.4784026882028631</v>
      </c>
      <c r="CU13" s="33">
        <v>0.3</v>
      </c>
      <c r="CV13" s="33">
        <f t="shared" si="24"/>
        <v>0.20300158730158718</v>
      </c>
      <c r="CW13" s="33">
        <f t="shared" si="51"/>
        <v>-1.5945414807512783</v>
      </c>
      <c r="CY13" s="33">
        <v>0.31340000000000001</v>
      </c>
      <c r="CZ13" s="33">
        <f t="shared" si="25"/>
        <v>0.21640158730158721</v>
      </c>
      <c r="DA13" s="33">
        <f t="shared" si="52"/>
        <v>-1.5306193970016508</v>
      </c>
      <c r="DC13" s="33">
        <v>0.29370000000000002</v>
      </c>
      <c r="DD13" s="33">
        <f t="shared" si="26"/>
        <v>0.19670158730158721</v>
      </c>
      <c r="DE13" s="33">
        <f t="shared" si="53"/>
        <v>-1.6260674839624021</v>
      </c>
    </row>
    <row r="14" spans="2:109" x14ac:dyDescent="0.2">
      <c r="B14">
        <v>2.623989166666667</v>
      </c>
      <c r="C14" s="1">
        <v>0.43130000000000002</v>
      </c>
      <c r="D14" s="1">
        <f t="shared" si="0"/>
        <v>0.33430158730158721</v>
      </c>
      <c r="E14" s="1">
        <f t="shared" si="27"/>
        <v>-1.0957117374321867</v>
      </c>
      <c r="F14" s="1"/>
      <c r="G14" s="1">
        <v>0.4037</v>
      </c>
      <c r="H14" s="1">
        <f t="shared" si="1"/>
        <v>0.3067015873015872</v>
      </c>
      <c r="I14" s="1">
        <f t="shared" si="28"/>
        <v>-1.181880032454433</v>
      </c>
      <c r="J14" s="1"/>
      <c r="K14" s="1">
        <v>0.3997</v>
      </c>
      <c r="L14" s="1">
        <f t="shared" si="2"/>
        <v>0.30270158730158719</v>
      </c>
      <c r="M14" s="1">
        <f t="shared" si="29"/>
        <v>-1.1950078191572211</v>
      </c>
      <c r="N14" s="1"/>
      <c r="O14" s="1">
        <v>0.44450000000000001</v>
      </c>
      <c r="P14" s="1">
        <f t="shared" si="3"/>
        <v>0.3475015873015872</v>
      </c>
      <c r="Q14" s="1">
        <f t="shared" si="30"/>
        <v>-1.0569860462133709</v>
      </c>
      <c r="R14" s="1"/>
      <c r="S14" s="1">
        <v>0.37309999999999999</v>
      </c>
      <c r="T14" s="1">
        <f t="shared" si="4"/>
        <v>0.27610158730158718</v>
      </c>
      <c r="U14" s="1">
        <f t="shared" si="31"/>
        <v>-1.2869864110528211</v>
      </c>
      <c r="V14" s="1"/>
      <c r="W14" s="1">
        <v>0.41160000000000002</v>
      </c>
      <c r="X14" s="1">
        <f t="shared" si="5"/>
        <v>0.31460158730158722</v>
      </c>
      <c r="Y14" s="1">
        <f t="shared" si="32"/>
        <v>-1.1564482429110972</v>
      </c>
      <c r="Z14" s="1"/>
      <c r="AA14" s="1">
        <v>0.40050000000000002</v>
      </c>
      <c r="AB14" s="1">
        <f t="shared" si="6"/>
        <v>0.30350158730158722</v>
      </c>
      <c r="AC14" s="1">
        <f t="shared" si="33"/>
        <v>-1.1923684385075053</v>
      </c>
      <c r="AD14" s="1"/>
      <c r="AE14" s="1">
        <v>0.4113</v>
      </c>
      <c r="AF14" s="1">
        <f t="shared" si="7"/>
        <v>0.31430158730158719</v>
      </c>
      <c r="AG14" s="1">
        <f t="shared" si="34"/>
        <v>-1.1574022849158756</v>
      </c>
      <c r="AH14" s="1"/>
      <c r="AI14" s="1">
        <v>0.41270000000000001</v>
      </c>
      <c r="AJ14" s="1">
        <f t="shared" si="8"/>
        <v>0.31570158730158721</v>
      </c>
      <c r="AK14" s="1">
        <f t="shared" si="35"/>
        <v>-1.1529578555512388</v>
      </c>
      <c r="AL14" s="1"/>
      <c r="AM14" s="1">
        <v>0.46689999999999998</v>
      </c>
      <c r="AN14" s="1">
        <f t="shared" si="9"/>
        <v>0.36990158730158718</v>
      </c>
      <c r="AO14" s="1">
        <f t="shared" si="36"/>
        <v>-0.99451828898887207</v>
      </c>
      <c r="AP14" s="1"/>
      <c r="AQ14" s="1">
        <v>0.41880000000000001</v>
      </c>
      <c r="AR14" s="1">
        <f t="shared" si="10"/>
        <v>0.3218015873015872</v>
      </c>
      <c r="AS14" s="1">
        <f t="shared" si="37"/>
        <v>-1.1338201118642754</v>
      </c>
      <c r="AT14" s="1"/>
      <c r="AU14" s="1">
        <v>0.41099999999999998</v>
      </c>
      <c r="AV14" s="1">
        <f t="shared" si="11"/>
        <v>0.31400158730158717</v>
      </c>
      <c r="AW14" s="1">
        <f t="shared" si="38"/>
        <v>-1.1583572379860645</v>
      </c>
      <c r="AX14" s="1"/>
      <c r="AY14" s="1">
        <v>0.44590000000000002</v>
      </c>
      <c r="AZ14" s="1">
        <f t="shared" si="12"/>
        <v>0.34890158730158721</v>
      </c>
      <c r="BA14" s="1">
        <f t="shared" si="39"/>
        <v>-1.0529653813541076</v>
      </c>
      <c r="BB14" s="1"/>
      <c r="BC14" s="1">
        <v>0.37380000000000002</v>
      </c>
      <c r="BD14" s="1">
        <f t="shared" si="13"/>
        <v>0.27680158730158722</v>
      </c>
      <c r="BE14" s="1">
        <f t="shared" si="40"/>
        <v>-1.2844543207840124</v>
      </c>
      <c r="BF14" s="1"/>
      <c r="BG14" s="1">
        <v>0.39479999999999998</v>
      </c>
      <c r="BH14" s="1">
        <f t="shared" si="14"/>
        <v>0.29780158730158718</v>
      </c>
      <c r="BI14" s="1">
        <f t="shared" si="41"/>
        <v>-0.92937597142281059</v>
      </c>
      <c r="BJ14" s="1"/>
      <c r="BK14" s="1">
        <v>0.39290000000000003</v>
      </c>
      <c r="BL14" s="1">
        <f t="shared" si="15"/>
        <v>0.29590158730158722</v>
      </c>
      <c r="BM14" s="1">
        <f t="shared" si="42"/>
        <v>-1.2177283552727294</v>
      </c>
      <c r="BN14" s="1"/>
      <c r="BO14" s="1">
        <v>0.40079999999999999</v>
      </c>
      <c r="BP14" s="1">
        <f t="shared" si="16"/>
        <v>0.30380158730158718</v>
      </c>
      <c r="BQ14" s="1">
        <f t="shared" si="43"/>
        <v>-1.1913804640099297</v>
      </c>
      <c r="BR14" s="1"/>
      <c r="BS14" s="1">
        <v>0.39179999999999998</v>
      </c>
      <c r="BT14" s="1">
        <f t="shared" si="17"/>
        <v>0.29480158730158718</v>
      </c>
      <c r="BU14" s="1">
        <f t="shared" si="44"/>
        <v>-1.2214527343477088</v>
      </c>
      <c r="BV14" s="1"/>
      <c r="BW14" s="1">
        <v>0.48609999999999998</v>
      </c>
      <c r="BX14" s="1">
        <f t="shared" si="18"/>
        <v>0.38910158730158717</v>
      </c>
      <c r="BY14" s="1">
        <f t="shared" si="45"/>
        <v>-0.94391481958183854</v>
      </c>
      <c r="BZ14" s="1"/>
      <c r="CA14" s="1">
        <v>0.44590000000000002</v>
      </c>
      <c r="CB14" s="1">
        <f t="shared" si="19"/>
        <v>0.34890158730158721</v>
      </c>
      <c r="CC14" s="1">
        <f t="shared" si="46"/>
        <v>-1.0529653813541076</v>
      </c>
      <c r="CD14" s="1"/>
      <c r="CE14" s="1">
        <v>0.40050000000000002</v>
      </c>
      <c r="CF14" s="1">
        <f t="shared" si="20"/>
        <v>0.30350158730158722</v>
      </c>
      <c r="CG14" s="1">
        <f t="shared" si="47"/>
        <v>-1.1923684385075053</v>
      </c>
      <c r="CH14" s="1"/>
      <c r="CI14" s="1">
        <v>0.4491</v>
      </c>
      <c r="CJ14" s="1">
        <f t="shared" si="21"/>
        <v>0.35210158730158719</v>
      </c>
      <c r="CK14" s="1">
        <f t="shared" si="48"/>
        <v>-1.0438355447324925</v>
      </c>
      <c r="CL14" s="1"/>
      <c r="CM14" s="1">
        <v>0.38319999999999999</v>
      </c>
      <c r="CN14" s="1">
        <f t="shared" si="22"/>
        <v>0.28620158730158718</v>
      </c>
      <c r="CO14" s="1">
        <f t="shared" si="49"/>
        <v>-1.2510588657480273</v>
      </c>
      <c r="CP14" s="1"/>
      <c r="CQ14" s="1">
        <v>0.41120000000000001</v>
      </c>
      <c r="CR14" s="1">
        <f t="shared" si="23"/>
        <v>0.3142015873015872</v>
      </c>
      <c r="CS14" s="1">
        <f t="shared" si="50"/>
        <v>-1.1577205012905405</v>
      </c>
      <c r="CT14" s="1"/>
      <c r="CU14" s="1">
        <v>0.39439999999999997</v>
      </c>
      <c r="CV14" s="1">
        <f t="shared" si="24"/>
        <v>0.29740158730158717</v>
      </c>
      <c r="CW14" s="1">
        <f t="shared" si="51"/>
        <v>-1.2126719077087682</v>
      </c>
      <c r="CX14" s="1"/>
      <c r="CY14" s="1">
        <v>0.40410000000000001</v>
      </c>
      <c r="CZ14" s="1">
        <f t="shared" si="25"/>
        <v>0.30710158730158721</v>
      </c>
      <c r="DA14" s="1">
        <f t="shared" si="52"/>
        <v>-1.1805766828688509</v>
      </c>
      <c r="DB14" s="1"/>
      <c r="DC14" s="1">
        <v>0.38929999999999998</v>
      </c>
      <c r="DD14" s="1">
        <f t="shared" si="26"/>
        <v>0.29230158730158717</v>
      </c>
      <c r="DE14">
        <f t="shared" si="53"/>
        <v>-1.2299691764945044</v>
      </c>
    </row>
    <row r="15" spans="2:109" x14ac:dyDescent="0.2">
      <c r="B15">
        <v>2.8625891666666665</v>
      </c>
      <c r="C15" s="1">
        <v>0.52410000000000001</v>
      </c>
      <c r="D15" s="1">
        <f t="shared" si="0"/>
        <v>0.4271015873015872</v>
      </c>
      <c r="E15" s="1">
        <f t="shared" si="27"/>
        <v>-0.85073338467806059</v>
      </c>
      <c r="F15" s="1"/>
      <c r="G15" s="1">
        <v>0.50860000000000005</v>
      </c>
      <c r="H15" s="1">
        <f t="shared" si="1"/>
        <v>0.41160158730158725</v>
      </c>
      <c r="I15" s="1">
        <f t="shared" si="28"/>
        <v>-0.887699418611828</v>
      </c>
      <c r="J15" s="1"/>
      <c r="K15" s="1">
        <v>0.50070000000000003</v>
      </c>
      <c r="L15" s="1">
        <f t="shared" si="2"/>
        <v>0.40370158730158723</v>
      </c>
      <c r="M15" s="1">
        <f t="shared" si="29"/>
        <v>-0.90707931924693108</v>
      </c>
      <c r="N15" s="1"/>
      <c r="O15" s="1">
        <v>0.54359999999999997</v>
      </c>
      <c r="P15" s="1">
        <f t="shared" si="3"/>
        <v>0.44660158730158717</v>
      </c>
      <c r="Q15" s="1">
        <f t="shared" si="30"/>
        <v>-0.80608838539164962</v>
      </c>
      <c r="R15" s="1"/>
      <c r="S15" s="1">
        <v>0.47099999999999997</v>
      </c>
      <c r="T15" s="1">
        <f t="shared" si="4"/>
        <v>0.37400158730158717</v>
      </c>
      <c r="U15" s="1">
        <f t="shared" si="31"/>
        <v>-0.98349523745472056</v>
      </c>
      <c r="V15" s="1"/>
      <c r="W15" s="1">
        <v>0.50590000000000002</v>
      </c>
      <c r="X15" s="1">
        <f t="shared" si="5"/>
        <v>0.40890158730158721</v>
      </c>
      <c r="Y15" s="1">
        <f t="shared" si="32"/>
        <v>-0.89428076973698345</v>
      </c>
      <c r="Z15" s="1"/>
      <c r="AA15" s="1">
        <v>0.50149999999999995</v>
      </c>
      <c r="AB15" s="1">
        <f t="shared" si="6"/>
        <v>0.40450158730158714</v>
      </c>
      <c r="AC15" s="1">
        <f t="shared" si="33"/>
        <v>-0.90509961838353437</v>
      </c>
      <c r="AD15" s="1"/>
      <c r="AE15" s="1">
        <v>0.50890000000000002</v>
      </c>
      <c r="AF15" s="1">
        <f t="shared" si="7"/>
        <v>0.41190158730158721</v>
      </c>
      <c r="AG15" s="1">
        <f t="shared" si="34"/>
        <v>-0.88697082393842974</v>
      </c>
      <c r="AH15" s="1"/>
      <c r="AI15" s="1">
        <v>0.4995</v>
      </c>
      <c r="AJ15" s="1">
        <f t="shared" si="8"/>
        <v>0.40250158730158719</v>
      </c>
      <c r="AK15" s="1">
        <f t="shared" si="35"/>
        <v>-0.91005623852486717</v>
      </c>
      <c r="AL15" s="1"/>
      <c r="AM15" s="1">
        <v>0.55830000000000002</v>
      </c>
      <c r="AN15" s="1">
        <f t="shared" si="9"/>
        <v>0.46130158730158721</v>
      </c>
      <c r="AO15" s="1">
        <f t="shared" si="36"/>
        <v>-0.77370324749302877</v>
      </c>
      <c r="AP15" s="1"/>
      <c r="AQ15" s="1">
        <v>0.51319999999999999</v>
      </c>
      <c r="AR15" s="1">
        <f t="shared" si="10"/>
        <v>0.41620158730158718</v>
      </c>
      <c r="AS15" s="1">
        <f t="shared" si="37"/>
        <v>-0.87658555123461557</v>
      </c>
      <c r="AT15" s="1"/>
      <c r="AU15" s="1">
        <v>0.50729999999999997</v>
      </c>
      <c r="AV15" s="1">
        <f t="shared" si="11"/>
        <v>0.41030158730158717</v>
      </c>
      <c r="AW15" s="1">
        <f t="shared" si="38"/>
        <v>-0.89086281090490371</v>
      </c>
      <c r="AX15" s="1"/>
      <c r="AY15" s="1">
        <v>0.54500000000000004</v>
      </c>
      <c r="AZ15" s="1">
        <f t="shared" si="12"/>
        <v>0.44800158730158723</v>
      </c>
      <c r="BA15" s="1">
        <f t="shared" si="39"/>
        <v>-0.80295850348952857</v>
      </c>
      <c r="BB15" s="1"/>
      <c r="BC15" s="1">
        <v>0.46960000000000002</v>
      </c>
      <c r="BD15" s="1">
        <f t="shared" si="13"/>
        <v>0.37260158730158721</v>
      </c>
      <c r="BE15" s="1">
        <f t="shared" si="40"/>
        <v>-0.98724556075505099</v>
      </c>
      <c r="BF15" s="1"/>
      <c r="BG15" s="1">
        <v>0.49590000000000001</v>
      </c>
      <c r="BH15" s="1">
        <f t="shared" si="14"/>
        <v>0.3989015873015872</v>
      </c>
      <c r="BI15" s="1">
        <f t="shared" si="41"/>
        <v>-0.70138098548704886</v>
      </c>
      <c r="BJ15" s="1"/>
      <c r="BK15" s="1">
        <v>0.49530000000000002</v>
      </c>
      <c r="BL15" s="1">
        <f t="shared" si="15"/>
        <v>0.39830158730158721</v>
      </c>
      <c r="BM15" s="1">
        <f t="shared" si="42"/>
        <v>-0.92054580361144944</v>
      </c>
      <c r="BN15" s="1"/>
      <c r="BO15" s="1">
        <v>0.50290000000000001</v>
      </c>
      <c r="BP15" s="1">
        <f t="shared" si="16"/>
        <v>0.40590158730158721</v>
      </c>
      <c r="BQ15" s="1">
        <f t="shared" si="43"/>
        <v>-0.90164454457191523</v>
      </c>
      <c r="BR15" s="1"/>
      <c r="BS15" s="1">
        <v>0.47910000000000003</v>
      </c>
      <c r="BT15" s="1">
        <f t="shared" si="17"/>
        <v>0.38210158730158722</v>
      </c>
      <c r="BU15" s="1">
        <f t="shared" si="44"/>
        <v>-0.96206877038562855</v>
      </c>
      <c r="BV15" s="1"/>
      <c r="BW15" s="1">
        <v>0.58899999999999997</v>
      </c>
      <c r="BX15" s="1">
        <f t="shared" si="18"/>
        <v>0.49200158730158716</v>
      </c>
      <c r="BY15" s="1">
        <f t="shared" si="45"/>
        <v>-0.70927333627229505</v>
      </c>
      <c r="BZ15" s="1"/>
      <c r="CA15" s="1">
        <v>0.54210000000000003</v>
      </c>
      <c r="CB15" s="1">
        <f t="shared" si="19"/>
        <v>0.44510158730158722</v>
      </c>
      <c r="CC15" s="1">
        <f t="shared" si="46"/>
        <v>-0.80945273679821439</v>
      </c>
      <c r="CD15" s="1"/>
      <c r="CE15" s="1">
        <v>0.50519999999999998</v>
      </c>
      <c r="CF15" s="1">
        <f t="shared" si="20"/>
        <v>0.40820158730158718</v>
      </c>
      <c r="CG15" s="1">
        <f t="shared" si="47"/>
        <v>-0.89599414007503286</v>
      </c>
      <c r="CH15" s="1"/>
      <c r="CI15" s="1">
        <v>0.55330000000000001</v>
      </c>
      <c r="CJ15" s="1">
        <f t="shared" si="21"/>
        <v>0.45630158730158721</v>
      </c>
      <c r="CK15" s="1">
        <f t="shared" si="48"/>
        <v>-0.78460131241887354</v>
      </c>
      <c r="CL15" s="1"/>
      <c r="CM15" s="1">
        <v>0.47960000000000003</v>
      </c>
      <c r="CN15" s="1">
        <f t="shared" si="22"/>
        <v>0.38260158730158722</v>
      </c>
      <c r="CO15" s="1">
        <f t="shared" si="49"/>
        <v>-0.9607610732611529</v>
      </c>
      <c r="CP15" s="1"/>
      <c r="CQ15" s="1">
        <v>0.51390000000000002</v>
      </c>
      <c r="CR15" s="1">
        <f t="shared" si="23"/>
        <v>0.41690158730158722</v>
      </c>
      <c r="CS15" s="1">
        <f t="shared" si="50"/>
        <v>-0.87490508671096401</v>
      </c>
      <c r="CT15" s="1"/>
      <c r="CU15" s="1">
        <v>0.4919</v>
      </c>
      <c r="CV15" s="1">
        <f t="shared" si="24"/>
        <v>0.3949015873015872</v>
      </c>
      <c r="CW15" s="1">
        <f t="shared" si="51"/>
        <v>-0.92911869119498502</v>
      </c>
      <c r="CX15" s="1"/>
      <c r="CY15" s="1">
        <v>0.5071</v>
      </c>
      <c r="CZ15" s="1">
        <f t="shared" si="25"/>
        <v>0.41010158730158719</v>
      </c>
      <c r="DA15" s="1">
        <f t="shared" si="52"/>
        <v>-0.89135037606835821</v>
      </c>
      <c r="DB15" s="1"/>
      <c r="DC15" s="1">
        <v>0.47649999999999998</v>
      </c>
      <c r="DD15" s="1">
        <f t="shared" si="26"/>
        <v>0.37950158730158717</v>
      </c>
      <c r="DE15">
        <f t="shared" si="53"/>
        <v>-0.9688964995423216</v>
      </c>
    </row>
    <row r="16" spans="2:109" x14ac:dyDescent="0.2">
      <c r="B16">
        <v>3.1010991666666667</v>
      </c>
      <c r="C16" s="1">
        <v>0.60499999999999998</v>
      </c>
      <c r="D16" s="1">
        <f t="shared" si="0"/>
        <v>0.50800158730158718</v>
      </c>
      <c r="E16" s="1">
        <f t="shared" si="27"/>
        <v>-0.67727070679911316</v>
      </c>
      <c r="F16" s="1"/>
      <c r="G16" s="1">
        <v>0.6028</v>
      </c>
      <c r="H16" s="1">
        <f t="shared" si="1"/>
        <v>0.5058015873015872</v>
      </c>
      <c r="I16" s="1">
        <f t="shared" si="28"/>
        <v>-0.6816108065511427</v>
      </c>
      <c r="J16" s="1"/>
      <c r="K16" s="1">
        <v>0.59819999999999995</v>
      </c>
      <c r="L16" s="1">
        <f t="shared" si="2"/>
        <v>0.50120158730158715</v>
      </c>
      <c r="M16" s="1">
        <f t="shared" si="29"/>
        <v>-0.69074688896287018</v>
      </c>
      <c r="N16" s="1"/>
      <c r="O16" s="1">
        <v>0.63839999999999997</v>
      </c>
      <c r="P16" s="1">
        <f t="shared" si="3"/>
        <v>0.54140158730158716</v>
      </c>
      <c r="Q16" s="1">
        <f t="shared" si="30"/>
        <v>-0.61359396995993343</v>
      </c>
      <c r="R16" s="1"/>
      <c r="S16" s="1">
        <v>0.57399999999999995</v>
      </c>
      <c r="T16" s="1">
        <f t="shared" si="4"/>
        <v>0.47700158730158715</v>
      </c>
      <c r="U16" s="1">
        <f t="shared" si="31"/>
        <v>-0.74023546042304922</v>
      </c>
      <c r="V16" s="1"/>
      <c r="W16" s="1">
        <v>0.60399999999999998</v>
      </c>
      <c r="X16" s="1">
        <f t="shared" si="5"/>
        <v>0.50700158730158718</v>
      </c>
      <c r="Y16" s="1">
        <f t="shared" si="32"/>
        <v>-0.6792411446234935</v>
      </c>
      <c r="Z16" s="1"/>
      <c r="AA16" s="1">
        <v>0.6089</v>
      </c>
      <c r="AB16" s="1">
        <f t="shared" si="6"/>
        <v>0.51190158730158719</v>
      </c>
      <c r="AC16" s="1">
        <f t="shared" si="33"/>
        <v>-0.66962288471936871</v>
      </c>
      <c r="AD16" s="1"/>
      <c r="AE16" s="1">
        <v>0.61650000000000005</v>
      </c>
      <c r="AF16" s="1">
        <f t="shared" si="7"/>
        <v>0.51950158730158724</v>
      </c>
      <c r="AG16" s="1">
        <f t="shared" si="34"/>
        <v>-0.65488541300654646</v>
      </c>
      <c r="AH16" s="1"/>
      <c r="AI16" s="1">
        <v>0.60229999999999995</v>
      </c>
      <c r="AJ16" s="1">
        <f t="shared" si="8"/>
        <v>0.50530158730158714</v>
      </c>
      <c r="AK16" s="1">
        <f t="shared" si="35"/>
        <v>-0.68259982538387032</v>
      </c>
      <c r="AL16" s="1"/>
      <c r="AM16" s="1">
        <v>0.64870000000000005</v>
      </c>
      <c r="AN16" s="1">
        <f t="shared" si="9"/>
        <v>0.55170158730158725</v>
      </c>
      <c r="AO16" s="1">
        <f t="shared" si="36"/>
        <v>-0.59474798159789033</v>
      </c>
      <c r="AP16" s="1"/>
      <c r="AQ16" s="1">
        <v>0.61250000000000004</v>
      </c>
      <c r="AR16" s="1">
        <f t="shared" si="10"/>
        <v>0.51550158730158724</v>
      </c>
      <c r="AS16" s="1">
        <f t="shared" si="37"/>
        <v>-0.66261489638032423</v>
      </c>
      <c r="AT16" s="1"/>
      <c r="AU16" s="1">
        <v>0.61</v>
      </c>
      <c r="AV16" s="1">
        <f t="shared" si="11"/>
        <v>0.51300158730158718</v>
      </c>
      <c r="AW16" s="1">
        <f t="shared" si="38"/>
        <v>-0.66747633966101372</v>
      </c>
      <c r="AX16" s="1"/>
      <c r="AY16" s="1">
        <v>0.64749999999999996</v>
      </c>
      <c r="AZ16" s="1">
        <f t="shared" si="12"/>
        <v>0.55050158730158716</v>
      </c>
      <c r="BA16" s="1">
        <f t="shared" si="39"/>
        <v>-0.59692543944192966</v>
      </c>
      <c r="BB16" s="1"/>
      <c r="BC16" s="1">
        <v>0.57720000000000005</v>
      </c>
      <c r="BD16" s="1">
        <f t="shared" si="13"/>
        <v>0.48020158730158724</v>
      </c>
      <c r="BE16" s="1">
        <f t="shared" si="40"/>
        <v>-0.73354928969943267</v>
      </c>
      <c r="BF16" s="1"/>
      <c r="BG16" s="1">
        <v>0.60419999999999996</v>
      </c>
      <c r="BH16" s="1">
        <f t="shared" si="14"/>
        <v>0.50720158730158715</v>
      </c>
      <c r="BI16" s="1">
        <f t="shared" si="41"/>
        <v>-0.50385001002956553</v>
      </c>
      <c r="BJ16" s="1"/>
      <c r="BK16" s="1">
        <v>0.60340000000000005</v>
      </c>
      <c r="BL16" s="1">
        <f t="shared" si="15"/>
        <v>0.50640158730158724</v>
      </c>
      <c r="BM16" s="1">
        <f t="shared" si="42"/>
        <v>-0.68042527367527572</v>
      </c>
      <c r="BN16" s="1"/>
      <c r="BO16" s="1">
        <v>0.60650000000000004</v>
      </c>
      <c r="BP16" s="1">
        <f t="shared" si="16"/>
        <v>0.50950158730158723</v>
      </c>
      <c r="BQ16" s="1">
        <f t="shared" si="43"/>
        <v>-0.6743223109138331</v>
      </c>
      <c r="BR16" s="1"/>
      <c r="BS16" s="1">
        <v>0.5827</v>
      </c>
      <c r="BT16" s="1">
        <f t="shared" si="17"/>
        <v>0.48570158730158719</v>
      </c>
      <c r="BU16" s="1">
        <f t="shared" si="44"/>
        <v>-0.72216086156580239</v>
      </c>
      <c r="BV16" s="1"/>
      <c r="BW16" s="1">
        <v>0.6865</v>
      </c>
      <c r="BX16" s="1">
        <f t="shared" si="18"/>
        <v>0.58950158730158719</v>
      </c>
      <c r="BY16" s="1">
        <f t="shared" si="45"/>
        <v>-0.528477866384779</v>
      </c>
      <c r="BZ16" s="1"/>
      <c r="CA16" s="1">
        <v>0.64019999999999999</v>
      </c>
      <c r="CB16" s="1">
        <f t="shared" si="19"/>
        <v>0.54320158730158719</v>
      </c>
      <c r="CC16" s="1">
        <f t="shared" si="46"/>
        <v>-0.61027478061086859</v>
      </c>
      <c r="CD16" s="1"/>
      <c r="CE16" s="1">
        <v>0.60029999999999994</v>
      </c>
      <c r="CF16" s="1">
        <f t="shared" si="20"/>
        <v>0.50330158730158714</v>
      </c>
      <c r="CG16" s="1">
        <f t="shared" si="47"/>
        <v>-0.68656571141662359</v>
      </c>
      <c r="CH16" s="1"/>
      <c r="CI16" s="1">
        <v>0.65349999999999997</v>
      </c>
      <c r="CJ16" s="1">
        <f t="shared" si="21"/>
        <v>0.55650158730158716</v>
      </c>
      <c r="CK16" s="1">
        <f t="shared" si="48"/>
        <v>-0.58608525597664818</v>
      </c>
      <c r="CL16" s="1"/>
      <c r="CM16" s="1">
        <v>0.58440000000000003</v>
      </c>
      <c r="CN16" s="1">
        <f t="shared" si="22"/>
        <v>0.48740158730158722</v>
      </c>
      <c r="CO16" s="1">
        <f t="shared" si="49"/>
        <v>-0.71866688112504318</v>
      </c>
      <c r="CP16" s="1"/>
      <c r="CQ16" s="1">
        <v>0.61909999999999998</v>
      </c>
      <c r="CR16" s="1">
        <f t="shared" si="23"/>
        <v>0.52210158730158718</v>
      </c>
      <c r="CS16" s="1">
        <f t="shared" si="50"/>
        <v>-0.64989309834503217</v>
      </c>
      <c r="CT16" s="1"/>
      <c r="CU16" s="1">
        <v>0.59860000000000002</v>
      </c>
      <c r="CV16" s="1">
        <f t="shared" si="24"/>
        <v>0.50160158730158722</v>
      </c>
      <c r="CW16" s="1">
        <f t="shared" si="51"/>
        <v>-0.68994912519158458</v>
      </c>
      <c r="CX16" s="1"/>
      <c r="CY16" s="1">
        <v>0.6149</v>
      </c>
      <c r="CZ16" s="1">
        <f t="shared" si="25"/>
        <v>0.5179015873015872</v>
      </c>
      <c r="DA16" s="1">
        <f t="shared" si="52"/>
        <v>-0.65797004067653386</v>
      </c>
      <c r="DB16" s="1"/>
      <c r="DC16" s="1">
        <v>0.57709999999999995</v>
      </c>
      <c r="DD16" s="1">
        <f t="shared" si="26"/>
        <v>0.48010158730158714</v>
      </c>
      <c r="DE16">
        <f t="shared" si="53"/>
        <v>-0.73375755726119074</v>
      </c>
    </row>
    <row r="17" spans="2:109" s="33" customFormat="1" x14ac:dyDescent="0.2">
      <c r="B17" s="33">
        <v>3.3395988888888892</v>
      </c>
      <c r="C17" s="33">
        <v>0.65580000000000005</v>
      </c>
      <c r="D17" s="33">
        <f t="shared" si="0"/>
        <v>0.55880158730158724</v>
      </c>
      <c r="E17" s="33">
        <f t="shared" si="27"/>
        <v>-0.58196081104934316</v>
      </c>
      <c r="G17" s="33">
        <v>0.66659999999999997</v>
      </c>
      <c r="H17" s="33">
        <f t="shared" si="1"/>
        <v>0.56960158730158716</v>
      </c>
      <c r="I17" s="33">
        <f t="shared" si="28"/>
        <v>-0.56281813219305166</v>
      </c>
      <c r="K17" s="33">
        <v>0.67110000000000003</v>
      </c>
      <c r="L17" s="33">
        <f t="shared" si="2"/>
        <v>0.57410158730158722</v>
      </c>
      <c r="M17" s="33">
        <f t="shared" si="29"/>
        <v>-0.55494891696027404</v>
      </c>
      <c r="O17" s="33">
        <v>0.70760000000000001</v>
      </c>
      <c r="P17" s="33">
        <f t="shared" si="3"/>
        <v>0.6106015873015872</v>
      </c>
      <c r="Q17" s="33">
        <f t="shared" si="30"/>
        <v>-0.49331059910794972</v>
      </c>
      <c r="S17" s="33">
        <v>0.66500000000000004</v>
      </c>
      <c r="T17" s="33">
        <f t="shared" si="4"/>
        <v>0.56800158730158723</v>
      </c>
      <c r="U17" s="33">
        <f t="shared" si="31"/>
        <v>-0.56563106571984245</v>
      </c>
      <c r="W17" s="33">
        <v>0.68359999999999999</v>
      </c>
      <c r="X17" s="33">
        <f t="shared" si="5"/>
        <v>0.58660158730158718</v>
      </c>
      <c r="Y17" s="33">
        <f t="shared" si="32"/>
        <v>-0.53340941650724938</v>
      </c>
      <c r="AA17" s="33">
        <v>0.69479999999999997</v>
      </c>
      <c r="AB17" s="33">
        <f t="shared" si="6"/>
        <v>0.59780158730158717</v>
      </c>
      <c r="AC17" s="33">
        <f t="shared" si="33"/>
        <v>-0.51449637389730485</v>
      </c>
      <c r="AE17" s="33">
        <v>0.69569999999999999</v>
      </c>
      <c r="AF17" s="33">
        <f t="shared" si="7"/>
        <v>0.59870158730158718</v>
      </c>
      <c r="AG17" s="33">
        <f t="shared" si="34"/>
        <v>-0.51299198980733141</v>
      </c>
      <c r="AI17" s="33">
        <v>0.69199999999999995</v>
      </c>
      <c r="AJ17" s="33">
        <f t="shared" si="8"/>
        <v>0.59500158730158714</v>
      </c>
      <c r="AK17" s="33">
        <f t="shared" si="35"/>
        <v>-0.51919120570630584</v>
      </c>
      <c r="AM17" s="33">
        <v>0.71140000000000003</v>
      </c>
      <c r="AN17" s="33">
        <f t="shared" si="9"/>
        <v>0.61440158730158723</v>
      </c>
      <c r="AO17" s="33">
        <f t="shared" si="36"/>
        <v>-0.48710651365333474</v>
      </c>
      <c r="AQ17" s="33">
        <v>0.68779999999999997</v>
      </c>
      <c r="AR17" s="33">
        <f t="shared" si="10"/>
        <v>0.59080158730158716</v>
      </c>
      <c r="AS17" s="33">
        <f t="shared" si="37"/>
        <v>-0.52627504162982963</v>
      </c>
      <c r="AU17" s="33">
        <v>0.6865</v>
      </c>
      <c r="AV17" s="33">
        <f t="shared" si="11"/>
        <v>0.58950158730158719</v>
      </c>
      <c r="AW17" s="33">
        <f t="shared" si="38"/>
        <v>-0.528477866384779</v>
      </c>
      <c r="AY17" s="33">
        <v>0.71619999999999995</v>
      </c>
      <c r="AZ17" s="33">
        <f t="shared" si="12"/>
        <v>0.61920158730158714</v>
      </c>
      <c r="BA17" s="33">
        <f t="shared" si="39"/>
        <v>-0.47932439323834991</v>
      </c>
      <c r="BC17" s="33">
        <v>0.67149999999999999</v>
      </c>
      <c r="BD17" s="33">
        <f t="shared" si="13"/>
        <v>0.57450158730158718</v>
      </c>
      <c r="BE17" s="33">
        <f t="shared" si="40"/>
        <v>-0.5542524187700989</v>
      </c>
      <c r="BG17" s="33">
        <v>0.69259999999999999</v>
      </c>
      <c r="BH17" s="33">
        <f t="shared" si="14"/>
        <v>0.59560158730158719</v>
      </c>
      <c r="BI17" s="33">
        <f t="shared" si="41"/>
        <v>-0.36730264701381549</v>
      </c>
      <c r="BK17" s="33">
        <v>0.68530000000000002</v>
      </c>
      <c r="BL17" s="33">
        <f t="shared" si="15"/>
        <v>0.58830158730158721</v>
      </c>
      <c r="BM17" s="33">
        <f t="shared" si="42"/>
        <v>-0.53051555899946112</v>
      </c>
      <c r="BO17" s="33">
        <v>0.68400000000000005</v>
      </c>
      <c r="BP17" s="33">
        <f t="shared" si="16"/>
        <v>0.58700158730158725</v>
      </c>
      <c r="BQ17" s="33">
        <f t="shared" si="43"/>
        <v>-0.53272775506640657</v>
      </c>
      <c r="BS17" s="33">
        <v>0.67510000000000003</v>
      </c>
      <c r="BT17" s="33">
        <f t="shared" si="17"/>
        <v>0.57810158730158723</v>
      </c>
      <c r="BU17" s="33">
        <f t="shared" si="44"/>
        <v>-0.5480056691759968</v>
      </c>
      <c r="BW17" s="33">
        <v>0.75349999999999995</v>
      </c>
      <c r="BX17" s="33">
        <f t="shared" si="18"/>
        <v>0.65650158730158714</v>
      </c>
      <c r="BY17" s="33">
        <f t="shared" si="45"/>
        <v>-0.42083016741800933</v>
      </c>
      <c r="CA17" s="33">
        <v>0.7117</v>
      </c>
      <c r="CB17" s="33">
        <f t="shared" si="19"/>
        <v>0.61470158730158719</v>
      </c>
      <c r="CC17" s="33">
        <f t="shared" si="46"/>
        <v>-0.48661835283468852</v>
      </c>
      <c r="CE17" s="33">
        <v>0.68459999999999999</v>
      </c>
      <c r="CF17" s="33">
        <f t="shared" si="20"/>
        <v>0.58760158730158718</v>
      </c>
      <c r="CG17" s="33">
        <f t="shared" si="47"/>
        <v>-0.53170613335592865</v>
      </c>
      <c r="CI17" s="33">
        <v>0.73309999999999997</v>
      </c>
      <c r="CJ17" s="33">
        <f t="shared" si="21"/>
        <v>0.63610158730158717</v>
      </c>
      <c r="CK17" s="33">
        <f t="shared" si="48"/>
        <v>-0.45239699993563237</v>
      </c>
      <c r="CM17" s="33">
        <v>0.68510000000000004</v>
      </c>
      <c r="CN17" s="33">
        <f t="shared" si="22"/>
        <v>0.58810158730158724</v>
      </c>
      <c r="CO17" s="33">
        <f t="shared" si="49"/>
        <v>-0.5308555784863932</v>
      </c>
      <c r="CQ17" s="33">
        <v>0.70930000000000004</v>
      </c>
      <c r="CR17" s="33">
        <f t="shared" si="23"/>
        <v>0.61230158730158724</v>
      </c>
      <c r="CS17" s="33">
        <f t="shared" si="50"/>
        <v>-0.49053032814230824</v>
      </c>
      <c r="CU17" s="33">
        <v>0.69289999999999996</v>
      </c>
      <c r="CV17" s="33">
        <f t="shared" si="24"/>
        <v>0.59590158730158715</v>
      </c>
      <c r="CW17" s="33">
        <f t="shared" si="51"/>
        <v>-0.51767974752812462</v>
      </c>
      <c r="CY17" s="33">
        <v>0.69889999999999997</v>
      </c>
      <c r="CZ17" s="33">
        <f t="shared" si="25"/>
        <v>0.60190158730158716</v>
      </c>
      <c r="DA17" s="33">
        <f t="shared" si="52"/>
        <v>-0.50766132328022417</v>
      </c>
      <c r="DC17" s="33">
        <v>0.6754</v>
      </c>
      <c r="DD17" s="33">
        <f t="shared" si="26"/>
        <v>0.57840158730158719</v>
      </c>
      <c r="DE17" s="33">
        <f t="shared" si="53"/>
        <v>-0.54748686384399781</v>
      </c>
    </row>
    <row r="18" spans="2:109" x14ac:dyDescent="0.2">
      <c r="B18">
        <v>3.5793333333333335</v>
      </c>
      <c r="C18" s="1">
        <v>0.6885</v>
      </c>
      <c r="D18" s="1">
        <f t="shared" si="0"/>
        <v>0.5915015873015872</v>
      </c>
      <c r="E18" s="1">
        <f t="shared" si="27"/>
        <v>-0.52509091204812941</v>
      </c>
      <c r="F18" s="1"/>
      <c r="G18" s="1">
        <v>0.72040000000000004</v>
      </c>
      <c r="H18" s="1">
        <f t="shared" si="1"/>
        <v>0.62340158730158723</v>
      </c>
      <c r="I18" s="1">
        <f t="shared" si="28"/>
        <v>-0.47256436545132824</v>
      </c>
      <c r="J18" s="1"/>
      <c r="K18" s="1">
        <v>0.72</v>
      </c>
      <c r="L18" s="1">
        <f t="shared" si="2"/>
        <v>0.62300158730158717</v>
      </c>
      <c r="M18" s="1">
        <f t="shared" si="29"/>
        <v>-0.47320621236231619</v>
      </c>
      <c r="N18" s="1"/>
      <c r="O18" s="1">
        <v>0.745</v>
      </c>
      <c r="P18" s="1">
        <f t="shared" si="3"/>
        <v>0.64800158730158719</v>
      </c>
      <c r="Q18" s="1">
        <f t="shared" si="30"/>
        <v>-0.43386213309337607</v>
      </c>
      <c r="R18" s="1"/>
      <c r="S18" s="1">
        <v>0.72240000000000004</v>
      </c>
      <c r="T18" s="1">
        <f t="shared" si="4"/>
        <v>0.62540158730158724</v>
      </c>
      <c r="U18" s="1">
        <f t="shared" si="31"/>
        <v>-0.46936129590343467</v>
      </c>
      <c r="V18" s="1"/>
      <c r="W18" s="1">
        <v>0.7349</v>
      </c>
      <c r="X18" s="1">
        <f t="shared" si="5"/>
        <v>0.63790158730158719</v>
      </c>
      <c r="Y18" s="1">
        <f t="shared" si="32"/>
        <v>-0.44957125941378168</v>
      </c>
      <c r="Z18" s="1"/>
      <c r="AA18" s="1">
        <v>0.74829999999999997</v>
      </c>
      <c r="AB18" s="1">
        <f t="shared" si="6"/>
        <v>0.65130158730158716</v>
      </c>
      <c r="AC18" s="1">
        <f t="shared" si="33"/>
        <v>-0.42878247630456556</v>
      </c>
      <c r="AD18" s="1"/>
      <c r="AE18" s="1">
        <v>0.74570000000000003</v>
      </c>
      <c r="AF18" s="1">
        <f t="shared" si="7"/>
        <v>0.64870158730158722</v>
      </c>
      <c r="AG18" s="1">
        <f t="shared" si="34"/>
        <v>-0.43278247186988661</v>
      </c>
      <c r="AH18" s="1"/>
      <c r="AI18" s="1">
        <v>0.74360000000000004</v>
      </c>
      <c r="AJ18" s="1">
        <f t="shared" si="8"/>
        <v>0.64660158730158723</v>
      </c>
      <c r="AK18" s="1">
        <f t="shared" si="35"/>
        <v>-0.43602495885065751</v>
      </c>
      <c r="AL18" s="1"/>
      <c r="AM18" s="1">
        <v>0.74129999999999996</v>
      </c>
      <c r="AN18" s="1">
        <f t="shared" si="9"/>
        <v>0.64430158730158715</v>
      </c>
      <c r="AO18" s="1">
        <f t="shared" si="36"/>
        <v>-0.43958835923420037</v>
      </c>
      <c r="AP18" s="1"/>
      <c r="AQ18" s="1">
        <v>0.72809999999999997</v>
      </c>
      <c r="AR18" s="1">
        <f t="shared" si="10"/>
        <v>0.63110158730158716</v>
      </c>
      <c r="AS18" s="1">
        <f t="shared" si="37"/>
        <v>-0.46028843526028257</v>
      </c>
      <c r="AT18" s="1"/>
      <c r="AU18" s="1">
        <v>0.73229999999999995</v>
      </c>
      <c r="AV18" s="1">
        <f t="shared" si="11"/>
        <v>0.63530158730158715</v>
      </c>
      <c r="AW18" s="1">
        <f t="shared" si="38"/>
        <v>-0.45365545220562903</v>
      </c>
      <c r="AX18" s="1"/>
      <c r="AY18" s="1">
        <v>0.75660000000000005</v>
      </c>
      <c r="AZ18" s="1">
        <f t="shared" si="12"/>
        <v>0.65960158730158724</v>
      </c>
      <c r="BA18" s="1">
        <f t="shared" si="39"/>
        <v>-0.41611928183872271</v>
      </c>
      <c r="BB18" s="1"/>
      <c r="BC18" s="1">
        <v>0.73370000000000002</v>
      </c>
      <c r="BD18" s="1">
        <f t="shared" si="13"/>
        <v>0.63670158730158721</v>
      </c>
      <c r="BE18" s="1">
        <f t="shared" si="40"/>
        <v>-0.45145419894893496</v>
      </c>
      <c r="BF18" s="1"/>
      <c r="BG18" s="1">
        <v>0.75119999999999998</v>
      </c>
      <c r="BH18" s="1">
        <f t="shared" si="14"/>
        <v>0.65420158730158717</v>
      </c>
      <c r="BI18" s="1">
        <f t="shared" si="41"/>
        <v>-0.28608335108808391</v>
      </c>
      <c r="BJ18" s="1"/>
      <c r="BK18" s="1">
        <v>0.74780000000000002</v>
      </c>
      <c r="BL18" s="1">
        <f t="shared" si="15"/>
        <v>0.65080158730158721</v>
      </c>
      <c r="BM18" s="1">
        <f t="shared" si="42"/>
        <v>-0.4295504646396337</v>
      </c>
      <c r="BN18" s="1"/>
      <c r="BO18" s="1">
        <v>0.74080000000000001</v>
      </c>
      <c r="BP18" s="1">
        <f t="shared" si="16"/>
        <v>0.64380158730158721</v>
      </c>
      <c r="BQ18" s="1">
        <f t="shared" si="43"/>
        <v>-0.44036469460076189</v>
      </c>
      <c r="BR18" s="1"/>
      <c r="BS18" s="1">
        <v>0.73629999999999995</v>
      </c>
      <c r="BT18" s="1">
        <f t="shared" si="17"/>
        <v>0.63930158730158715</v>
      </c>
      <c r="BU18" s="1">
        <f t="shared" si="44"/>
        <v>-0.44737896833816448</v>
      </c>
      <c r="BV18" s="1"/>
      <c r="BW18" s="1">
        <v>0.79510000000000003</v>
      </c>
      <c r="BX18" s="1">
        <f t="shared" si="18"/>
        <v>0.69810158730158722</v>
      </c>
      <c r="BY18" s="1">
        <f t="shared" si="45"/>
        <v>-0.35939064626307587</v>
      </c>
      <c r="BZ18" s="1"/>
      <c r="CA18" s="1">
        <v>0.75629999999999997</v>
      </c>
      <c r="CB18" s="1">
        <f t="shared" si="19"/>
        <v>0.65930158730158717</v>
      </c>
      <c r="CC18" s="1">
        <f t="shared" si="46"/>
        <v>-0.41657420530990807</v>
      </c>
      <c r="CD18" s="1"/>
      <c r="CE18" s="1">
        <v>0.73680000000000001</v>
      </c>
      <c r="CF18" s="1">
        <f t="shared" si="20"/>
        <v>0.6398015873015872</v>
      </c>
      <c r="CG18" s="1">
        <f t="shared" si="47"/>
        <v>-0.44659717053577502</v>
      </c>
      <c r="CH18" s="1"/>
      <c r="CI18" s="1">
        <v>0.77459999999999996</v>
      </c>
      <c r="CJ18" s="1">
        <f t="shared" si="21"/>
        <v>0.67760158730158715</v>
      </c>
      <c r="CK18" s="1">
        <f t="shared" si="48"/>
        <v>-0.3891957931122263</v>
      </c>
      <c r="CL18" s="1"/>
      <c r="CM18" s="1">
        <v>0.74970000000000003</v>
      </c>
      <c r="CN18" s="1">
        <f t="shared" si="22"/>
        <v>0.65270158730158723</v>
      </c>
      <c r="CO18" s="1">
        <f t="shared" si="49"/>
        <v>-0.42663524144322185</v>
      </c>
      <c r="CP18" s="1"/>
      <c r="CQ18" s="1">
        <v>0.76590000000000003</v>
      </c>
      <c r="CR18" s="1">
        <f t="shared" si="23"/>
        <v>0.66890158730158722</v>
      </c>
      <c r="CS18" s="1">
        <f t="shared" si="50"/>
        <v>-0.40211833385776891</v>
      </c>
      <c r="CT18" s="1"/>
      <c r="CU18" s="1">
        <v>0.75490000000000002</v>
      </c>
      <c r="CV18" s="1">
        <f t="shared" si="24"/>
        <v>0.65790158730158721</v>
      </c>
      <c r="CW18" s="1">
        <f t="shared" si="51"/>
        <v>-0.41869992221398422</v>
      </c>
      <c r="CX18" s="1"/>
      <c r="CY18" s="1">
        <v>0.75309999999999999</v>
      </c>
      <c r="CZ18" s="1">
        <f t="shared" si="25"/>
        <v>0.65610158730158719</v>
      </c>
      <c r="DA18" s="1">
        <f t="shared" si="52"/>
        <v>-0.42143964333597356</v>
      </c>
      <c r="DB18" s="1"/>
      <c r="DC18" s="1">
        <v>0.73719999999999997</v>
      </c>
      <c r="DD18" s="1">
        <f t="shared" si="26"/>
        <v>0.64020158730158716</v>
      </c>
      <c r="DE18">
        <f t="shared" si="53"/>
        <v>-0.44597217206552558</v>
      </c>
    </row>
    <row r="19" spans="2:109" x14ac:dyDescent="0.2">
      <c r="B19">
        <v>3.8178136111111112</v>
      </c>
      <c r="C19" s="1">
        <v>0.69510000000000005</v>
      </c>
      <c r="D19" s="1">
        <f t="shared" si="0"/>
        <v>0.59810158730158725</v>
      </c>
      <c r="E19" s="1">
        <f t="shared" si="27"/>
        <v>-0.51399466102846403</v>
      </c>
      <c r="F19" s="1"/>
      <c r="G19" s="1">
        <v>0.74219999999999997</v>
      </c>
      <c r="H19" s="1">
        <f t="shared" si="1"/>
        <v>0.64520158730158716</v>
      </c>
      <c r="I19" s="1">
        <f t="shared" si="28"/>
        <v>-0.43819247256425953</v>
      </c>
      <c r="J19" s="1"/>
      <c r="K19" s="1">
        <v>0.74690000000000001</v>
      </c>
      <c r="L19" s="1">
        <f t="shared" si="2"/>
        <v>0.6499015873015872</v>
      </c>
      <c r="M19" s="1">
        <f t="shared" si="29"/>
        <v>-0.4309343317066241</v>
      </c>
      <c r="N19" s="1"/>
      <c r="O19" s="1">
        <v>0.77349999999999997</v>
      </c>
      <c r="P19" s="1">
        <f t="shared" si="3"/>
        <v>0.67650158730158716</v>
      </c>
      <c r="Q19" s="1">
        <f t="shared" si="30"/>
        <v>-0.39082048503023742</v>
      </c>
      <c r="R19" s="1"/>
      <c r="S19" s="1">
        <v>0.76259999999999994</v>
      </c>
      <c r="T19" s="1">
        <f t="shared" si="4"/>
        <v>0.66560158730158714</v>
      </c>
      <c r="U19" s="1">
        <f t="shared" si="31"/>
        <v>-0.40706400470997223</v>
      </c>
      <c r="V19" s="1"/>
      <c r="W19" s="1">
        <v>0.76959999999999995</v>
      </c>
      <c r="X19" s="1">
        <f t="shared" si="5"/>
        <v>0.67260158730158714</v>
      </c>
      <c r="Y19" s="1">
        <f t="shared" si="32"/>
        <v>-0.39660211972991644</v>
      </c>
      <c r="Z19" s="1"/>
      <c r="AA19" s="1">
        <v>0.78949999999999998</v>
      </c>
      <c r="AB19" s="1">
        <f t="shared" si="6"/>
        <v>0.69250158730158717</v>
      </c>
      <c r="AC19" s="1">
        <f t="shared" si="33"/>
        <v>-0.36744474879101457</v>
      </c>
      <c r="AD19" s="1"/>
      <c r="AE19" s="1">
        <v>0.78839999999999999</v>
      </c>
      <c r="AF19" s="1">
        <f t="shared" si="7"/>
        <v>0.69140158730158718</v>
      </c>
      <c r="AG19" s="1">
        <f t="shared" si="34"/>
        <v>-0.3690344557182676</v>
      </c>
      <c r="AH19" s="1"/>
      <c r="AI19" s="1">
        <v>0.79020000000000001</v>
      </c>
      <c r="AJ19" s="1">
        <f t="shared" si="8"/>
        <v>0.69320158730158721</v>
      </c>
      <c r="AK19" s="1">
        <f t="shared" si="35"/>
        <v>-0.36643443132566889</v>
      </c>
      <c r="AL19" s="1"/>
      <c r="AM19" s="1">
        <v>0.7601</v>
      </c>
      <c r="AN19" s="1">
        <f t="shared" si="9"/>
        <v>0.66310158730158719</v>
      </c>
      <c r="AO19" s="1">
        <f t="shared" si="36"/>
        <v>-0.41082707685118874</v>
      </c>
      <c r="AP19" s="1"/>
      <c r="AQ19" s="1">
        <v>0.75560000000000005</v>
      </c>
      <c r="AR19" s="1">
        <f t="shared" si="10"/>
        <v>0.65860158730158724</v>
      </c>
      <c r="AS19" s="1">
        <f t="shared" si="37"/>
        <v>-0.41763649892800792</v>
      </c>
      <c r="AT19" s="1"/>
      <c r="AU19" s="1">
        <v>0.7601</v>
      </c>
      <c r="AV19" s="1">
        <f t="shared" si="11"/>
        <v>0.66310158730158719</v>
      </c>
      <c r="AW19" s="1">
        <f t="shared" si="38"/>
        <v>-0.41082707685118874</v>
      </c>
      <c r="AX19" s="1"/>
      <c r="AY19" s="1">
        <v>0.79110000000000003</v>
      </c>
      <c r="AZ19" s="1">
        <f t="shared" si="12"/>
        <v>0.69410158730158722</v>
      </c>
      <c r="BA19" s="1">
        <f t="shared" si="39"/>
        <v>-0.36513694979065137</v>
      </c>
      <c r="BB19" s="1"/>
      <c r="BC19" s="1">
        <v>0.77680000000000005</v>
      </c>
      <c r="BD19" s="1">
        <f t="shared" si="13"/>
        <v>0.67980158730158724</v>
      </c>
      <c r="BE19" s="1">
        <f t="shared" si="40"/>
        <v>-0.38595430676905623</v>
      </c>
      <c r="BF19" s="1"/>
      <c r="BG19" s="1">
        <v>0.79330000000000001</v>
      </c>
      <c r="BH19" s="1">
        <f t="shared" si="14"/>
        <v>0.6963015873015872</v>
      </c>
      <c r="BI19" s="1">
        <f t="shared" si="41"/>
        <v>-0.23155381867417979</v>
      </c>
      <c r="BJ19" s="1"/>
      <c r="BK19" s="1">
        <v>0.78949999999999998</v>
      </c>
      <c r="BL19" s="1">
        <f t="shared" si="15"/>
        <v>0.69250158730158717</v>
      </c>
      <c r="BM19" s="1">
        <f t="shared" si="42"/>
        <v>-0.36744474879101457</v>
      </c>
      <c r="BN19" s="1"/>
      <c r="BO19" s="1">
        <v>0.78420000000000001</v>
      </c>
      <c r="BP19" s="1">
        <f t="shared" si="16"/>
        <v>0.6872015873015872</v>
      </c>
      <c r="BQ19" s="1">
        <f t="shared" si="43"/>
        <v>-0.3751275985045332</v>
      </c>
      <c r="BR19" s="1"/>
      <c r="BS19" s="1">
        <v>0.79379999999999995</v>
      </c>
      <c r="BT19" s="1">
        <f t="shared" si="17"/>
        <v>0.69680158730158714</v>
      </c>
      <c r="BU19" s="1">
        <f t="shared" si="44"/>
        <v>-0.36125457545908624</v>
      </c>
      <c r="BV19" s="1"/>
      <c r="BW19" s="1">
        <v>0.8367</v>
      </c>
      <c r="BX19" s="1">
        <f t="shared" si="18"/>
        <v>0.73970158730158719</v>
      </c>
      <c r="BY19" s="1">
        <f t="shared" si="45"/>
        <v>-0.30150843451852444</v>
      </c>
      <c r="BZ19" s="1"/>
      <c r="CA19" s="1">
        <v>0.78890000000000005</v>
      </c>
      <c r="CB19" s="1">
        <f t="shared" si="19"/>
        <v>0.69190158730158724</v>
      </c>
      <c r="CC19" s="1">
        <f t="shared" si="46"/>
        <v>-0.36831154836006208</v>
      </c>
      <c r="CD19" s="1"/>
      <c r="CE19" s="1">
        <v>0.77639999999999998</v>
      </c>
      <c r="CF19" s="1">
        <f t="shared" si="20"/>
        <v>0.67940158730158717</v>
      </c>
      <c r="CG19" s="1">
        <f t="shared" si="47"/>
        <v>-0.38654288692987643</v>
      </c>
      <c r="CH19" s="1"/>
      <c r="CI19" s="1">
        <v>0.80989999999999995</v>
      </c>
      <c r="CJ19" s="1">
        <f t="shared" si="21"/>
        <v>0.71290158730158715</v>
      </c>
      <c r="CK19" s="1">
        <f t="shared" si="48"/>
        <v>-0.33841189431932006</v>
      </c>
      <c r="CL19" s="1"/>
      <c r="CM19" s="1">
        <v>0.79490000000000005</v>
      </c>
      <c r="CN19" s="1">
        <f t="shared" si="22"/>
        <v>0.69790158730158725</v>
      </c>
      <c r="CO19" s="1">
        <f t="shared" si="49"/>
        <v>-0.3596771785647308</v>
      </c>
      <c r="CP19" s="1"/>
      <c r="CQ19" s="1">
        <v>0.80759999999999998</v>
      </c>
      <c r="CR19" s="1">
        <f t="shared" si="23"/>
        <v>0.71060158730158718</v>
      </c>
      <c r="CS19" s="1">
        <f t="shared" si="50"/>
        <v>-0.34164336164934156</v>
      </c>
      <c r="CT19" s="1"/>
      <c r="CU19" s="1">
        <v>0.80030000000000001</v>
      </c>
      <c r="CV19" s="1">
        <f t="shared" si="24"/>
        <v>0.70330158730158721</v>
      </c>
      <c r="CW19" s="1">
        <f t="shared" si="51"/>
        <v>-0.35196947873684642</v>
      </c>
      <c r="CX19" s="1"/>
      <c r="CY19" s="1">
        <v>0.80210000000000004</v>
      </c>
      <c r="CZ19" s="1">
        <f t="shared" si="25"/>
        <v>0.70510158730158723</v>
      </c>
      <c r="DA19" s="1">
        <f t="shared" si="52"/>
        <v>-0.34941339108737818</v>
      </c>
      <c r="DB19" s="1"/>
      <c r="DC19" s="1">
        <v>0.79059999999999997</v>
      </c>
      <c r="DD19" s="1">
        <f t="shared" si="26"/>
        <v>0.69360158730158716</v>
      </c>
      <c r="DE19">
        <f t="shared" si="53"/>
        <v>-0.36585756502132555</v>
      </c>
    </row>
    <row r="20" spans="2:109" x14ac:dyDescent="0.2">
      <c r="B20">
        <v>4.0563094444444445</v>
      </c>
      <c r="C20" s="1">
        <v>0.69910000000000005</v>
      </c>
      <c r="D20" s="1">
        <f t="shared" si="0"/>
        <v>0.60210158730158725</v>
      </c>
      <c r="E20" s="1">
        <f t="shared" si="27"/>
        <v>-0.50732909823952932</v>
      </c>
      <c r="F20" s="1"/>
      <c r="G20" s="1">
        <v>0.74809999999999999</v>
      </c>
      <c r="H20" s="1">
        <f t="shared" si="1"/>
        <v>0.65110158730158718</v>
      </c>
      <c r="I20" s="1">
        <f t="shared" si="28"/>
        <v>-0.42908960086548814</v>
      </c>
      <c r="J20" s="1"/>
      <c r="K20" s="1">
        <v>0.76539999999999997</v>
      </c>
      <c r="L20" s="1">
        <f t="shared" si="2"/>
        <v>0.66840158730158716</v>
      </c>
      <c r="M20" s="1">
        <f t="shared" si="29"/>
        <v>-0.40286610748576013</v>
      </c>
      <c r="N20" s="1"/>
      <c r="O20" s="1">
        <v>0.78459999999999996</v>
      </c>
      <c r="P20" s="1">
        <f t="shared" si="3"/>
        <v>0.68760158730158716</v>
      </c>
      <c r="Q20" s="1">
        <f t="shared" si="30"/>
        <v>-0.37454569700957574</v>
      </c>
      <c r="R20" s="1"/>
      <c r="S20" s="1">
        <v>0.79069999999999996</v>
      </c>
      <c r="T20" s="1">
        <f t="shared" si="4"/>
        <v>0.69370158730158715</v>
      </c>
      <c r="U20" s="1">
        <f t="shared" si="31"/>
        <v>-0.36571340042629857</v>
      </c>
      <c r="V20" s="1"/>
      <c r="W20" s="1">
        <v>0.79149999999999998</v>
      </c>
      <c r="X20" s="1">
        <f t="shared" si="5"/>
        <v>0.69450158730158718</v>
      </c>
      <c r="Y20" s="1">
        <f t="shared" si="32"/>
        <v>-0.36456083125890743</v>
      </c>
      <c r="Z20" s="1"/>
      <c r="AA20" s="1">
        <v>0.81530000000000002</v>
      </c>
      <c r="AB20" s="1">
        <f t="shared" si="6"/>
        <v>0.71830158730158722</v>
      </c>
      <c r="AC20" s="1">
        <f t="shared" si="33"/>
        <v>-0.33086576010069424</v>
      </c>
      <c r="AD20" s="1"/>
      <c r="AE20" s="1">
        <v>0.81879999999999997</v>
      </c>
      <c r="AF20" s="1">
        <f t="shared" si="7"/>
        <v>0.72180158730158717</v>
      </c>
      <c r="AG20" s="1">
        <f t="shared" si="34"/>
        <v>-0.32600498768804864</v>
      </c>
      <c r="AH20" s="1"/>
      <c r="AI20" s="1">
        <v>0.82920000000000005</v>
      </c>
      <c r="AJ20" s="1">
        <f t="shared" si="8"/>
        <v>0.73220158730158724</v>
      </c>
      <c r="AK20" s="1">
        <f t="shared" si="35"/>
        <v>-0.31169941044586913</v>
      </c>
      <c r="AL20" s="1"/>
      <c r="AM20" s="1">
        <v>0.76680000000000004</v>
      </c>
      <c r="AN20" s="1">
        <f t="shared" si="9"/>
        <v>0.66980158730158723</v>
      </c>
      <c r="AO20" s="1">
        <f t="shared" si="36"/>
        <v>-0.40077374881058697</v>
      </c>
      <c r="AP20" s="1"/>
      <c r="AQ20" s="1">
        <v>0.76680000000000004</v>
      </c>
      <c r="AR20" s="1">
        <f t="shared" si="10"/>
        <v>0.66980158730158723</v>
      </c>
      <c r="AS20" s="1">
        <f t="shared" si="37"/>
        <v>-0.40077374881058697</v>
      </c>
      <c r="AT20" s="1"/>
      <c r="AU20" s="1">
        <v>0.76470000000000005</v>
      </c>
      <c r="AV20" s="1">
        <f t="shared" si="11"/>
        <v>0.66770158730158724</v>
      </c>
      <c r="AW20" s="1">
        <f t="shared" si="38"/>
        <v>-0.40391393085352356</v>
      </c>
      <c r="AX20" s="1"/>
      <c r="AY20" s="1">
        <v>0.79749999999999999</v>
      </c>
      <c r="AZ20" s="1">
        <f t="shared" si="12"/>
        <v>0.70050158730158718</v>
      </c>
      <c r="BA20" s="1">
        <f t="shared" si="39"/>
        <v>-0.35595864725248605</v>
      </c>
      <c r="BB20" s="1"/>
      <c r="BC20" s="1">
        <v>0.80079999999999996</v>
      </c>
      <c r="BD20" s="1">
        <f t="shared" si="13"/>
        <v>0.70380158730158715</v>
      </c>
      <c r="BE20" s="1">
        <f t="shared" si="40"/>
        <v>-0.35125879876672217</v>
      </c>
      <c r="BF20" s="1"/>
      <c r="BG20" s="1">
        <v>0.81730000000000003</v>
      </c>
      <c r="BH20" s="1">
        <f t="shared" si="14"/>
        <v>0.72030158730158722</v>
      </c>
      <c r="BI20" s="1">
        <f t="shared" si="41"/>
        <v>-0.20174905446005301</v>
      </c>
      <c r="BJ20" s="1"/>
      <c r="BK20" s="1">
        <v>0.81759999999999999</v>
      </c>
      <c r="BL20" s="1">
        <f t="shared" si="15"/>
        <v>0.72060158730158719</v>
      </c>
      <c r="BM20" s="1">
        <f t="shared" si="42"/>
        <v>-0.32766887792065741</v>
      </c>
      <c r="BN20" s="1"/>
      <c r="BO20" s="1">
        <v>0.8175</v>
      </c>
      <c r="BP20" s="1">
        <f t="shared" si="16"/>
        <v>0.7205015873015872</v>
      </c>
      <c r="BQ20" s="1">
        <f t="shared" si="43"/>
        <v>-0.32780766048934895</v>
      </c>
      <c r="BR20" s="1"/>
      <c r="BS20" s="1">
        <v>0.83730000000000004</v>
      </c>
      <c r="BT20" s="1">
        <f t="shared" si="17"/>
        <v>0.74030158730158724</v>
      </c>
      <c r="BU20" s="1">
        <f t="shared" si="44"/>
        <v>-0.30069762540248118</v>
      </c>
      <c r="BV20" s="1"/>
      <c r="BW20" s="1">
        <v>0.84179999999999999</v>
      </c>
      <c r="BX20" s="1">
        <f t="shared" si="18"/>
        <v>0.74480158730158719</v>
      </c>
      <c r="BY20" s="1">
        <f t="shared" si="45"/>
        <v>-0.29463742184326502</v>
      </c>
      <c r="BZ20" s="1"/>
      <c r="CA20" s="1">
        <v>0.79830000000000001</v>
      </c>
      <c r="CB20" s="1">
        <f t="shared" si="19"/>
        <v>0.7013015873015872</v>
      </c>
      <c r="CC20" s="1">
        <f t="shared" si="46"/>
        <v>-0.35481726007153969</v>
      </c>
      <c r="CD20" s="1"/>
      <c r="CE20" s="1">
        <v>0.79269999999999996</v>
      </c>
      <c r="CF20" s="1">
        <f t="shared" si="20"/>
        <v>0.69570158730158715</v>
      </c>
      <c r="CG20" s="1">
        <f t="shared" si="47"/>
        <v>-0.36283446446597195</v>
      </c>
      <c r="CH20" s="1"/>
      <c r="CI20" s="1">
        <v>0.82789999999999997</v>
      </c>
      <c r="CJ20" s="1">
        <f t="shared" si="21"/>
        <v>0.73090158730158716</v>
      </c>
      <c r="CK20" s="1">
        <f t="shared" si="48"/>
        <v>-0.31347645578986194</v>
      </c>
      <c r="CL20" s="1"/>
      <c r="CM20" s="1">
        <v>0.83009999999999995</v>
      </c>
      <c r="CN20" s="1">
        <f t="shared" si="22"/>
        <v>0.73310158730158714</v>
      </c>
      <c r="CO20" s="1">
        <f t="shared" si="49"/>
        <v>-0.31047099556385144</v>
      </c>
      <c r="CP20" s="1"/>
      <c r="CQ20" s="1">
        <v>0.84530000000000005</v>
      </c>
      <c r="CR20" s="1">
        <f t="shared" si="23"/>
        <v>0.74830158730158725</v>
      </c>
      <c r="CS20" s="1">
        <f t="shared" si="50"/>
        <v>-0.28994919068788122</v>
      </c>
      <c r="CT20" s="1"/>
      <c r="CU20" s="1">
        <v>0.84750000000000003</v>
      </c>
      <c r="CV20" s="1">
        <f t="shared" si="24"/>
        <v>0.75050158730158723</v>
      </c>
      <c r="CW20" s="1">
        <f t="shared" si="51"/>
        <v>-0.28701351291873545</v>
      </c>
      <c r="CX20" s="1"/>
      <c r="CY20" s="1">
        <v>0.85360000000000003</v>
      </c>
      <c r="CZ20" s="1">
        <f t="shared" si="25"/>
        <v>0.75660158730158722</v>
      </c>
      <c r="DA20" s="1">
        <f t="shared" si="52"/>
        <v>-0.27891846884516669</v>
      </c>
      <c r="DB20" s="1"/>
      <c r="DC20" s="1">
        <v>0.84599999999999997</v>
      </c>
      <c r="DD20" s="1">
        <f t="shared" si="26"/>
        <v>0.74900158730158717</v>
      </c>
      <c r="DE20">
        <f t="shared" si="53"/>
        <v>-0.28901417623940989</v>
      </c>
    </row>
    <row r="21" spans="2:109" x14ac:dyDescent="0.2">
      <c r="B21">
        <v>4.2949063888888892</v>
      </c>
      <c r="C21" s="1">
        <v>0.70409999999999995</v>
      </c>
      <c r="D21" s="1">
        <f t="shared" si="0"/>
        <v>0.60710158730158714</v>
      </c>
      <c r="E21" s="1">
        <f t="shared" si="27"/>
        <v>-0.4990591422855245</v>
      </c>
      <c r="F21" s="1"/>
      <c r="G21" s="1">
        <v>0.75970000000000004</v>
      </c>
      <c r="H21" s="1">
        <f t="shared" si="1"/>
        <v>0.66270158730158724</v>
      </c>
      <c r="I21" s="1">
        <f t="shared" si="28"/>
        <v>-0.41143048468698062</v>
      </c>
      <c r="J21" s="1"/>
      <c r="K21" s="1">
        <v>0.76929999999999998</v>
      </c>
      <c r="L21" s="1">
        <f t="shared" si="2"/>
        <v>0.67230158730158718</v>
      </c>
      <c r="M21" s="1">
        <f t="shared" si="29"/>
        <v>-0.39704824850801862</v>
      </c>
      <c r="N21" s="1"/>
      <c r="O21" s="1">
        <v>0.79220000000000002</v>
      </c>
      <c r="P21" s="1">
        <f t="shared" si="3"/>
        <v>0.69520158730158721</v>
      </c>
      <c r="Q21" s="1">
        <f t="shared" si="30"/>
        <v>-0.36355342180343014</v>
      </c>
      <c r="R21" s="1"/>
      <c r="S21" s="1">
        <v>0.80189999999999995</v>
      </c>
      <c r="T21" s="1">
        <f t="shared" si="4"/>
        <v>0.70490158730158714</v>
      </c>
      <c r="U21" s="1">
        <f t="shared" si="31"/>
        <v>-0.34969707839382369</v>
      </c>
      <c r="V21" s="1"/>
      <c r="W21" s="1">
        <v>0.8044</v>
      </c>
      <c r="X21" s="1">
        <f t="shared" si="5"/>
        <v>0.7074015873015872</v>
      </c>
      <c r="Y21" s="1">
        <f t="shared" si="32"/>
        <v>-0.34615675836030957</v>
      </c>
      <c r="Z21" s="1"/>
      <c r="AA21" s="1">
        <v>0.82879999999999998</v>
      </c>
      <c r="AB21" s="1">
        <f t="shared" si="6"/>
        <v>0.73180158730158718</v>
      </c>
      <c r="AC21" s="1">
        <f t="shared" si="33"/>
        <v>-0.31224585736195859</v>
      </c>
      <c r="AD21" s="1"/>
      <c r="AE21" s="1">
        <v>0.83830000000000005</v>
      </c>
      <c r="AF21" s="1">
        <f t="shared" si="7"/>
        <v>0.74130158730158724</v>
      </c>
      <c r="AG21" s="1">
        <f t="shared" si="34"/>
        <v>-0.29934773608124926</v>
      </c>
      <c r="AH21" s="1"/>
      <c r="AI21" s="1">
        <v>0.84240000000000004</v>
      </c>
      <c r="AJ21" s="1">
        <f t="shared" si="8"/>
        <v>0.74540158730158723</v>
      </c>
      <c r="AK21" s="1">
        <f t="shared" si="35"/>
        <v>-0.29383216247642469</v>
      </c>
      <c r="AL21" s="1"/>
      <c r="AM21" s="1">
        <v>0.76829999999999998</v>
      </c>
      <c r="AN21" s="1">
        <f t="shared" si="9"/>
        <v>0.67130158730158718</v>
      </c>
      <c r="AO21" s="1">
        <f t="shared" si="36"/>
        <v>-0.39853678352125277</v>
      </c>
      <c r="AP21" s="1"/>
      <c r="AQ21" s="1">
        <v>0.77</v>
      </c>
      <c r="AR21" s="1">
        <f t="shared" si="10"/>
        <v>0.67300158730158721</v>
      </c>
      <c r="AS21" s="1">
        <f t="shared" si="37"/>
        <v>-0.39600759079399861</v>
      </c>
      <c r="AT21" s="1"/>
      <c r="AU21" s="1">
        <v>0.77510000000000001</v>
      </c>
      <c r="AV21" s="1">
        <f t="shared" si="11"/>
        <v>0.67810158730158721</v>
      </c>
      <c r="AW21" s="1">
        <f t="shared" si="38"/>
        <v>-0.38845816848754866</v>
      </c>
      <c r="AX21" s="1"/>
      <c r="AY21" s="1">
        <v>0.81059999999999999</v>
      </c>
      <c r="AZ21" s="1">
        <f t="shared" si="12"/>
        <v>0.71360158730158718</v>
      </c>
      <c r="BA21" s="1">
        <f t="shared" si="39"/>
        <v>-0.33743047336120596</v>
      </c>
      <c r="BB21" s="1"/>
      <c r="BC21" s="1">
        <v>0.81510000000000005</v>
      </c>
      <c r="BD21" s="1">
        <f t="shared" si="13"/>
        <v>0.71810158730158724</v>
      </c>
      <c r="BE21" s="1">
        <f t="shared" si="40"/>
        <v>-0.33114423344972127</v>
      </c>
      <c r="BF21" s="1"/>
      <c r="BG21" s="1">
        <v>0.83209999999999995</v>
      </c>
      <c r="BH21" s="1">
        <f t="shared" si="14"/>
        <v>0.73510158730158714</v>
      </c>
      <c r="BI21" s="1">
        <f t="shared" si="41"/>
        <v>-0.18380265307575291</v>
      </c>
      <c r="BJ21" s="1"/>
      <c r="BK21" s="1">
        <v>0.83540000000000003</v>
      </c>
      <c r="BL21" s="1">
        <f t="shared" si="15"/>
        <v>0.73840158730158723</v>
      </c>
      <c r="BM21" s="1">
        <f t="shared" si="42"/>
        <v>-0.30326744614576828</v>
      </c>
      <c r="BN21" s="1"/>
      <c r="BO21" s="1">
        <v>0.83689999999999998</v>
      </c>
      <c r="BP21" s="1">
        <f t="shared" si="16"/>
        <v>0.73990158730158717</v>
      </c>
      <c r="BQ21" s="1">
        <f t="shared" si="43"/>
        <v>-0.30123809176088379</v>
      </c>
      <c r="BR21" s="1"/>
      <c r="BS21" s="1">
        <v>0.86240000000000006</v>
      </c>
      <c r="BT21" s="1">
        <f t="shared" si="17"/>
        <v>0.76540158730158725</v>
      </c>
      <c r="BU21" s="1">
        <f t="shared" si="44"/>
        <v>-0.2673546321730001</v>
      </c>
      <c r="BV21" s="1"/>
      <c r="BW21" s="1">
        <v>0.86750000000000005</v>
      </c>
      <c r="BX21" s="1">
        <f t="shared" si="18"/>
        <v>0.77050158730158724</v>
      </c>
      <c r="BY21" s="1">
        <f t="shared" si="45"/>
        <v>-0.26071356413117847</v>
      </c>
      <c r="BZ21" s="1"/>
      <c r="CA21" s="1">
        <v>0.80210000000000004</v>
      </c>
      <c r="CB21" s="1">
        <f t="shared" si="19"/>
        <v>0.70510158730158723</v>
      </c>
      <c r="CC21" s="1">
        <f t="shared" si="46"/>
        <v>-0.34941339108737818</v>
      </c>
      <c r="CD21" s="1"/>
      <c r="CE21" s="1">
        <v>0.8095</v>
      </c>
      <c r="CF21" s="1">
        <f t="shared" si="20"/>
        <v>0.71250158730158719</v>
      </c>
      <c r="CG21" s="1">
        <f t="shared" si="47"/>
        <v>-0.33897313905011167</v>
      </c>
      <c r="CH21" s="1"/>
      <c r="CI21" s="1">
        <v>0.83679999999999999</v>
      </c>
      <c r="CJ21" s="1">
        <f t="shared" si="21"/>
        <v>0.73980158730158718</v>
      </c>
      <c r="CK21" s="1">
        <f t="shared" si="48"/>
        <v>-0.30137325400405329</v>
      </c>
      <c r="CL21" s="1"/>
      <c r="CM21" s="1">
        <v>0.84150000000000003</v>
      </c>
      <c r="CN21" s="1">
        <f t="shared" si="22"/>
        <v>0.74450158730158722</v>
      </c>
      <c r="CO21" s="1">
        <f t="shared" si="49"/>
        <v>-0.29504029482329147</v>
      </c>
      <c r="CP21" s="1"/>
      <c r="CQ21" s="1">
        <v>0.85170000000000001</v>
      </c>
      <c r="CR21" s="1">
        <f t="shared" si="23"/>
        <v>0.75470158730158721</v>
      </c>
      <c r="CS21" s="1">
        <f t="shared" si="50"/>
        <v>-0.28143285647160055</v>
      </c>
      <c r="CT21" s="1"/>
      <c r="CU21" s="1">
        <v>0.85909999999999997</v>
      </c>
      <c r="CV21" s="1">
        <f t="shared" si="24"/>
        <v>0.76210158730158717</v>
      </c>
      <c r="CW21" s="1">
        <f t="shared" si="51"/>
        <v>-0.27167541551261853</v>
      </c>
      <c r="CX21" s="1"/>
      <c r="CY21" s="1">
        <v>0.86160000000000003</v>
      </c>
      <c r="CZ21" s="1">
        <f t="shared" si="25"/>
        <v>0.76460158730158723</v>
      </c>
      <c r="DA21" s="1">
        <f t="shared" si="52"/>
        <v>-0.26840038173245917</v>
      </c>
      <c r="DB21" s="1"/>
      <c r="DC21" s="1">
        <v>0.86539999999999995</v>
      </c>
      <c r="DD21" s="1">
        <f t="shared" si="26"/>
        <v>0.76840158730158714</v>
      </c>
      <c r="DE21">
        <f t="shared" si="53"/>
        <v>-0.26344278236682489</v>
      </c>
    </row>
    <row r="22" spans="2:109" x14ac:dyDescent="0.2">
      <c r="B22">
        <v>4.533409166666666</v>
      </c>
      <c r="C22" s="1">
        <v>0.70760000000000001</v>
      </c>
      <c r="D22" s="1">
        <f t="shared" si="0"/>
        <v>0.6106015873015872</v>
      </c>
      <c r="E22" s="1">
        <f t="shared" si="27"/>
        <v>-0.49331059910794972</v>
      </c>
      <c r="F22" s="1"/>
      <c r="G22" s="1">
        <v>0.76049999999999995</v>
      </c>
      <c r="H22" s="1">
        <f t="shared" si="1"/>
        <v>0.66350158730158715</v>
      </c>
      <c r="I22" s="1">
        <f t="shared" si="28"/>
        <v>-0.41022403289685527</v>
      </c>
      <c r="J22" s="1"/>
      <c r="K22" s="1">
        <v>0.76819999999999999</v>
      </c>
      <c r="L22" s="1">
        <f t="shared" si="2"/>
        <v>0.67120158730158719</v>
      </c>
      <c r="M22" s="1">
        <f t="shared" si="29"/>
        <v>-0.3986857589606807</v>
      </c>
      <c r="N22" s="1"/>
      <c r="O22" s="1">
        <v>0.79690000000000005</v>
      </c>
      <c r="P22" s="1">
        <f t="shared" si="3"/>
        <v>0.69990158730158725</v>
      </c>
      <c r="Q22" s="1">
        <f t="shared" si="30"/>
        <v>-0.35681554339153332</v>
      </c>
      <c r="R22" s="1"/>
      <c r="S22" s="1">
        <v>0.81069999999999998</v>
      </c>
      <c r="T22" s="1">
        <f t="shared" si="4"/>
        <v>0.71370158730158717</v>
      </c>
      <c r="U22" s="1">
        <f t="shared" si="31"/>
        <v>-0.33729034896164883</v>
      </c>
      <c r="V22" s="1"/>
      <c r="W22" s="1">
        <v>0.81540000000000001</v>
      </c>
      <c r="X22" s="1">
        <f t="shared" si="5"/>
        <v>0.71840158730158721</v>
      </c>
      <c r="Y22" s="1">
        <f t="shared" si="32"/>
        <v>-0.33072655250106031</v>
      </c>
      <c r="Z22" s="1"/>
      <c r="AA22" s="1">
        <v>0.83850000000000002</v>
      </c>
      <c r="AB22" s="1">
        <f t="shared" si="6"/>
        <v>0.74150158730158722</v>
      </c>
      <c r="AC22" s="1">
        <f t="shared" si="33"/>
        <v>-0.2990779767434783</v>
      </c>
      <c r="AD22" s="1"/>
      <c r="AE22" s="1">
        <v>0.85040000000000004</v>
      </c>
      <c r="AF22" s="1">
        <f t="shared" si="7"/>
        <v>0.75340158730158724</v>
      </c>
      <c r="AG22" s="1">
        <f t="shared" si="34"/>
        <v>-0.28315687687535757</v>
      </c>
      <c r="AH22" s="1"/>
      <c r="AI22" s="1">
        <v>0.85460000000000003</v>
      </c>
      <c r="AJ22" s="1">
        <f t="shared" si="8"/>
        <v>0.75760158730158722</v>
      </c>
      <c r="AK22" s="1">
        <f t="shared" si="35"/>
        <v>-0.27759764194141379</v>
      </c>
      <c r="AL22" s="1"/>
      <c r="AM22" s="1">
        <v>0.77539999999999998</v>
      </c>
      <c r="AN22" s="1">
        <f t="shared" si="9"/>
        <v>0.67840158730158717</v>
      </c>
      <c r="AO22" s="1">
        <f t="shared" si="36"/>
        <v>-0.38801585473479427</v>
      </c>
      <c r="AP22" s="1"/>
      <c r="AQ22" s="1">
        <v>0.7782</v>
      </c>
      <c r="AR22" s="1">
        <f t="shared" si="10"/>
        <v>0.6812015873015872</v>
      </c>
      <c r="AS22" s="1">
        <f t="shared" si="37"/>
        <v>-0.38389700004131688</v>
      </c>
      <c r="AT22" s="1"/>
      <c r="AU22" s="1">
        <v>0.78290000000000004</v>
      </c>
      <c r="AV22" s="1">
        <f t="shared" si="11"/>
        <v>0.68590158730158723</v>
      </c>
      <c r="AW22" s="1">
        <f t="shared" si="38"/>
        <v>-0.37702112029148366</v>
      </c>
      <c r="AX22" s="1"/>
      <c r="AY22" s="1">
        <v>0.81710000000000005</v>
      </c>
      <c r="AZ22" s="1">
        <f t="shared" si="12"/>
        <v>0.72010158730158724</v>
      </c>
      <c r="BA22" s="1">
        <f t="shared" si="39"/>
        <v>-0.32836298345035742</v>
      </c>
      <c r="BB22" s="1"/>
      <c r="BC22" s="1">
        <v>0.82650000000000001</v>
      </c>
      <c r="BD22" s="1">
        <f t="shared" si="13"/>
        <v>0.72950158730158721</v>
      </c>
      <c r="BE22" s="1">
        <f t="shared" si="40"/>
        <v>-0.31539373514560198</v>
      </c>
      <c r="BF22" s="1"/>
      <c r="BG22" s="1">
        <v>0.84609999999999996</v>
      </c>
      <c r="BH22" s="1">
        <f t="shared" si="14"/>
        <v>0.74910158730158716</v>
      </c>
      <c r="BI22" s="1">
        <f t="shared" si="41"/>
        <v>-0.1671177230516819</v>
      </c>
      <c r="BJ22" s="1"/>
      <c r="BK22" s="1">
        <v>0.84950000000000003</v>
      </c>
      <c r="BL22" s="1">
        <f t="shared" si="15"/>
        <v>0.75250158730158723</v>
      </c>
      <c r="BM22" s="1">
        <f t="shared" si="42"/>
        <v>-0.28435217299045096</v>
      </c>
      <c r="BN22" s="1"/>
      <c r="BO22" s="1">
        <v>0.84960000000000002</v>
      </c>
      <c r="BP22" s="1">
        <f t="shared" si="16"/>
        <v>0.75260158730158722</v>
      </c>
      <c r="BQ22" s="1">
        <f t="shared" si="43"/>
        <v>-0.28421929173442212</v>
      </c>
      <c r="BR22" s="1"/>
      <c r="BS22" s="1">
        <v>0.88180000000000003</v>
      </c>
      <c r="BT22" s="1">
        <f t="shared" si="17"/>
        <v>0.78480158730158722</v>
      </c>
      <c r="BU22" s="1">
        <f t="shared" si="44"/>
        <v>-0.24232434817748982</v>
      </c>
      <c r="BV22" s="1"/>
      <c r="BW22" s="1">
        <v>0.87809999999999999</v>
      </c>
      <c r="BX22" s="1">
        <f t="shared" si="18"/>
        <v>0.78110158730158719</v>
      </c>
      <c r="BY22" s="1">
        <f t="shared" si="45"/>
        <v>-0.24705006423174847</v>
      </c>
      <c r="BZ22" s="1"/>
      <c r="CA22" s="1">
        <v>0.80410000000000004</v>
      </c>
      <c r="CB22" s="1">
        <f t="shared" si="19"/>
        <v>0.70710158730158723</v>
      </c>
      <c r="CC22" s="1">
        <f t="shared" si="46"/>
        <v>-0.34658093556950148</v>
      </c>
      <c r="CD22" s="1"/>
      <c r="CE22" s="1">
        <v>0.81220000000000003</v>
      </c>
      <c r="CF22" s="1">
        <f t="shared" si="20"/>
        <v>0.71520158730158723</v>
      </c>
      <c r="CG22" s="1">
        <f t="shared" si="47"/>
        <v>-0.33519083574388159</v>
      </c>
      <c r="CH22" s="1"/>
      <c r="CI22" s="1">
        <v>0.83930000000000005</v>
      </c>
      <c r="CJ22" s="1">
        <f t="shared" si="21"/>
        <v>0.74230158730158724</v>
      </c>
      <c r="CK22" s="1">
        <f t="shared" si="48"/>
        <v>-0.29799966650501847</v>
      </c>
      <c r="CL22" s="1"/>
      <c r="CM22" s="1">
        <v>0.8569</v>
      </c>
      <c r="CN22" s="1">
        <f t="shared" si="22"/>
        <v>0.75990158730158719</v>
      </c>
      <c r="CO22" s="1">
        <f t="shared" si="49"/>
        <v>-0.27456634447901346</v>
      </c>
      <c r="CP22" s="1"/>
      <c r="CQ22" s="1">
        <v>0.86550000000000005</v>
      </c>
      <c r="CR22" s="1">
        <f t="shared" si="23"/>
        <v>0.76850158730158724</v>
      </c>
      <c r="CS22" s="1">
        <f t="shared" si="50"/>
        <v>-0.26331265055137459</v>
      </c>
      <c r="CT22" s="1"/>
      <c r="CU22" s="1">
        <v>0.87629999999999997</v>
      </c>
      <c r="CV22" s="1">
        <f t="shared" si="24"/>
        <v>0.77930158730158716</v>
      </c>
      <c r="CW22" s="1">
        <f t="shared" si="51"/>
        <v>-0.24935716130473698</v>
      </c>
      <c r="CX22" s="1"/>
      <c r="CY22" s="1">
        <v>0.87419999999999998</v>
      </c>
      <c r="CZ22" s="1">
        <f t="shared" si="25"/>
        <v>0.77720158730158717</v>
      </c>
      <c r="DA22" s="1">
        <f t="shared" si="52"/>
        <v>-0.25205551914744923</v>
      </c>
      <c r="DB22" s="1"/>
      <c r="DC22" s="1">
        <v>0.88270000000000004</v>
      </c>
      <c r="DD22" s="1">
        <f t="shared" si="26"/>
        <v>0.78570158730158723</v>
      </c>
      <c r="DE22">
        <f t="shared" si="53"/>
        <v>-0.2411782185636501</v>
      </c>
    </row>
    <row r="23" spans="2:109" x14ac:dyDescent="0.2">
      <c r="B23">
        <v>4.771905277777778</v>
      </c>
      <c r="C23" s="1">
        <v>0.71079999999999999</v>
      </c>
      <c r="D23" s="1">
        <f t="shared" si="0"/>
        <v>0.61380158730158718</v>
      </c>
      <c r="E23" s="1">
        <f t="shared" si="27"/>
        <v>-0.48808355077575383</v>
      </c>
      <c r="F23" s="1"/>
      <c r="G23" s="1">
        <v>0.75529999999999997</v>
      </c>
      <c r="H23" s="1">
        <f t="shared" si="1"/>
        <v>0.65830158730158717</v>
      </c>
      <c r="I23" s="1">
        <f t="shared" si="28"/>
        <v>-0.4180921132981078</v>
      </c>
      <c r="J23" s="1"/>
      <c r="K23" s="1">
        <v>0.77190000000000003</v>
      </c>
      <c r="L23" s="1">
        <f t="shared" si="2"/>
        <v>0.67490158730158722</v>
      </c>
      <c r="M23" s="1">
        <f t="shared" si="29"/>
        <v>-0.39318839532920441</v>
      </c>
      <c r="N23" s="1"/>
      <c r="O23" s="1">
        <v>0.79469999999999996</v>
      </c>
      <c r="P23" s="1">
        <f t="shared" si="3"/>
        <v>0.69770158730158716</v>
      </c>
      <c r="Q23" s="1">
        <f t="shared" si="30"/>
        <v>-0.3599637929906776</v>
      </c>
      <c r="R23" s="1"/>
      <c r="S23" s="1">
        <v>0.81299999999999994</v>
      </c>
      <c r="T23" s="1">
        <f t="shared" si="4"/>
        <v>0.71600158730158714</v>
      </c>
      <c r="U23" s="1">
        <f t="shared" si="31"/>
        <v>-0.33407289512229077</v>
      </c>
      <c r="V23" s="1"/>
      <c r="W23" s="1">
        <v>0.81469999999999998</v>
      </c>
      <c r="X23" s="1">
        <f t="shared" si="5"/>
        <v>0.71770158730158717</v>
      </c>
      <c r="Y23" s="1">
        <f t="shared" si="32"/>
        <v>-0.33170141289802402</v>
      </c>
      <c r="Z23" s="1"/>
      <c r="AA23" s="1">
        <v>0.84099999999999997</v>
      </c>
      <c r="AB23" s="1">
        <f t="shared" si="6"/>
        <v>0.74400158730158716</v>
      </c>
      <c r="AC23" s="1">
        <f t="shared" si="33"/>
        <v>-0.29571211068144582</v>
      </c>
      <c r="AD23" s="1"/>
      <c r="AE23" s="1">
        <v>0.85540000000000005</v>
      </c>
      <c r="AF23" s="1">
        <f t="shared" si="7"/>
        <v>0.75840158730158724</v>
      </c>
      <c r="AG23" s="1">
        <f t="shared" si="34"/>
        <v>-0.27654223508256159</v>
      </c>
      <c r="AH23" s="1"/>
      <c r="AI23" s="1">
        <v>0.86270000000000002</v>
      </c>
      <c r="AJ23" s="1">
        <f t="shared" si="8"/>
        <v>0.76570158730158722</v>
      </c>
      <c r="AK23" s="1">
        <f t="shared" si="35"/>
        <v>-0.26696275785804169</v>
      </c>
      <c r="AL23" s="1"/>
      <c r="AM23" s="1">
        <v>0.79059999999999997</v>
      </c>
      <c r="AN23" s="1">
        <f t="shared" si="9"/>
        <v>0.69360158730158716</v>
      </c>
      <c r="AO23" s="1">
        <f t="shared" si="36"/>
        <v>-0.36585756502132555</v>
      </c>
      <c r="AP23" s="1"/>
      <c r="AQ23" s="1">
        <v>0.7883</v>
      </c>
      <c r="AR23" s="1">
        <f t="shared" si="10"/>
        <v>0.69130158730158719</v>
      </c>
      <c r="AS23" s="1">
        <f t="shared" si="37"/>
        <v>-0.36917909992247727</v>
      </c>
      <c r="AT23" s="1"/>
      <c r="AU23" s="1">
        <v>0.79020000000000001</v>
      </c>
      <c r="AV23" s="1">
        <f t="shared" si="11"/>
        <v>0.69320158730158721</v>
      </c>
      <c r="AW23" s="1">
        <f t="shared" si="38"/>
        <v>-0.36643443132566889</v>
      </c>
      <c r="AX23" s="1"/>
      <c r="AY23" s="1">
        <v>0.82320000000000004</v>
      </c>
      <c r="AZ23" s="1">
        <f t="shared" si="12"/>
        <v>0.72620158730158724</v>
      </c>
      <c r="BA23" s="1">
        <f t="shared" si="39"/>
        <v>-0.31992763424060655</v>
      </c>
      <c r="BB23" s="1"/>
      <c r="BC23" s="1">
        <v>0.83489999999999998</v>
      </c>
      <c r="BD23" s="1">
        <f t="shared" si="13"/>
        <v>0.73790158730158717</v>
      </c>
      <c r="BE23" s="1">
        <f t="shared" si="40"/>
        <v>-0.30394481381349309</v>
      </c>
      <c r="BF23" s="1"/>
      <c r="BG23" s="1">
        <v>0.85170000000000001</v>
      </c>
      <c r="BH23" s="1">
        <f t="shared" si="14"/>
        <v>0.75470158730158721</v>
      </c>
      <c r="BI23" s="1">
        <f t="shared" si="41"/>
        <v>-0.16052092683510183</v>
      </c>
      <c r="BJ23" s="1"/>
      <c r="BK23" s="1">
        <v>0.85970000000000002</v>
      </c>
      <c r="BL23" s="1">
        <f t="shared" si="15"/>
        <v>0.76270158730158721</v>
      </c>
      <c r="BM23" s="1">
        <f t="shared" si="42"/>
        <v>-0.27088842865298846</v>
      </c>
      <c r="BN23" s="1"/>
      <c r="BO23" s="1">
        <v>0.85570000000000002</v>
      </c>
      <c r="BP23" s="1">
        <f t="shared" si="16"/>
        <v>0.75870158730158721</v>
      </c>
      <c r="BQ23" s="1">
        <f t="shared" si="43"/>
        <v>-0.27614674450692722</v>
      </c>
      <c r="BR23" s="1"/>
      <c r="BS23" s="1">
        <v>0.89549999999999996</v>
      </c>
      <c r="BT23" s="1">
        <f t="shared" si="17"/>
        <v>0.79850158730158716</v>
      </c>
      <c r="BU23" s="1">
        <f t="shared" si="44"/>
        <v>-0.22501832347483511</v>
      </c>
      <c r="BV23" s="1"/>
      <c r="BW23" s="1">
        <v>0.87280000000000002</v>
      </c>
      <c r="BX23" s="1">
        <f t="shared" si="18"/>
        <v>0.77580158730158721</v>
      </c>
      <c r="BY23" s="1">
        <f t="shared" si="45"/>
        <v>-0.25385847795930278</v>
      </c>
      <c r="BZ23" s="1"/>
      <c r="CA23" s="1">
        <v>0.82010000000000005</v>
      </c>
      <c r="CB23" s="1">
        <f t="shared" si="19"/>
        <v>0.72310158730158725</v>
      </c>
      <c r="CC23" s="1">
        <f t="shared" si="46"/>
        <v>-0.32420555866937489</v>
      </c>
      <c r="CD23" s="1"/>
      <c r="CE23" s="1">
        <v>0.81359999999999999</v>
      </c>
      <c r="CF23" s="1">
        <f t="shared" si="20"/>
        <v>0.71660158730158718</v>
      </c>
      <c r="CG23" s="1">
        <f t="shared" si="47"/>
        <v>-0.33323525906826212</v>
      </c>
      <c r="CH23" s="1"/>
      <c r="CI23" s="1">
        <v>0.84809999999999997</v>
      </c>
      <c r="CJ23" s="1">
        <f t="shared" si="21"/>
        <v>0.75110158730158716</v>
      </c>
      <c r="CK23" s="1">
        <f t="shared" si="48"/>
        <v>-0.28621436698979824</v>
      </c>
      <c r="CL23" s="1"/>
      <c r="CM23" s="1">
        <v>0.85570000000000002</v>
      </c>
      <c r="CN23" s="1">
        <f t="shared" si="22"/>
        <v>0.75870158730158721</v>
      </c>
      <c r="CO23" s="1">
        <f t="shared" si="49"/>
        <v>-0.27614674450692722</v>
      </c>
      <c r="CP23" s="1"/>
      <c r="CQ23" s="1">
        <v>0.86839999999999995</v>
      </c>
      <c r="CR23" s="1">
        <f t="shared" si="23"/>
        <v>0.77140158730158714</v>
      </c>
      <c r="CS23" s="1">
        <f t="shared" si="50"/>
        <v>-0.25954617552074744</v>
      </c>
      <c r="CT23" s="1"/>
      <c r="CU23" s="1">
        <v>0.87529999999999997</v>
      </c>
      <c r="CV23" s="1">
        <f t="shared" si="24"/>
        <v>0.77830158730158716</v>
      </c>
      <c r="CW23" s="1">
        <f t="shared" si="51"/>
        <v>-0.25064118557189086</v>
      </c>
      <c r="CX23" s="1"/>
      <c r="CY23" s="1">
        <v>0.87280000000000002</v>
      </c>
      <c r="CZ23" s="1">
        <f t="shared" si="25"/>
        <v>0.77580158730158721</v>
      </c>
      <c r="DA23" s="1">
        <f t="shared" si="52"/>
        <v>-0.25385847795930278</v>
      </c>
      <c r="DB23" s="1"/>
      <c r="DC23" s="1">
        <v>0.88580000000000003</v>
      </c>
      <c r="DD23" s="1">
        <f t="shared" si="26"/>
        <v>0.78880158730158723</v>
      </c>
      <c r="DE23">
        <f t="shared" si="53"/>
        <v>-0.23724046339656363</v>
      </c>
    </row>
    <row r="24" spans="2:109" x14ac:dyDescent="0.2">
      <c r="B24">
        <v>5.0105075000000001</v>
      </c>
      <c r="C24" s="1">
        <v>0.71399999999999997</v>
      </c>
      <c r="D24" s="1">
        <f t="shared" si="0"/>
        <v>0.61700158730158716</v>
      </c>
      <c r="E24" s="1">
        <f t="shared" si="27"/>
        <v>-0.48288368246808566</v>
      </c>
      <c r="F24" s="1"/>
      <c r="G24" s="1">
        <v>0.77010000000000001</v>
      </c>
      <c r="H24" s="1">
        <f t="shared" si="1"/>
        <v>0.6731015873015872</v>
      </c>
      <c r="I24" s="1">
        <f t="shared" si="28"/>
        <v>-0.39585901377245875</v>
      </c>
      <c r="J24" s="1"/>
      <c r="K24" s="1">
        <v>0.7732</v>
      </c>
      <c r="L24" s="1">
        <f t="shared" si="2"/>
        <v>0.67620158730158719</v>
      </c>
      <c r="M24" s="1">
        <f t="shared" si="29"/>
        <v>-0.39126404132632808</v>
      </c>
      <c r="N24" s="1"/>
      <c r="O24" s="1">
        <v>0.80449999999999999</v>
      </c>
      <c r="P24" s="1">
        <f t="shared" si="3"/>
        <v>0.70750158730158719</v>
      </c>
      <c r="Q24" s="1">
        <f t="shared" si="30"/>
        <v>-0.34601540593144881</v>
      </c>
      <c r="R24" s="1"/>
      <c r="S24" s="1">
        <v>0.81840000000000002</v>
      </c>
      <c r="T24" s="1">
        <f t="shared" si="4"/>
        <v>0.72140158730158721</v>
      </c>
      <c r="U24" s="1">
        <f t="shared" si="31"/>
        <v>-0.32655931020795637</v>
      </c>
      <c r="V24" s="1"/>
      <c r="W24" s="1">
        <v>0.82110000000000005</v>
      </c>
      <c r="X24" s="1">
        <f t="shared" si="5"/>
        <v>0.72410158730158725</v>
      </c>
      <c r="Y24" s="1">
        <f t="shared" si="32"/>
        <v>-0.32282358248703402</v>
      </c>
      <c r="Z24" s="1"/>
      <c r="AA24" s="1">
        <v>0.84550000000000003</v>
      </c>
      <c r="AB24" s="1">
        <f t="shared" si="6"/>
        <v>0.74850158730158722</v>
      </c>
      <c r="AC24" s="1">
        <f t="shared" si="33"/>
        <v>-0.28968195448129946</v>
      </c>
      <c r="AD24" s="1"/>
      <c r="AE24" s="1">
        <v>0.8609</v>
      </c>
      <c r="AF24" s="1">
        <f t="shared" si="7"/>
        <v>0.76390158730158719</v>
      </c>
      <c r="AG24" s="1">
        <f t="shared" si="34"/>
        <v>-0.26931631054512795</v>
      </c>
      <c r="AH24" s="1"/>
      <c r="AI24" s="1">
        <v>0.86670000000000003</v>
      </c>
      <c r="AJ24" s="1">
        <f t="shared" si="8"/>
        <v>0.76970158730158722</v>
      </c>
      <c r="AK24" s="1">
        <f t="shared" si="35"/>
        <v>-0.26175238820989111</v>
      </c>
      <c r="AL24" s="1"/>
      <c r="AM24" s="1">
        <v>0.78490000000000004</v>
      </c>
      <c r="AN24" s="1">
        <f t="shared" si="9"/>
        <v>0.68790158730158724</v>
      </c>
      <c r="AO24" s="1">
        <f t="shared" si="36"/>
        <v>-0.37410949299304413</v>
      </c>
      <c r="AP24" s="1"/>
      <c r="AQ24" s="1">
        <v>0.78879999999999995</v>
      </c>
      <c r="AR24" s="1">
        <f t="shared" si="10"/>
        <v>0.69180158730158714</v>
      </c>
      <c r="AS24" s="1">
        <f t="shared" si="37"/>
        <v>-0.36845608803014396</v>
      </c>
      <c r="AT24" s="1"/>
      <c r="AU24" s="1">
        <v>0.7944</v>
      </c>
      <c r="AV24" s="1">
        <f t="shared" si="11"/>
        <v>0.69740158730158719</v>
      </c>
      <c r="AW24" s="1">
        <f t="shared" si="38"/>
        <v>-0.36039386871566398</v>
      </c>
      <c r="AX24" s="1"/>
      <c r="AY24" s="1">
        <v>0.82779999999999998</v>
      </c>
      <c r="AZ24" s="1">
        <f t="shared" si="12"/>
        <v>0.73080158730158717</v>
      </c>
      <c r="BA24" s="1">
        <f t="shared" si="39"/>
        <v>-0.31361328247518833</v>
      </c>
      <c r="BB24" s="1"/>
      <c r="BC24" s="1">
        <v>0.84199999999999997</v>
      </c>
      <c r="BD24" s="1">
        <f t="shared" si="13"/>
        <v>0.74500158730158716</v>
      </c>
      <c r="BE24" s="1">
        <f t="shared" si="40"/>
        <v>-0.29436892999869002</v>
      </c>
      <c r="BF24" s="1"/>
      <c r="BG24" s="1">
        <v>0.85709999999999997</v>
      </c>
      <c r="BH24" s="1">
        <f t="shared" si="14"/>
        <v>0.76010158730158717</v>
      </c>
      <c r="BI24" s="1">
        <f t="shared" si="41"/>
        <v>-0.15420068107730001</v>
      </c>
      <c r="BJ24" s="1"/>
      <c r="BK24" s="1">
        <v>0.86150000000000004</v>
      </c>
      <c r="BL24" s="1">
        <f t="shared" si="15"/>
        <v>0.76450158730158724</v>
      </c>
      <c r="BM24" s="1">
        <f t="shared" si="42"/>
        <v>-0.26853117735410653</v>
      </c>
      <c r="BN24" s="1"/>
      <c r="BO24" s="1">
        <v>0.86399999999999999</v>
      </c>
      <c r="BP24" s="1">
        <f t="shared" si="16"/>
        <v>0.76700158730158718</v>
      </c>
      <c r="BQ24" s="1">
        <f t="shared" si="43"/>
        <v>-0.2652664081234275</v>
      </c>
      <c r="BR24" s="1"/>
      <c r="BS24" s="1">
        <v>0.90100000000000002</v>
      </c>
      <c r="BT24" s="1">
        <f t="shared" si="17"/>
        <v>0.80400158730158722</v>
      </c>
      <c r="BU24" s="1">
        <f t="shared" si="44"/>
        <v>-0.21815403554941404</v>
      </c>
      <c r="BV24" s="1"/>
      <c r="BW24" s="1">
        <v>0.87560000000000004</v>
      </c>
      <c r="BX24" s="1">
        <f t="shared" si="18"/>
        <v>0.77860158730158724</v>
      </c>
      <c r="BY24" s="1">
        <f t="shared" si="45"/>
        <v>-0.25025580514668944</v>
      </c>
      <c r="BZ24" s="1"/>
      <c r="CA24" s="1">
        <v>0.81110000000000004</v>
      </c>
      <c r="CB24" s="1">
        <f t="shared" si="19"/>
        <v>0.71410158730158724</v>
      </c>
      <c r="CC24" s="1">
        <f t="shared" si="46"/>
        <v>-0.33673004762939296</v>
      </c>
      <c r="CD24" s="1"/>
      <c r="CE24" s="1">
        <v>0.81859999999999999</v>
      </c>
      <c r="CF24" s="1">
        <f t="shared" si="20"/>
        <v>0.72160158730158719</v>
      </c>
      <c r="CG24" s="1">
        <f t="shared" si="47"/>
        <v>-0.326282110538821</v>
      </c>
      <c r="CH24" s="1"/>
      <c r="CI24" s="1">
        <v>0.84570000000000001</v>
      </c>
      <c r="CJ24" s="1">
        <f t="shared" si="21"/>
        <v>0.7487015873015872</v>
      </c>
      <c r="CK24" s="1">
        <f t="shared" si="48"/>
        <v>-0.28941478967082862</v>
      </c>
      <c r="CL24" s="1"/>
      <c r="CM24" s="1">
        <v>0.86619999999999997</v>
      </c>
      <c r="CN24" s="1">
        <f t="shared" si="22"/>
        <v>0.76920158730158716</v>
      </c>
      <c r="CO24" s="1">
        <f t="shared" si="49"/>
        <v>-0.26240220169503525</v>
      </c>
      <c r="CP24" s="1"/>
      <c r="CQ24" s="1">
        <v>0.87229999999999996</v>
      </c>
      <c r="CR24" s="1">
        <f t="shared" si="23"/>
        <v>0.77530158730158716</v>
      </c>
      <c r="CS24" s="1">
        <f t="shared" si="50"/>
        <v>-0.25450318042075748</v>
      </c>
      <c r="CT24" s="1"/>
      <c r="CU24" s="1">
        <v>0.88690000000000002</v>
      </c>
      <c r="CV24" s="1">
        <f t="shared" si="24"/>
        <v>0.78990158730158722</v>
      </c>
      <c r="CW24" s="1">
        <f t="shared" si="51"/>
        <v>-0.23584691431690052</v>
      </c>
      <c r="CX24" s="1"/>
      <c r="CY24" s="1">
        <v>0.88449999999999995</v>
      </c>
      <c r="CZ24" s="1">
        <f t="shared" si="25"/>
        <v>0.78750158730158715</v>
      </c>
      <c r="DA24" s="1">
        <f t="shared" si="52"/>
        <v>-0.23888989266331725</v>
      </c>
      <c r="DB24" s="1"/>
      <c r="DC24" s="1">
        <v>0.90290000000000004</v>
      </c>
      <c r="DD24" s="1">
        <f t="shared" si="26"/>
        <v>0.80590158730158723</v>
      </c>
      <c r="DE24">
        <f t="shared" si="53"/>
        <v>-0.2157936440524357</v>
      </c>
    </row>
    <row r="25" spans="2:109" x14ac:dyDescent="0.2">
      <c r="B25">
        <v>5.2490100000000002</v>
      </c>
      <c r="C25" s="1">
        <v>0.7167</v>
      </c>
      <c r="D25" s="1">
        <f t="shared" si="0"/>
        <v>0.6197015873015872</v>
      </c>
      <c r="E25" s="1">
        <f t="shared" si="27"/>
        <v>-0.47851722761411664</v>
      </c>
      <c r="F25" s="1"/>
      <c r="G25" s="1">
        <v>0.75860000000000005</v>
      </c>
      <c r="H25" s="1">
        <f t="shared" si="1"/>
        <v>0.66160158730158725</v>
      </c>
      <c r="I25" s="1">
        <f t="shared" si="28"/>
        <v>-0.41309173608933758</v>
      </c>
      <c r="J25" s="1"/>
      <c r="K25" s="1">
        <v>0.77459999999999996</v>
      </c>
      <c r="L25" s="1">
        <f t="shared" si="2"/>
        <v>0.67760158730158715</v>
      </c>
      <c r="M25" s="1">
        <f t="shared" si="29"/>
        <v>-0.3891957931122263</v>
      </c>
      <c r="N25" s="1"/>
      <c r="O25" s="1">
        <v>0.8044</v>
      </c>
      <c r="P25" s="1">
        <f t="shared" si="3"/>
        <v>0.7074015873015872</v>
      </c>
      <c r="Q25" s="1">
        <f t="shared" si="30"/>
        <v>-0.34615675836030957</v>
      </c>
      <c r="R25" s="1"/>
      <c r="S25" s="1">
        <v>0.81569999999999998</v>
      </c>
      <c r="T25" s="1">
        <f t="shared" si="4"/>
        <v>0.71870158730158717</v>
      </c>
      <c r="U25" s="1">
        <f t="shared" si="31"/>
        <v>-0.3303090459369396</v>
      </c>
      <c r="V25" s="1"/>
      <c r="W25" s="1">
        <v>0.81730000000000003</v>
      </c>
      <c r="X25" s="1">
        <f t="shared" si="5"/>
        <v>0.72030158730158722</v>
      </c>
      <c r="Y25" s="1">
        <f t="shared" si="32"/>
        <v>-0.32808528342190479</v>
      </c>
      <c r="Z25" s="1"/>
      <c r="AA25" s="1">
        <v>0.85150000000000003</v>
      </c>
      <c r="AB25" s="1">
        <f t="shared" si="6"/>
        <v>0.75450158730158723</v>
      </c>
      <c r="AC25" s="1">
        <f t="shared" si="33"/>
        <v>-0.28169789699700676</v>
      </c>
      <c r="AD25" s="1"/>
      <c r="AE25" s="1">
        <v>0.85829999999999995</v>
      </c>
      <c r="AF25" s="1">
        <f t="shared" si="7"/>
        <v>0.76130158730158715</v>
      </c>
      <c r="AG25" s="1">
        <f t="shared" si="34"/>
        <v>-0.27272569568385113</v>
      </c>
      <c r="AH25" s="1"/>
      <c r="AI25" s="1">
        <v>0.87139999999999995</v>
      </c>
      <c r="AJ25" s="1">
        <f t="shared" si="8"/>
        <v>0.77440158730158715</v>
      </c>
      <c r="AK25" s="1">
        <f t="shared" si="35"/>
        <v>-0.25566469330391184</v>
      </c>
      <c r="AL25" s="1"/>
      <c r="AM25" s="1">
        <v>0.77990000000000004</v>
      </c>
      <c r="AN25" s="1">
        <f t="shared" si="9"/>
        <v>0.68290158730158723</v>
      </c>
      <c r="AO25" s="1">
        <f t="shared" si="36"/>
        <v>-0.38140451866344244</v>
      </c>
      <c r="AP25" s="1"/>
      <c r="AQ25" s="1">
        <v>0.7853</v>
      </c>
      <c r="AR25" s="1">
        <f t="shared" si="10"/>
        <v>0.68830158730158719</v>
      </c>
      <c r="AS25" s="1">
        <f t="shared" si="37"/>
        <v>-0.37352818346165273</v>
      </c>
      <c r="AT25" s="1"/>
      <c r="AU25" s="1">
        <v>0.79079999999999995</v>
      </c>
      <c r="AV25" s="1">
        <f t="shared" si="11"/>
        <v>0.69380158730158714</v>
      </c>
      <c r="AW25" s="1">
        <f t="shared" si="38"/>
        <v>-0.36556925661170625</v>
      </c>
      <c r="AX25" s="1"/>
      <c r="AY25" s="1">
        <v>0.82140000000000002</v>
      </c>
      <c r="AZ25" s="1">
        <f t="shared" si="12"/>
        <v>0.72440158730158721</v>
      </c>
      <c r="BA25" s="1">
        <f t="shared" si="39"/>
        <v>-0.3224093617803771</v>
      </c>
      <c r="BB25" s="1"/>
      <c r="BC25" s="1">
        <v>0.83499999999999996</v>
      </c>
      <c r="BD25" s="1">
        <f t="shared" si="13"/>
        <v>0.73800158730158716</v>
      </c>
      <c r="BE25" s="1">
        <f t="shared" si="40"/>
        <v>-0.3038093035688188</v>
      </c>
      <c r="BF25" s="1"/>
      <c r="BG25" s="1">
        <v>0.85499999999999998</v>
      </c>
      <c r="BH25" s="1">
        <f t="shared" si="14"/>
        <v>0.75800158730158718</v>
      </c>
      <c r="BI25" s="1">
        <f t="shared" si="41"/>
        <v>-0.15665381004537685</v>
      </c>
      <c r="BJ25" s="1"/>
      <c r="BK25" s="1">
        <v>0.86270000000000002</v>
      </c>
      <c r="BL25" s="1">
        <f t="shared" si="15"/>
        <v>0.76570158730158722</v>
      </c>
      <c r="BM25" s="1">
        <f t="shared" si="42"/>
        <v>-0.26696275785804169</v>
      </c>
      <c r="BN25" s="1"/>
      <c r="BO25" s="1">
        <v>0.86050000000000004</v>
      </c>
      <c r="BP25" s="1">
        <f t="shared" si="16"/>
        <v>0.76350158730158724</v>
      </c>
      <c r="BQ25" s="1">
        <f t="shared" si="43"/>
        <v>-0.26984007534514309</v>
      </c>
      <c r="BR25" s="1"/>
      <c r="BS25" s="1">
        <v>0.89900000000000002</v>
      </c>
      <c r="BT25" s="1">
        <f t="shared" si="17"/>
        <v>0.80200158730158722</v>
      </c>
      <c r="BU25" s="1">
        <f t="shared" si="44"/>
        <v>-0.22064469193854469</v>
      </c>
      <c r="BV25" s="1"/>
      <c r="BW25" s="1">
        <v>0.86539999999999995</v>
      </c>
      <c r="BX25" s="1">
        <f t="shared" si="18"/>
        <v>0.76840158730158714</v>
      </c>
      <c r="BY25" s="1">
        <f t="shared" si="45"/>
        <v>-0.26344278236682489</v>
      </c>
      <c r="BZ25" s="1"/>
      <c r="CA25" s="1">
        <v>0.81010000000000004</v>
      </c>
      <c r="CB25" s="1">
        <f t="shared" si="19"/>
        <v>0.71310158730158724</v>
      </c>
      <c r="CC25" s="1">
        <f t="shared" si="46"/>
        <v>-0.33813139003311171</v>
      </c>
      <c r="CD25" s="1"/>
      <c r="CE25" s="1">
        <v>0.8135</v>
      </c>
      <c r="CF25" s="1">
        <f t="shared" si="20"/>
        <v>0.7165015873015872</v>
      </c>
      <c r="CG25" s="1">
        <f t="shared" si="47"/>
        <v>-0.33337481636174165</v>
      </c>
      <c r="CH25" s="1"/>
      <c r="CI25" s="1">
        <v>0.84509999999999996</v>
      </c>
      <c r="CJ25" s="1">
        <f t="shared" si="21"/>
        <v>0.74810158730158716</v>
      </c>
      <c r="CK25" s="1">
        <f t="shared" si="48"/>
        <v>-0.29021649832874347</v>
      </c>
      <c r="CL25" s="1"/>
      <c r="CM25" s="1">
        <v>0.85960000000000003</v>
      </c>
      <c r="CN25" s="1">
        <f t="shared" si="22"/>
        <v>0.76260158730158722</v>
      </c>
      <c r="CO25" s="1">
        <f t="shared" si="49"/>
        <v>-0.27101955012681517</v>
      </c>
      <c r="CP25" s="1"/>
      <c r="CQ25" s="1">
        <v>0.86909999999999998</v>
      </c>
      <c r="CR25" s="1">
        <f t="shared" si="23"/>
        <v>0.77210158730158718</v>
      </c>
      <c r="CS25" s="1">
        <f t="shared" si="50"/>
        <v>-0.25863914784563974</v>
      </c>
      <c r="CT25" s="1"/>
      <c r="CU25" s="1">
        <v>0.8841</v>
      </c>
      <c r="CV25" s="1">
        <f t="shared" si="24"/>
        <v>0.78710158730158719</v>
      </c>
      <c r="CW25" s="1">
        <f t="shared" si="51"/>
        <v>-0.2393979571903751</v>
      </c>
      <c r="CX25" s="1"/>
      <c r="CY25" s="1">
        <v>0.88360000000000005</v>
      </c>
      <c r="CZ25" s="1">
        <f t="shared" si="25"/>
        <v>0.78660158730158725</v>
      </c>
      <c r="DA25" s="1">
        <f t="shared" si="52"/>
        <v>-0.24003340105919815</v>
      </c>
      <c r="DB25" s="1"/>
      <c r="DC25" s="1">
        <v>0.90239999999999998</v>
      </c>
      <c r="DD25" s="1">
        <f t="shared" si="26"/>
        <v>0.80540158730158717</v>
      </c>
      <c r="DE25">
        <f t="shared" si="53"/>
        <v>-0.21641425974280284</v>
      </c>
    </row>
    <row r="26" spans="2:109" x14ac:dyDescent="0.2">
      <c r="B26">
        <v>5.4875224999999999</v>
      </c>
      <c r="C26" s="1">
        <v>0.7208</v>
      </c>
      <c r="D26" s="1">
        <f t="shared" si="0"/>
        <v>0.62380158730158719</v>
      </c>
      <c r="E26" s="1">
        <f t="shared" si="27"/>
        <v>-0.4719229302435613</v>
      </c>
      <c r="F26" s="1"/>
      <c r="G26" s="1">
        <v>0.76529999999999998</v>
      </c>
      <c r="H26" s="1">
        <f t="shared" si="1"/>
        <v>0.66830158730158717</v>
      </c>
      <c r="I26" s="1">
        <f t="shared" si="28"/>
        <v>-0.40301572933462904</v>
      </c>
      <c r="J26" s="1"/>
      <c r="K26" s="1">
        <v>0.7853</v>
      </c>
      <c r="L26" s="1">
        <f t="shared" si="2"/>
        <v>0.68830158730158719</v>
      </c>
      <c r="M26" s="1">
        <f t="shared" si="29"/>
        <v>-0.37352818346165273</v>
      </c>
      <c r="N26" s="1"/>
      <c r="O26" s="1">
        <v>0.80489999999999995</v>
      </c>
      <c r="P26" s="1">
        <f t="shared" si="3"/>
        <v>0.70790158730158714</v>
      </c>
      <c r="Q26" s="1">
        <f t="shared" si="30"/>
        <v>-0.34545019593640858</v>
      </c>
      <c r="R26" s="1"/>
      <c r="S26" s="1">
        <v>0.82030000000000003</v>
      </c>
      <c r="T26" s="1">
        <f t="shared" si="4"/>
        <v>0.72330158730158722</v>
      </c>
      <c r="U26" s="1">
        <f t="shared" si="31"/>
        <v>-0.32392901060202223</v>
      </c>
      <c r="V26" s="1"/>
      <c r="W26" s="1">
        <v>0.82379999999999998</v>
      </c>
      <c r="X26" s="1">
        <f t="shared" si="5"/>
        <v>0.72680158730158717</v>
      </c>
      <c r="Y26" s="1">
        <f t="shared" si="32"/>
        <v>-0.3191017585032499</v>
      </c>
      <c r="Z26" s="1"/>
      <c r="AA26" s="1">
        <v>0.84709999999999996</v>
      </c>
      <c r="AB26" s="1">
        <f t="shared" si="6"/>
        <v>0.75010158730158716</v>
      </c>
      <c r="AC26" s="1">
        <f t="shared" si="33"/>
        <v>-0.28754663188881852</v>
      </c>
      <c r="AD26" s="1"/>
      <c r="AE26" s="1">
        <v>0.86509999999999998</v>
      </c>
      <c r="AF26" s="1">
        <f t="shared" si="7"/>
        <v>0.76810158730158717</v>
      </c>
      <c r="AG26" s="1">
        <f t="shared" si="34"/>
        <v>-0.26383327944977386</v>
      </c>
      <c r="AH26" s="1"/>
      <c r="AI26" s="1">
        <v>0.86699999999999999</v>
      </c>
      <c r="AJ26" s="1">
        <f t="shared" si="8"/>
        <v>0.77000158730158719</v>
      </c>
      <c r="AK26" s="1">
        <f t="shared" si="35"/>
        <v>-0.26136270270589956</v>
      </c>
      <c r="AL26" s="1"/>
      <c r="AM26" s="1">
        <v>0.79420000000000002</v>
      </c>
      <c r="AN26" s="1">
        <f t="shared" si="9"/>
        <v>0.69720158730158721</v>
      </c>
      <c r="AO26" s="1">
        <f t="shared" si="36"/>
        <v>-0.36068068865844516</v>
      </c>
      <c r="AP26" s="1"/>
      <c r="AQ26" s="1">
        <v>0.79249999999999998</v>
      </c>
      <c r="AR26" s="1">
        <f t="shared" si="10"/>
        <v>0.69550158730158718</v>
      </c>
      <c r="AS26" s="1">
        <f t="shared" si="37"/>
        <v>-0.36312198537597107</v>
      </c>
      <c r="AT26" s="1"/>
      <c r="AU26" s="1">
        <v>0.79510000000000003</v>
      </c>
      <c r="AV26" s="1">
        <f t="shared" si="11"/>
        <v>0.69810158730158722</v>
      </c>
      <c r="AW26" s="1">
        <f t="shared" si="38"/>
        <v>-0.35939064626307587</v>
      </c>
      <c r="AX26" s="1"/>
      <c r="AY26" s="1">
        <v>0.82479999999999998</v>
      </c>
      <c r="AZ26" s="1">
        <f t="shared" si="12"/>
        <v>0.72780158730158717</v>
      </c>
      <c r="BA26" s="1">
        <f t="shared" si="39"/>
        <v>-0.31772681284796844</v>
      </c>
      <c r="BB26" s="1"/>
      <c r="BC26" s="1">
        <v>0.83930000000000005</v>
      </c>
      <c r="BD26" s="1">
        <f t="shared" si="13"/>
        <v>0.74230158730158724</v>
      </c>
      <c r="BE26" s="1">
        <f t="shared" si="40"/>
        <v>-0.29799966650501847</v>
      </c>
      <c r="BF26" s="1"/>
      <c r="BG26" s="1">
        <v>0.85299999999999998</v>
      </c>
      <c r="BH26" s="1">
        <f t="shared" si="14"/>
        <v>0.75600158730158717</v>
      </c>
      <c r="BI26" s="1">
        <f t="shared" si="41"/>
        <v>-0.15899573149045795</v>
      </c>
      <c r="BJ26" s="1"/>
      <c r="BK26" s="1">
        <v>0.85850000000000004</v>
      </c>
      <c r="BL26" s="1">
        <f t="shared" si="15"/>
        <v>0.76150158730158723</v>
      </c>
      <c r="BM26" s="1">
        <f t="shared" si="42"/>
        <v>-0.27246302220840063</v>
      </c>
      <c r="BN26" s="1"/>
      <c r="BO26" s="1">
        <v>0.86219999999999997</v>
      </c>
      <c r="BP26" s="1">
        <f t="shared" si="16"/>
        <v>0.76520158730158716</v>
      </c>
      <c r="BQ26" s="1">
        <f t="shared" si="43"/>
        <v>-0.267615967056472</v>
      </c>
      <c r="BR26" s="1"/>
      <c r="BS26" s="1">
        <v>0.90200000000000002</v>
      </c>
      <c r="BT26" s="1">
        <f t="shared" si="17"/>
        <v>0.80500158730158722</v>
      </c>
      <c r="BU26" s="1">
        <f t="shared" si="44"/>
        <v>-0.21691102976230375</v>
      </c>
      <c r="BV26" s="1"/>
      <c r="BW26" s="1">
        <v>0.8629</v>
      </c>
      <c r="BX26" s="1">
        <f t="shared" si="18"/>
        <v>0.76590158730158719</v>
      </c>
      <c r="BY26" s="1">
        <f t="shared" si="45"/>
        <v>-0.2667015936028963</v>
      </c>
      <c r="BZ26" s="1"/>
      <c r="CA26" s="1">
        <v>0.82489999999999997</v>
      </c>
      <c r="CB26" s="1">
        <f t="shared" si="19"/>
        <v>0.72790158730158716</v>
      </c>
      <c r="CC26" s="1">
        <f t="shared" si="46"/>
        <v>-0.31758942220143838</v>
      </c>
      <c r="CD26" s="1"/>
      <c r="CE26" s="1">
        <v>0.81710000000000005</v>
      </c>
      <c r="CF26" s="1">
        <f t="shared" si="20"/>
        <v>0.72010158730158724</v>
      </c>
      <c r="CG26" s="1">
        <f t="shared" si="47"/>
        <v>-0.32836298345035742</v>
      </c>
      <c r="CH26" s="1"/>
      <c r="CI26" s="1">
        <v>0.85509999999999997</v>
      </c>
      <c r="CJ26" s="1">
        <f t="shared" si="21"/>
        <v>0.75810158730158717</v>
      </c>
      <c r="CK26" s="1">
        <f t="shared" si="48"/>
        <v>-0.27693788213287784</v>
      </c>
      <c r="CL26" s="1"/>
      <c r="CM26" s="1">
        <v>0.86119999999999997</v>
      </c>
      <c r="CN26" s="1">
        <f t="shared" si="22"/>
        <v>0.76420158730158716</v>
      </c>
      <c r="CO26" s="1">
        <f t="shared" si="49"/>
        <v>-0.2689236668953533</v>
      </c>
      <c r="CP26" s="1"/>
      <c r="CQ26" s="1">
        <v>0.87970000000000004</v>
      </c>
      <c r="CR26" s="1">
        <f t="shared" si="23"/>
        <v>0.78270158730158723</v>
      </c>
      <c r="CS26" s="1">
        <f t="shared" si="50"/>
        <v>-0.24500377019130409</v>
      </c>
      <c r="CT26" s="1"/>
      <c r="CU26" s="1">
        <v>0.89049999999999996</v>
      </c>
      <c r="CV26" s="1">
        <f t="shared" si="24"/>
        <v>0.79350158730158715</v>
      </c>
      <c r="CW26" s="1">
        <f t="shared" si="51"/>
        <v>-0.23129973863760203</v>
      </c>
      <c r="CX26" s="1"/>
      <c r="CY26" s="1">
        <v>0.89390000000000003</v>
      </c>
      <c r="CZ26" s="1">
        <f t="shared" si="25"/>
        <v>0.79690158730158722</v>
      </c>
      <c r="DA26" s="1">
        <f t="shared" si="52"/>
        <v>-0.22702408673503344</v>
      </c>
      <c r="DB26" s="1"/>
      <c r="DC26" s="1">
        <v>0.91010000000000002</v>
      </c>
      <c r="DD26" s="1">
        <f t="shared" si="26"/>
        <v>0.81310158730158721</v>
      </c>
      <c r="DE26">
        <f t="shared" si="53"/>
        <v>-0.20689922360989252</v>
      </c>
    </row>
    <row r="27" spans="2:109" x14ac:dyDescent="0.2">
      <c r="B27">
        <v>5.7261311111111111</v>
      </c>
      <c r="C27" s="1">
        <v>0.72230000000000005</v>
      </c>
      <c r="D27" s="1">
        <f t="shared" si="0"/>
        <v>0.62530158730158725</v>
      </c>
      <c r="E27" s="1">
        <f t="shared" si="27"/>
        <v>-0.46952120594802987</v>
      </c>
      <c r="F27" s="1"/>
      <c r="G27" s="1">
        <v>0.77590000000000003</v>
      </c>
      <c r="H27" s="1">
        <f t="shared" si="1"/>
        <v>0.67890158730158723</v>
      </c>
      <c r="I27" s="1">
        <f t="shared" si="28"/>
        <v>-0.38727909962809048</v>
      </c>
      <c r="J27" s="1"/>
      <c r="K27" s="1">
        <v>0.78369999999999995</v>
      </c>
      <c r="L27" s="1">
        <f t="shared" si="2"/>
        <v>0.68670158730158715</v>
      </c>
      <c r="M27" s="1">
        <f t="shared" si="29"/>
        <v>-0.37585545186613306</v>
      </c>
      <c r="N27" s="1"/>
      <c r="O27" s="1">
        <v>0.80740000000000001</v>
      </c>
      <c r="P27" s="1">
        <f t="shared" si="3"/>
        <v>0.7104015873015872</v>
      </c>
      <c r="Q27" s="1">
        <f t="shared" si="30"/>
        <v>-0.34192485292943875</v>
      </c>
      <c r="R27" s="1"/>
      <c r="S27" s="1">
        <v>0.82279999999999998</v>
      </c>
      <c r="T27" s="1">
        <f t="shared" si="4"/>
        <v>0.72580158730158717</v>
      </c>
      <c r="U27" s="1">
        <f t="shared" si="31"/>
        <v>-0.32047859723726535</v>
      </c>
      <c r="V27" s="1"/>
      <c r="W27" s="1">
        <v>0.82540000000000002</v>
      </c>
      <c r="X27" s="1">
        <f t="shared" si="5"/>
        <v>0.72840158730158722</v>
      </c>
      <c r="Y27" s="1">
        <f t="shared" si="32"/>
        <v>-0.31690275196907719</v>
      </c>
      <c r="Z27" s="1"/>
      <c r="AA27" s="1">
        <v>0.85240000000000005</v>
      </c>
      <c r="AB27" s="1">
        <f t="shared" si="6"/>
        <v>0.75540158730158724</v>
      </c>
      <c r="AC27" s="1">
        <f t="shared" si="33"/>
        <v>-0.28050576743303718</v>
      </c>
      <c r="AD27" s="1"/>
      <c r="AE27" s="1">
        <v>0.87029999999999996</v>
      </c>
      <c r="AF27" s="1">
        <f t="shared" si="7"/>
        <v>0.77330158730158716</v>
      </c>
      <c r="AG27" s="1">
        <f t="shared" si="34"/>
        <v>-0.25708615473562252</v>
      </c>
      <c r="AH27" s="1"/>
      <c r="AI27" s="1">
        <v>0.86870000000000003</v>
      </c>
      <c r="AJ27" s="1">
        <f t="shared" si="8"/>
        <v>0.77170158730158722</v>
      </c>
      <c r="AK27" s="1">
        <f t="shared" si="35"/>
        <v>-0.25915734863124684</v>
      </c>
      <c r="AL27" s="1"/>
      <c r="AM27" s="1">
        <v>0.78580000000000005</v>
      </c>
      <c r="AN27" s="1">
        <f t="shared" si="9"/>
        <v>0.68880158730158725</v>
      </c>
      <c r="AO27" s="1">
        <f t="shared" si="36"/>
        <v>-0.37280202142645819</v>
      </c>
      <c r="AP27" s="1"/>
      <c r="AQ27" s="1">
        <v>0.78900000000000003</v>
      </c>
      <c r="AR27" s="1">
        <f t="shared" si="10"/>
        <v>0.69200158730158723</v>
      </c>
      <c r="AS27" s="1">
        <f t="shared" si="37"/>
        <v>-0.36816702957867736</v>
      </c>
      <c r="AT27" s="1"/>
      <c r="AU27" s="1">
        <v>0.7974</v>
      </c>
      <c r="AV27" s="1">
        <f t="shared" si="11"/>
        <v>0.70040158730158719</v>
      </c>
      <c r="AW27" s="1">
        <f t="shared" si="38"/>
        <v>-0.35610141229432868</v>
      </c>
      <c r="AX27" s="1"/>
      <c r="AY27" s="1">
        <v>0.82989999999999997</v>
      </c>
      <c r="AZ27" s="1">
        <f t="shared" si="12"/>
        <v>0.73290158730158717</v>
      </c>
      <c r="BA27" s="1">
        <f t="shared" si="39"/>
        <v>-0.31074384627073331</v>
      </c>
      <c r="BB27" s="1"/>
      <c r="BC27" s="1">
        <v>0.84299999999999997</v>
      </c>
      <c r="BD27" s="1">
        <f t="shared" si="13"/>
        <v>0.74600158730158717</v>
      </c>
      <c r="BE27" s="1">
        <f t="shared" si="40"/>
        <v>-0.29302755103052303</v>
      </c>
      <c r="BF27" s="1"/>
      <c r="BG27" s="1">
        <v>0.85870000000000002</v>
      </c>
      <c r="BH27" s="1">
        <f t="shared" si="14"/>
        <v>0.76170158730158721</v>
      </c>
      <c r="BI27" s="1">
        <f t="shared" si="41"/>
        <v>-0.15233566130369797</v>
      </c>
      <c r="BJ27" s="1"/>
      <c r="BK27" s="1">
        <v>0.86509999999999998</v>
      </c>
      <c r="BL27" s="1">
        <f t="shared" si="15"/>
        <v>0.76810158730158717</v>
      </c>
      <c r="BM27" s="1">
        <f t="shared" si="42"/>
        <v>-0.26383327944977386</v>
      </c>
      <c r="BN27" s="1"/>
      <c r="BO27" s="1">
        <v>0.86880000000000002</v>
      </c>
      <c r="BP27" s="1">
        <f t="shared" si="16"/>
        <v>0.77180158730158721</v>
      </c>
      <c r="BQ27" s="1">
        <f t="shared" si="43"/>
        <v>-0.25902777325779075</v>
      </c>
      <c r="BR27" s="1"/>
      <c r="BS27" s="1">
        <v>0.90390000000000004</v>
      </c>
      <c r="BT27" s="1">
        <f t="shared" si="17"/>
        <v>0.80690158730158723</v>
      </c>
      <c r="BU27" s="1">
        <f t="shared" si="44"/>
        <v>-0.21455356696938394</v>
      </c>
      <c r="BV27" s="1"/>
      <c r="BW27" s="1">
        <v>0.88090000000000002</v>
      </c>
      <c r="BX27" s="1">
        <f t="shared" si="18"/>
        <v>0.78390158730158721</v>
      </c>
      <c r="BY27" s="1">
        <f t="shared" si="45"/>
        <v>-0.24347179291186397</v>
      </c>
      <c r="BZ27" s="1"/>
      <c r="CA27" s="1">
        <v>0.81810000000000005</v>
      </c>
      <c r="CB27" s="1">
        <f t="shared" si="19"/>
        <v>0.72110158730158724</v>
      </c>
      <c r="CC27" s="1">
        <f t="shared" si="46"/>
        <v>-0.32697525383928699</v>
      </c>
      <c r="CD27" s="1"/>
      <c r="CE27" s="1">
        <v>0.8256</v>
      </c>
      <c r="CF27" s="1">
        <f t="shared" si="20"/>
        <v>0.72860158730158719</v>
      </c>
      <c r="CG27" s="1">
        <f t="shared" si="47"/>
        <v>-0.31662821584624323</v>
      </c>
      <c r="CH27" s="1"/>
      <c r="CI27" s="1">
        <v>0.85360000000000003</v>
      </c>
      <c r="CJ27" s="1">
        <f t="shared" si="21"/>
        <v>0.75660158730158722</v>
      </c>
      <c r="CK27" s="1">
        <f t="shared" si="48"/>
        <v>-0.27891846884516669</v>
      </c>
      <c r="CL27" s="1"/>
      <c r="CM27" s="1">
        <v>0.86650000000000005</v>
      </c>
      <c r="CN27" s="1">
        <f t="shared" si="22"/>
        <v>0.76950158730158724</v>
      </c>
      <c r="CO27" s="1">
        <f t="shared" si="49"/>
        <v>-0.26201226293523677</v>
      </c>
      <c r="CP27" s="1"/>
      <c r="CQ27" s="1">
        <v>0.87660000000000005</v>
      </c>
      <c r="CR27" s="1">
        <f t="shared" si="23"/>
        <v>0.77960158730158724</v>
      </c>
      <c r="CS27" s="1">
        <f t="shared" si="50"/>
        <v>-0.24897227530464289</v>
      </c>
      <c r="CT27" s="1"/>
      <c r="CU27" s="1">
        <v>0.89229999999999998</v>
      </c>
      <c r="CV27" s="1">
        <f t="shared" si="24"/>
        <v>0.79530158730158718</v>
      </c>
      <c r="CW27" s="1">
        <f t="shared" si="51"/>
        <v>-0.22903388116842111</v>
      </c>
      <c r="CX27" s="1"/>
      <c r="CY27" s="1">
        <v>0.89280000000000004</v>
      </c>
      <c r="CZ27" s="1">
        <f t="shared" si="25"/>
        <v>0.79580158730158723</v>
      </c>
      <c r="DA27" s="1">
        <f t="shared" si="52"/>
        <v>-0.22840538639267116</v>
      </c>
      <c r="DB27" s="1"/>
      <c r="DC27" s="1">
        <v>0.9093</v>
      </c>
      <c r="DD27" s="1">
        <f t="shared" si="26"/>
        <v>0.81230158730158719</v>
      </c>
      <c r="DE27">
        <f t="shared" si="53"/>
        <v>-0.20788359484417959</v>
      </c>
    </row>
    <row r="28" spans="2:109" x14ac:dyDescent="0.2">
      <c r="B28">
        <v>5.964634444444445</v>
      </c>
      <c r="C28" s="1">
        <v>0.7258</v>
      </c>
      <c r="D28" s="1">
        <f t="shared" si="0"/>
        <v>0.62880158730158719</v>
      </c>
      <c r="E28" s="1">
        <f t="shared" si="27"/>
        <v>-0.46393951353574114</v>
      </c>
      <c r="F28" s="1"/>
      <c r="G28" s="1">
        <v>0.76790000000000003</v>
      </c>
      <c r="H28" s="1">
        <f t="shared" si="1"/>
        <v>0.67090158730158722</v>
      </c>
      <c r="I28" s="1">
        <f t="shared" si="28"/>
        <v>-0.3991328184873601</v>
      </c>
      <c r="J28" s="1"/>
      <c r="K28" s="1">
        <v>0.78049999999999997</v>
      </c>
      <c r="L28" s="1">
        <f t="shared" si="2"/>
        <v>0.68350158730158717</v>
      </c>
      <c r="M28" s="1">
        <f t="shared" si="29"/>
        <v>-0.38052630050687597</v>
      </c>
      <c r="N28" s="1"/>
      <c r="O28" s="1">
        <v>0.80489999999999995</v>
      </c>
      <c r="P28" s="1">
        <f t="shared" si="3"/>
        <v>0.70790158730158714</v>
      </c>
      <c r="Q28" s="1">
        <f t="shared" si="30"/>
        <v>-0.34545019593640858</v>
      </c>
      <c r="R28" s="1"/>
      <c r="S28" s="1">
        <v>0.82</v>
      </c>
      <c r="T28" s="1">
        <f t="shared" si="4"/>
        <v>0.72300158730158715</v>
      </c>
      <c r="U28" s="1">
        <f t="shared" si="31"/>
        <v>-0.32434386138790244</v>
      </c>
      <c r="V28" s="1"/>
      <c r="W28" s="1">
        <v>0.82540000000000002</v>
      </c>
      <c r="X28" s="1">
        <f t="shared" si="5"/>
        <v>0.72840158730158722</v>
      </c>
      <c r="Y28" s="1">
        <f t="shared" si="32"/>
        <v>-0.31690275196907719</v>
      </c>
      <c r="Z28" s="1"/>
      <c r="AA28" s="1">
        <v>0.85019999999999996</v>
      </c>
      <c r="AB28" s="1">
        <f t="shared" si="6"/>
        <v>0.75320158730158715</v>
      </c>
      <c r="AC28" s="1">
        <f t="shared" si="33"/>
        <v>-0.28342237479086224</v>
      </c>
      <c r="AD28" s="1"/>
      <c r="AE28" s="1">
        <v>0.87460000000000004</v>
      </c>
      <c r="AF28" s="1">
        <f t="shared" si="7"/>
        <v>0.77760158730158724</v>
      </c>
      <c r="AG28" s="1">
        <f t="shared" si="34"/>
        <v>-0.25154098455508572</v>
      </c>
      <c r="AH28" s="1"/>
      <c r="AI28" s="1">
        <v>0.86860000000000004</v>
      </c>
      <c r="AJ28" s="1">
        <f t="shared" si="8"/>
        <v>0.77160158730158723</v>
      </c>
      <c r="AK28" s="1">
        <f t="shared" si="35"/>
        <v>-0.25928694079665615</v>
      </c>
      <c r="AL28" s="1"/>
      <c r="AM28" s="1">
        <v>0.79369999999999996</v>
      </c>
      <c r="AN28" s="1">
        <f t="shared" si="9"/>
        <v>0.69670158730158716</v>
      </c>
      <c r="AO28" s="1">
        <f t="shared" si="36"/>
        <v>-0.36139809863433858</v>
      </c>
      <c r="AP28" s="1"/>
      <c r="AQ28" s="1">
        <v>0.79359999999999997</v>
      </c>
      <c r="AR28" s="1">
        <f t="shared" si="10"/>
        <v>0.69660158730158717</v>
      </c>
      <c r="AS28" s="1">
        <f t="shared" si="37"/>
        <v>-0.36154164241144965</v>
      </c>
      <c r="AT28" s="1"/>
      <c r="AU28" s="1">
        <v>0.79759999999999998</v>
      </c>
      <c r="AV28" s="1">
        <f t="shared" si="11"/>
        <v>0.70060158730158717</v>
      </c>
      <c r="AW28" s="1">
        <f t="shared" si="38"/>
        <v>-0.35581590258959123</v>
      </c>
      <c r="AX28" s="1"/>
      <c r="AY28" s="1">
        <v>0.82689999999999997</v>
      </c>
      <c r="AZ28" s="1">
        <f t="shared" si="12"/>
        <v>0.72990158730158716</v>
      </c>
      <c r="BA28" s="1">
        <f t="shared" si="39"/>
        <v>-0.31484556584327733</v>
      </c>
      <c r="BB28" s="1"/>
      <c r="BC28" s="1">
        <v>0.83979999999999999</v>
      </c>
      <c r="BD28" s="1">
        <f t="shared" si="13"/>
        <v>0.74280158730158719</v>
      </c>
      <c r="BE28" s="1">
        <f t="shared" si="40"/>
        <v>-0.29732631258935471</v>
      </c>
      <c r="BF28" s="1"/>
      <c r="BG28" s="1">
        <v>0.85599999999999998</v>
      </c>
      <c r="BH28" s="1">
        <f t="shared" si="14"/>
        <v>0.75900158730158718</v>
      </c>
      <c r="BI28" s="1">
        <f t="shared" si="41"/>
        <v>-0.15548490284039498</v>
      </c>
      <c r="BJ28" s="1"/>
      <c r="BK28" s="1">
        <v>0.8639</v>
      </c>
      <c r="BL28" s="1">
        <f t="shared" si="15"/>
        <v>0.7669015873015872</v>
      </c>
      <c r="BM28" s="1">
        <f t="shared" si="42"/>
        <v>-0.26539679445001885</v>
      </c>
      <c r="BN28" s="1"/>
      <c r="BO28" s="1">
        <v>0.86870000000000003</v>
      </c>
      <c r="BP28" s="1">
        <f t="shared" si="16"/>
        <v>0.77170158730158722</v>
      </c>
      <c r="BQ28" s="1">
        <f t="shared" si="43"/>
        <v>-0.25915734863124684</v>
      </c>
      <c r="BR28" s="1"/>
      <c r="BS28" s="1">
        <v>0.90469999999999995</v>
      </c>
      <c r="BT28" s="1">
        <f t="shared" si="17"/>
        <v>0.80770158730158714</v>
      </c>
      <c r="BU28" s="1">
        <f t="shared" si="44"/>
        <v>-0.21356261132399729</v>
      </c>
      <c r="BV28" s="1"/>
      <c r="BW28" s="1">
        <v>0.86240000000000006</v>
      </c>
      <c r="BX28" s="1">
        <f t="shared" si="18"/>
        <v>0.76540158730158725</v>
      </c>
      <c r="BY28" s="1">
        <f t="shared" si="45"/>
        <v>-0.2673546321730001</v>
      </c>
      <c r="BZ28" s="1"/>
      <c r="CA28" s="1">
        <v>0.82579999999999998</v>
      </c>
      <c r="CB28" s="1">
        <f t="shared" si="19"/>
        <v>0.72880158730158717</v>
      </c>
      <c r="CC28" s="1">
        <f t="shared" si="46"/>
        <v>-0.31635375507280639</v>
      </c>
      <c r="CD28" s="1"/>
      <c r="CE28" s="1">
        <v>0.82069999999999999</v>
      </c>
      <c r="CF28" s="1">
        <f t="shared" si="20"/>
        <v>0.72370158730158718</v>
      </c>
      <c r="CG28" s="1">
        <f t="shared" si="47"/>
        <v>-0.3233761437981213</v>
      </c>
      <c r="CH28" s="1"/>
      <c r="CI28" s="1">
        <v>0.85829999999999995</v>
      </c>
      <c r="CJ28" s="1">
        <f t="shared" si="21"/>
        <v>0.76130158730158715</v>
      </c>
      <c r="CK28" s="1">
        <f t="shared" si="48"/>
        <v>-0.27272569568385113</v>
      </c>
      <c r="CL28" s="1"/>
      <c r="CM28" s="1">
        <v>0.86550000000000005</v>
      </c>
      <c r="CN28" s="1">
        <f t="shared" si="22"/>
        <v>0.76850158730158724</v>
      </c>
      <c r="CO28" s="1">
        <f t="shared" si="49"/>
        <v>-0.26331265055137459</v>
      </c>
      <c r="CP28" s="1"/>
      <c r="CQ28" s="1">
        <v>0.89029999999999998</v>
      </c>
      <c r="CR28" s="1">
        <f t="shared" si="23"/>
        <v>0.79330158730158717</v>
      </c>
      <c r="CS28" s="1">
        <f t="shared" si="50"/>
        <v>-0.23155181779179082</v>
      </c>
      <c r="CT28" s="1"/>
      <c r="CU28" s="1">
        <v>0.90359999999999996</v>
      </c>
      <c r="CV28" s="1">
        <f t="shared" si="24"/>
        <v>0.80660158730158715</v>
      </c>
      <c r="CW28" s="1">
        <f t="shared" si="51"/>
        <v>-0.2149254286529296</v>
      </c>
      <c r="CX28" s="1"/>
      <c r="CY28" s="1">
        <v>0.90529999999999999</v>
      </c>
      <c r="CZ28" s="1">
        <f t="shared" si="25"/>
        <v>0.80830158730158719</v>
      </c>
      <c r="DA28" s="1">
        <f t="shared" si="52"/>
        <v>-0.21282003849122039</v>
      </c>
      <c r="DB28" s="1"/>
      <c r="DC28" s="1">
        <v>0.91610000000000003</v>
      </c>
      <c r="DD28" s="1">
        <f t="shared" si="26"/>
        <v>0.81910158730158722</v>
      </c>
      <c r="DE28">
        <f t="shared" si="53"/>
        <v>-0.19954716460189525</v>
      </c>
    </row>
    <row r="29" spans="2:109" x14ac:dyDescent="0.2">
      <c r="B29">
        <v>6.2032069444444442</v>
      </c>
      <c r="C29" s="1">
        <v>0.72899999999999998</v>
      </c>
      <c r="D29" s="1">
        <f t="shared" si="0"/>
        <v>0.63200158730158718</v>
      </c>
      <c r="E29" s="1">
        <f t="shared" si="27"/>
        <v>-0.45886337328528931</v>
      </c>
      <c r="F29" s="1"/>
      <c r="G29" s="1">
        <v>0.77259999999999995</v>
      </c>
      <c r="H29" s="1">
        <f t="shared" si="1"/>
        <v>0.67560158730158715</v>
      </c>
      <c r="I29" s="1">
        <f t="shared" si="28"/>
        <v>-0.3921517445817625</v>
      </c>
      <c r="J29" s="1"/>
      <c r="K29" s="1">
        <v>0.78359999999999996</v>
      </c>
      <c r="L29" s="1">
        <f t="shared" si="2"/>
        <v>0.68660158730158716</v>
      </c>
      <c r="M29" s="1">
        <f t="shared" si="29"/>
        <v>-0.37600108613251509</v>
      </c>
      <c r="N29" s="1"/>
      <c r="O29" s="1">
        <v>0.80589999999999995</v>
      </c>
      <c r="P29" s="1">
        <f t="shared" si="3"/>
        <v>0.70890158730158714</v>
      </c>
      <c r="Q29" s="1">
        <f t="shared" si="30"/>
        <v>-0.34403856701859775</v>
      </c>
      <c r="R29" s="1"/>
      <c r="S29" s="1">
        <v>0.82279999999999998</v>
      </c>
      <c r="T29" s="1">
        <f t="shared" si="4"/>
        <v>0.72580158730158717</v>
      </c>
      <c r="U29" s="1">
        <f t="shared" si="31"/>
        <v>-0.32047859723726535</v>
      </c>
      <c r="V29" s="1"/>
      <c r="W29" s="1">
        <v>0.82879999999999998</v>
      </c>
      <c r="X29" s="1">
        <f t="shared" si="5"/>
        <v>0.73180158730158718</v>
      </c>
      <c r="Y29" s="1">
        <f t="shared" si="32"/>
        <v>-0.31224585736195859</v>
      </c>
      <c r="Z29" s="1"/>
      <c r="AA29" s="1">
        <v>0.8538</v>
      </c>
      <c r="AB29" s="1">
        <f t="shared" si="6"/>
        <v>0.7568015873015872</v>
      </c>
      <c r="AC29" s="1">
        <f t="shared" si="33"/>
        <v>-0.27865416386084985</v>
      </c>
      <c r="AD29" s="1"/>
      <c r="AE29" s="1">
        <v>0.87329999999999997</v>
      </c>
      <c r="AF29" s="1">
        <f t="shared" si="7"/>
        <v>0.77630158730158716</v>
      </c>
      <c r="AG29" s="1">
        <f t="shared" si="34"/>
        <v>-0.25321419087133407</v>
      </c>
      <c r="AH29" s="1"/>
      <c r="AI29" s="1">
        <v>0.872</v>
      </c>
      <c r="AJ29" s="1">
        <f t="shared" si="8"/>
        <v>0.77500158730158719</v>
      </c>
      <c r="AK29" s="1">
        <f t="shared" si="35"/>
        <v>-0.25489020149980723</v>
      </c>
      <c r="AL29" s="1"/>
      <c r="AM29" s="1">
        <v>0.79420000000000002</v>
      </c>
      <c r="AN29" s="1">
        <f t="shared" si="9"/>
        <v>0.69720158730158721</v>
      </c>
      <c r="AO29" s="1">
        <f t="shared" si="36"/>
        <v>-0.36068068865844516</v>
      </c>
      <c r="AP29" s="1"/>
      <c r="AQ29" s="1">
        <v>0.80020000000000002</v>
      </c>
      <c r="AR29" s="1">
        <f t="shared" si="10"/>
        <v>0.70320158730158722</v>
      </c>
      <c r="AS29" s="1">
        <f t="shared" si="37"/>
        <v>-0.35211167535890053</v>
      </c>
      <c r="AT29" s="1"/>
      <c r="AU29" s="1">
        <v>0.80330000000000001</v>
      </c>
      <c r="AV29" s="1">
        <f t="shared" si="11"/>
        <v>0.70630158730158721</v>
      </c>
      <c r="AW29" s="1">
        <f t="shared" si="38"/>
        <v>-0.34771295522221785</v>
      </c>
      <c r="AX29" s="1"/>
      <c r="AY29" s="1">
        <v>0.83130000000000004</v>
      </c>
      <c r="AZ29" s="1">
        <f t="shared" si="12"/>
        <v>0.73430158730158723</v>
      </c>
      <c r="BA29" s="1">
        <f t="shared" si="39"/>
        <v>-0.3088354528741955</v>
      </c>
      <c r="BB29" s="1"/>
      <c r="BC29" s="1">
        <v>0.84550000000000003</v>
      </c>
      <c r="BD29" s="1">
        <f t="shared" si="13"/>
        <v>0.74850158730158722</v>
      </c>
      <c r="BE29" s="1">
        <f t="shared" si="40"/>
        <v>-0.28968195448129946</v>
      </c>
      <c r="BF29" s="1"/>
      <c r="BG29" s="1">
        <v>0.86360000000000003</v>
      </c>
      <c r="BH29" s="1">
        <f t="shared" si="14"/>
        <v>0.76660158730158723</v>
      </c>
      <c r="BI29" s="1">
        <f t="shared" si="41"/>
        <v>-0.14664558034148473</v>
      </c>
      <c r="BJ29" s="1"/>
      <c r="BK29" s="1">
        <v>0.873</v>
      </c>
      <c r="BL29" s="1">
        <f t="shared" si="15"/>
        <v>0.77600158730158719</v>
      </c>
      <c r="BM29" s="1">
        <f t="shared" si="42"/>
        <v>-0.25360071330927425</v>
      </c>
      <c r="BN29" s="1"/>
      <c r="BO29" s="1">
        <v>0.87480000000000002</v>
      </c>
      <c r="BP29" s="1">
        <f t="shared" si="16"/>
        <v>0.77780158730158722</v>
      </c>
      <c r="BQ29" s="1">
        <f t="shared" si="43"/>
        <v>-0.25128381650455345</v>
      </c>
      <c r="BR29" s="1"/>
      <c r="BS29" s="1">
        <v>0.90529999999999999</v>
      </c>
      <c r="BT29" s="1">
        <f t="shared" si="17"/>
        <v>0.80830158730158719</v>
      </c>
      <c r="BU29" s="1">
        <f t="shared" si="44"/>
        <v>-0.21282003849122039</v>
      </c>
      <c r="BV29" s="1"/>
      <c r="BW29" s="1">
        <v>0.877</v>
      </c>
      <c r="BX29" s="1">
        <f t="shared" si="18"/>
        <v>0.7800015873015872</v>
      </c>
      <c r="BY29" s="1">
        <f t="shared" si="45"/>
        <v>-0.24845932429853537</v>
      </c>
      <c r="BZ29" s="1"/>
      <c r="CA29" s="1">
        <v>0.83130000000000004</v>
      </c>
      <c r="CB29" s="1">
        <f t="shared" si="19"/>
        <v>0.73430158730158723</v>
      </c>
      <c r="CC29" s="1">
        <f t="shared" si="46"/>
        <v>-0.3088354528741955</v>
      </c>
      <c r="CD29" s="1"/>
      <c r="CE29" s="1">
        <v>0.82379999999999998</v>
      </c>
      <c r="CF29" s="1">
        <f t="shared" si="20"/>
        <v>0.72680158730158717</v>
      </c>
      <c r="CG29" s="1">
        <f t="shared" si="47"/>
        <v>-0.3191017585032499</v>
      </c>
      <c r="CH29" s="1"/>
      <c r="CI29" s="1">
        <v>0.86070000000000002</v>
      </c>
      <c r="CJ29" s="1">
        <f t="shared" si="21"/>
        <v>0.76370158730158721</v>
      </c>
      <c r="CK29" s="1">
        <f t="shared" si="48"/>
        <v>-0.26957815865394019</v>
      </c>
      <c r="CL29" s="1"/>
      <c r="CM29" s="1">
        <v>0.85950000000000004</v>
      </c>
      <c r="CN29" s="1">
        <f t="shared" si="22"/>
        <v>0.76250158730158724</v>
      </c>
      <c r="CO29" s="1">
        <f t="shared" si="49"/>
        <v>-0.27115068879573745</v>
      </c>
      <c r="CP29" s="1"/>
      <c r="CQ29" s="1">
        <v>0.88229999999999997</v>
      </c>
      <c r="CR29" s="1">
        <f t="shared" si="23"/>
        <v>0.78530158730158717</v>
      </c>
      <c r="CS29" s="1">
        <f t="shared" si="50"/>
        <v>-0.24168744733557146</v>
      </c>
      <c r="CT29" s="1"/>
      <c r="CU29" s="1">
        <v>0.89649999999999996</v>
      </c>
      <c r="CV29" s="1">
        <f t="shared" si="24"/>
        <v>0.79950158730158716</v>
      </c>
      <c r="CW29" s="1">
        <f t="shared" si="51"/>
        <v>-0.22376676134226012</v>
      </c>
      <c r="CX29" s="1"/>
      <c r="CY29" s="1">
        <v>0.90210000000000001</v>
      </c>
      <c r="CZ29" s="1">
        <f t="shared" si="25"/>
        <v>0.80510158730158721</v>
      </c>
      <c r="DA29" s="1">
        <f t="shared" si="52"/>
        <v>-0.21678681411984566</v>
      </c>
      <c r="DB29" s="1"/>
      <c r="DC29" s="1">
        <v>0.91200000000000003</v>
      </c>
      <c r="DD29" s="1">
        <f t="shared" si="26"/>
        <v>0.81500158730158723</v>
      </c>
      <c r="DE29">
        <f t="shared" si="53"/>
        <v>-0.20456521813386144</v>
      </c>
    </row>
    <row r="30" spans="2:109" x14ac:dyDescent="0.2">
      <c r="B30">
        <v>6.4417997222222221</v>
      </c>
      <c r="C30" s="1">
        <v>0.72970000000000002</v>
      </c>
      <c r="D30" s="1">
        <f t="shared" si="0"/>
        <v>0.63270158730158721</v>
      </c>
      <c r="E30" s="1">
        <f t="shared" si="27"/>
        <v>-0.45775639405800694</v>
      </c>
      <c r="F30" s="1"/>
      <c r="G30" s="1">
        <v>0.78049999999999997</v>
      </c>
      <c r="H30" s="1">
        <f t="shared" si="1"/>
        <v>0.68350158730158717</v>
      </c>
      <c r="I30" s="1">
        <f t="shared" si="28"/>
        <v>-0.38052630050687597</v>
      </c>
      <c r="J30" s="1"/>
      <c r="K30" s="1">
        <v>0.7873</v>
      </c>
      <c r="L30" s="1">
        <f t="shared" si="2"/>
        <v>0.69030158730158719</v>
      </c>
      <c r="M30" s="1">
        <f t="shared" si="29"/>
        <v>-0.37062669383802332</v>
      </c>
      <c r="N30" s="1"/>
      <c r="O30" s="1">
        <v>0.8085</v>
      </c>
      <c r="P30" s="1">
        <f t="shared" si="3"/>
        <v>0.71150158730158719</v>
      </c>
      <c r="Q30" s="1">
        <f t="shared" si="30"/>
        <v>-0.3403776305318974</v>
      </c>
      <c r="R30" s="1"/>
      <c r="S30" s="1">
        <v>0.8276</v>
      </c>
      <c r="T30" s="1">
        <f t="shared" si="4"/>
        <v>0.7306015873015872</v>
      </c>
      <c r="U30" s="1">
        <f t="shared" si="31"/>
        <v>-0.3138869920232778</v>
      </c>
      <c r="V30" s="1"/>
      <c r="W30" s="1">
        <v>0.83289999999999997</v>
      </c>
      <c r="X30" s="1">
        <f t="shared" si="5"/>
        <v>0.73590158730158717</v>
      </c>
      <c r="Y30" s="1">
        <f t="shared" si="32"/>
        <v>-0.30665888209908054</v>
      </c>
      <c r="Z30" s="1"/>
      <c r="AA30" s="1">
        <v>0.85860000000000003</v>
      </c>
      <c r="AB30" s="1">
        <f t="shared" si="6"/>
        <v>0.76160158730158722</v>
      </c>
      <c r="AC30" s="1">
        <f t="shared" si="33"/>
        <v>-0.27233171134015333</v>
      </c>
      <c r="AD30" s="1"/>
      <c r="AE30" s="1">
        <v>0.87250000000000005</v>
      </c>
      <c r="AF30" s="1">
        <f t="shared" si="7"/>
        <v>0.77550158730158725</v>
      </c>
      <c r="AG30" s="1">
        <f t="shared" si="34"/>
        <v>-0.25424524955708089</v>
      </c>
      <c r="AH30" s="1"/>
      <c r="AI30" s="1">
        <v>0.86929999999999996</v>
      </c>
      <c r="AJ30" s="1">
        <f t="shared" si="8"/>
        <v>0.77230158730158716</v>
      </c>
      <c r="AK30" s="1">
        <f t="shared" si="35"/>
        <v>-0.25838014811758053</v>
      </c>
      <c r="AL30" s="1"/>
      <c r="AM30" s="1">
        <v>0.79400000000000004</v>
      </c>
      <c r="AN30" s="1">
        <f t="shared" si="9"/>
        <v>0.69700158730158723</v>
      </c>
      <c r="AO30" s="1">
        <f t="shared" si="36"/>
        <v>-0.36096759089050867</v>
      </c>
      <c r="AP30" s="1"/>
      <c r="AQ30" s="1">
        <v>0.79590000000000005</v>
      </c>
      <c r="AR30" s="1">
        <f t="shared" si="10"/>
        <v>0.69890158730158725</v>
      </c>
      <c r="AS30" s="1">
        <f t="shared" si="37"/>
        <v>-0.35824533735899827</v>
      </c>
      <c r="AT30" s="1"/>
      <c r="AU30" s="1">
        <v>0.80379999999999996</v>
      </c>
      <c r="AV30" s="1">
        <f t="shared" si="11"/>
        <v>0.70680158730158715</v>
      </c>
      <c r="AW30" s="1">
        <f t="shared" si="38"/>
        <v>-0.34700529278135406</v>
      </c>
      <c r="AX30" s="1"/>
      <c r="AY30" s="1">
        <v>0.83379999999999999</v>
      </c>
      <c r="AZ30" s="1">
        <f t="shared" si="12"/>
        <v>0.73680158730158718</v>
      </c>
      <c r="BA30" s="1">
        <f t="shared" si="39"/>
        <v>-0.30543663972524543</v>
      </c>
      <c r="BB30" s="1"/>
      <c r="BC30" s="1">
        <v>0.84399999999999997</v>
      </c>
      <c r="BD30" s="1">
        <f t="shared" si="13"/>
        <v>0.74700158730158717</v>
      </c>
      <c r="BE30" s="1">
        <f t="shared" si="40"/>
        <v>-0.29168796894985421</v>
      </c>
      <c r="BF30" s="1"/>
      <c r="BG30" s="1">
        <v>0.86019999999999996</v>
      </c>
      <c r="BH30" s="1">
        <f t="shared" si="14"/>
        <v>0.76320158730158716</v>
      </c>
      <c r="BI30" s="1">
        <f t="shared" si="41"/>
        <v>-0.15059035863250114</v>
      </c>
      <c r="BJ30" s="1"/>
      <c r="BK30" s="1">
        <v>0.86929999999999996</v>
      </c>
      <c r="BL30" s="1">
        <f t="shared" si="15"/>
        <v>0.77230158730158716</v>
      </c>
      <c r="BM30" s="1">
        <f t="shared" si="42"/>
        <v>-0.25838014811758053</v>
      </c>
      <c r="BN30" s="1"/>
      <c r="BO30" s="1">
        <v>0.87309999999999999</v>
      </c>
      <c r="BP30" s="1">
        <f t="shared" si="16"/>
        <v>0.77610158730158718</v>
      </c>
      <c r="BQ30" s="1">
        <f t="shared" si="43"/>
        <v>-0.25347185589595966</v>
      </c>
      <c r="BR30" s="1"/>
      <c r="BS30" s="1">
        <v>0.90690000000000004</v>
      </c>
      <c r="BT30" s="1">
        <f t="shared" si="17"/>
        <v>0.80990158730158723</v>
      </c>
      <c r="BU30" s="1">
        <f t="shared" si="44"/>
        <v>-0.21084253585556453</v>
      </c>
      <c r="BV30" s="1"/>
      <c r="BW30" s="1">
        <v>0.88749999999999996</v>
      </c>
      <c r="BX30" s="1">
        <f t="shared" si="18"/>
        <v>0.79050158730158715</v>
      </c>
      <c r="BY30" s="1">
        <f t="shared" si="45"/>
        <v>-0.23508761436297906</v>
      </c>
      <c r="BZ30" s="1"/>
      <c r="CA30" s="1">
        <v>0.83120000000000005</v>
      </c>
      <c r="CB30" s="1">
        <f t="shared" si="19"/>
        <v>0.73420158730158724</v>
      </c>
      <c r="CC30" s="1">
        <f t="shared" si="46"/>
        <v>-0.30897164597460414</v>
      </c>
      <c r="CD30" s="1"/>
      <c r="CE30" s="1">
        <v>0.83840000000000003</v>
      </c>
      <c r="CF30" s="1">
        <f t="shared" si="20"/>
        <v>0.74140158730158723</v>
      </c>
      <c r="CG30" s="1">
        <f t="shared" si="47"/>
        <v>-0.29921284731610126</v>
      </c>
      <c r="CH30" s="1"/>
      <c r="CI30" s="1">
        <v>0.86460000000000004</v>
      </c>
      <c r="CJ30" s="1">
        <f t="shared" si="21"/>
        <v>0.76760158730158723</v>
      </c>
      <c r="CK30" s="1">
        <f t="shared" si="48"/>
        <v>-0.2644844469747698</v>
      </c>
      <c r="CL30" s="1"/>
      <c r="CM30" s="1">
        <v>0.8679</v>
      </c>
      <c r="CN30" s="1">
        <f t="shared" si="22"/>
        <v>0.7709015873015872</v>
      </c>
      <c r="CO30" s="1">
        <f t="shared" si="49"/>
        <v>-0.26019455649505902</v>
      </c>
      <c r="CP30" s="1"/>
      <c r="CQ30" s="1">
        <v>0.88770000000000004</v>
      </c>
      <c r="CR30" s="1">
        <f t="shared" si="23"/>
        <v>0.79070158730158724</v>
      </c>
      <c r="CS30" s="1">
        <f t="shared" si="50"/>
        <v>-0.23483464244352051</v>
      </c>
      <c r="CT30" s="1"/>
      <c r="CU30" s="1">
        <v>0.9032</v>
      </c>
      <c r="CV30" s="1">
        <f t="shared" si="24"/>
        <v>0.8062015873015872</v>
      </c>
      <c r="CW30" s="1">
        <f t="shared" si="51"/>
        <v>-0.21542145943275484</v>
      </c>
      <c r="CX30" s="1"/>
      <c r="CY30" s="1">
        <v>0.90369999999999995</v>
      </c>
      <c r="CZ30" s="1">
        <f t="shared" si="25"/>
        <v>0.80670158730158714</v>
      </c>
      <c r="DA30" s="1">
        <f t="shared" si="52"/>
        <v>-0.21480145939321169</v>
      </c>
      <c r="DB30" s="1"/>
      <c r="DC30" s="1">
        <v>0.91049999999999998</v>
      </c>
      <c r="DD30" s="1">
        <f t="shared" si="26"/>
        <v>0.81350158730158717</v>
      </c>
      <c r="DE30">
        <f t="shared" si="53"/>
        <v>-0.20640740112447223</v>
      </c>
    </row>
    <row r="31" spans="2:109" x14ac:dyDescent="0.2">
      <c r="B31">
        <v>6.6803183333333331</v>
      </c>
      <c r="C31" s="1">
        <v>0.72670000000000001</v>
      </c>
      <c r="D31" s="1">
        <f t="shared" si="0"/>
        <v>0.62970158730158721</v>
      </c>
      <c r="E31" s="1">
        <f t="shared" si="27"/>
        <v>-0.46250924276394217</v>
      </c>
      <c r="F31" s="1"/>
      <c r="G31" s="1">
        <v>0.77010000000000001</v>
      </c>
      <c r="H31" s="1">
        <f t="shared" si="1"/>
        <v>0.6731015873015872</v>
      </c>
      <c r="I31" s="1">
        <f t="shared" si="28"/>
        <v>-0.39585901377245875</v>
      </c>
      <c r="J31" s="1"/>
      <c r="K31" s="1">
        <v>0.78859999999999997</v>
      </c>
      <c r="L31" s="1">
        <f t="shared" si="2"/>
        <v>0.69160158730158716</v>
      </c>
      <c r="M31" s="1">
        <f t="shared" si="29"/>
        <v>-0.36874523006055854</v>
      </c>
      <c r="N31" s="1"/>
      <c r="O31" s="1">
        <v>0.81159999999999999</v>
      </c>
      <c r="P31" s="1">
        <f t="shared" si="3"/>
        <v>0.71460158730158718</v>
      </c>
      <c r="Q31" s="1">
        <f t="shared" si="30"/>
        <v>-0.33603011215042028</v>
      </c>
      <c r="R31" s="1"/>
      <c r="S31" s="1">
        <v>0.82430000000000003</v>
      </c>
      <c r="T31" s="1">
        <f t="shared" si="4"/>
        <v>0.72730158730158723</v>
      </c>
      <c r="U31" s="1">
        <f t="shared" si="31"/>
        <v>-0.31841404936618334</v>
      </c>
      <c r="V31" s="1"/>
      <c r="W31" s="1">
        <v>0.83130000000000004</v>
      </c>
      <c r="X31" s="1">
        <f t="shared" si="5"/>
        <v>0.73430158730158723</v>
      </c>
      <c r="Y31" s="1">
        <f t="shared" si="32"/>
        <v>-0.3088354528741955</v>
      </c>
      <c r="Z31" s="1"/>
      <c r="AA31" s="1">
        <v>0.85209999999999997</v>
      </c>
      <c r="AB31" s="1">
        <f t="shared" si="6"/>
        <v>0.75510158730158716</v>
      </c>
      <c r="AC31" s="1">
        <f t="shared" si="33"/>
        <v>-0.28090298606718334</v>
      </c>
      <c r="AD31" s="1"/>
      <c r="AE31" s="1">
        <v>0.87239999999999995</v>
      </c>
      <c r="AF31" s="1">
        <f t="shared" si="7"/>
        <v>0.77540158730158715</v>
      </c>
      <c r="AG31" s="1">
        <f t="shared" si="34"/>
        <v>-0.25437420667287797</v>
      </c>
      <c r="AH31" s="1"/>
      <c r="AI31" s="1">
        <v>0.86799999999999999</v>
      </c>
      <c r="AJ31" s="1">
        <f t="shared" si="8"/>
        <v>0.77100158730158719</v>
      </c>
      <c r="AK31" s="1">
        <f t="shared" si="35"/>
        <v>-0.26006484666400437</v>
      </c>
      <c r="AL31" s="1"/>
      <c r="AM31" s="1">
        <v>0.8075</v>
      </c>
      <c r="AN31" s="1">
        <f t="shared" si="9"/>
        <v>0.71050158730158719</v>
      </c>
      <c r="AO31" s="1">
        <f t="shared" si="36"/>
        <v>-0.3417840973847226</v>
      </c>
      <c r="AP31" s="1"/>
      <c r="AQ31" s="1">
        <v>0.80930000000000002</v>
      </c>
      <c r="AR31" s="1">
        <f t="shared" si="10"/>
        <v>0.71230158730158721</v>
      </c>
      <c r="AS31" s="1">
        <f t="shared" si="37"/>
        <v>-0.33925387958308989</v>
      </c>
      <c r="AT31" s="1"/>
      <c r="AU31" s="1">
        <v>0.81379999999999997</v>
      </c>
      <c r="AV31" s="1">
        <f t="shared" si="11"/>
        <v>0.71680158730158716</v>
      </c>
      <c r="AW31" s="1">
        <f t="shared" si="38"/>
        <v>-0.33295620289643074</v>
      </c>
      <c r="AX31" s="1"/>
      <c r="AY31" s="1">
        <v>0.84209999999999996</v>
      </c>
      <c r="AZ31" s="1">
        <f t="shared" si="12"/>
        <v>0.74510158730158715</v>
      </c>
      <c r="BA31" s="1">
        <f t="shared" si="39"/>
        <v>-0.29423471110451616</v>
      </c>
      <c r="BB31" s="1"/>
      <c r="BC31" s="1">
        <v>0.85050000000000003</v>
      </c>
      <c r="BD31" s="1">
        <f t="shared" si="13"/>
        <v>0.75350158730158723</v>
      </c>
      <c r="BE31" s="1">
        <f t="shared" si="40"/>
        <v>-0.28302415434635619</v>
      </c>
      <c r="BF31" s="1"/>
      <c r="BG31" s="1">
        <v>0.86519999999999997</v>
      </c>
      <c r="BH31" s="1">
        <f t="shared" si="14"/>
        <v>0.76820158730158716</v>
      </c>
      <c r="BI31" s="1">
        <f t="shared" si="41"/>
        <v>-0.14479458490323338</v>
      </c>
      <c r="BJ31" s="1"/>
      <c r="BK31" s="1">
        <v>0.87860000000000005</v>
      </c>
      <c r="BL31" s="1">
        <f t="shared" si="15"/>
        <v>0.78160158730158724</v>
      </c>
      <c r="BM31" s="1">
        <f t="shared" si="42"/>
        <v>-0.24641014741940917</v>
      </c>
      <c r="BN31" s="1"/>
      <c r="BO31" s="1">
        <v>0.878</v>
      </c>
      <c r="BP31" s="1">
        <f t="shared" si="16"/>
        <v>0.7810015873015872</v>
      </c>
      <c r="BQ31" s="1">
        <f t="shared" si="43"/>
        <v>-0.24717809674811794</v>
      </c>
      <c r="BR31" s="1"/>
      <c r="BS31" s="1">
        <v>0.90429999999999999</v>
      </c>
      <c r="BT31" s="1">
        <f t="shared" si="17"/>
        <v>0.80730158730158719</v>
      </c>
      <c r="BU31" s="1">
        <f t="shared" si="44"/>
        <v>-0.21405796639755925</v>
      </c>
      <c r="BV31" s="1"/>
      <c r="BW31" s="1">
        <v>0.86960000000000004</v>
      </c>
      <c r="BX31" s="1">
        <f t="shared" si="18"/>
        <v>0.77260158730158723</v>
      </c>
      <c r="BY31" s="1">
        <f t="shared" si="45"/>
        <v>-0.25799177425868419</v>
      </c>
      <c r="BZ31" s="1"/>
      <c r="CA31" s="1">
        <v>0.84419999999999995</v>
      </c>
      <c r="CB31" s="1">
        <f t="shared" si="19"/>
        <v>0.74720158730158714</v>
      </c>
      <c r="CC31" s="1">
        <f t="shared" si="46"/>
        <v>-0.29142026773680135</v>
      </c>
      <c r="CD31" s="1"/>
      <c r="CE31" s="1">
        <v>0.83150000000000002</v>
      </c>
      <c r="CF31" s="1">
        <f t="shared" si="20"/>
        <v>0.73450158730158721</v>
      </c>
      <c r="CG31" s="1">
        <f t="shared" si="47"/>
        <v>-0.30856312230643229</v>
      </c>
      <c r="CH31" s="1"/>
      <c r="CI31" s="1">
        <v>0.86350000000000005</v>
      </c>
      <c r="CJ31" s="1">
        <f t="shared" si="21"/>
        <v>0.76650158730158724</v>
      </c>
      <c r="CK31" s="1">
        <f t="shared" si="48"/>
        <v>-0.2659185098288544</v>
      </c>
      <c r="CL31" s="1"/>
      <c r="CM31" s="1">
        <v>0.86250000000000004</v>
      </c>
      <c r="CN31" s="1">
        <f t="shared" si="22"/>
        <v>0.76550158730158724</v>
      </c>
      <c r="CO31" s="1">
        <f t="shared" si="49"/>
        <v>-0.26722399033777344</v>
      </c>
      <c r="CP31" s="1"/>
      <c r="CQ31" s="1">
        <v>0.88319999999999999</v>
      </c>
      <c r="CR31" s="1">
        <f t="shared" si="23"/>
        <v>0.78620158730158718</v>
      </c>
      <c r="CS31" s="1">
        <f t="shared" si="50"/>
        <v>-0.24054204704247575</v>
      </c>
      <c r="CT31" s="1"/>
      <c r="CU31" s="1">
        <v>0.89680000000000004</v>
      </c>
      <c r="CV31" s="1">
        <f t="shared" si="24"/>
        <v>0.79980158730158724</v>
      </c>
      <c r="CW31" s="1">
        <f t="shared" si="51"/>
        <v>-0.22339159794824859</v>
      </c>
      <c r="CX31" s="1"/>
      <c r="CY31" s="1">
        <v>0.90339999999999998</v>
      </c>
      <c r="CZ31" s="1">
        <f t="shared" si="25"/>
        <v>0.80640158730158717</v>
      </c>
      <c r="DA31" s="1">
        <f t="shared" si="52"/>
        <v>-0.21517341328702572</v>
      </c>
      <c r="DB31" s="1"/>
      <c r="DC31" s="1">
        <v>0.91369999999999996</v>
      </c>
      <c r="DD31" s="1">
        <f t="shared" si="26"/>
        <v>0.81670158730158715</v>
      </c>
      <c r="DE31">
        <f t="shared" si="53"/>
        <v>-0.20248150506452803</v>
      </c>
    </row>
    <row r="32" spans="2:109" x14ac:dyDescent="0.2">
      <c r="B32">
        <v>6.918911944444444</v>
      </c>
      <c r="C32" s="1">
        <v>0.7288</v>
      </c>
      <c r="D32" s="1">
        <f t="shared" si="0"/>
        <v>0.6318015873015872</v>
      </c>
      <c r="E32" s="1">
        <f t="shared" si="27"/>
        <v>-0.45917987826911699</v>
      </c>
      <c r="F32" s="1"/>
      <c r="G32" s="1">
        <v>0.76870000000000005</v>
      </c>
      <c r="H32" s="1">
        <f t="shared" si="1"/>
        <v>0.67170158730158724</v>
      </c>
      <c r="I32" s="1">
        <f t="shared" si="28"/>
        <v>-0.39794110360121676</v>
      </c>
      <c r="J32" s="1"/>
      <c r="K32" s="1">
        <v>0.78349999999999997</v>
      </c>
      <c r="L32" s="1">
        <f t="shared" si="2"/>
        <v>0.68650158730158717</v>
      </c>
      <c r="M32" s="1">
        <f t="shared" si="29"/>
        <v>-0.376146741611326</v>
      </c>
      <c r="N32" s="1"/>
      <c r="O32" s="1">
        <v>0.80769999999999997</v>
      </c>
      <c r="P32" s="1">
        <f t="shared" si="3"/>
        <v>0.71070158730158717</v>
      </c>
      <c r="Q32" s="1">
        <f t="shared" si="30"/>
        <v>-0.34150264571772065</v>
      </c>
      <c r="R32" s="1"/>
      <c r="S32" s="1">
        <v>0.8246</v>
      </c>
      <c r="T32" s="1">
        <f t="shared" si="4"/>
        <v>0.72760158730158719</v>
      </c>
      <c r="U32" s="1">
        <f t="shared" si="31"/>
        <v>-0.31800165078256815</v>
      </c>
      <c r="V32" s="1"/>
      <c r="W32" s="1">
        <v>0.83279999999999998</v>
      </c>
      <c r="X32" s="1">
        <f t="shared" si="5"/>
        <v>0.73580158730158718</v>
      </c>
      <c r="Y32" s="1">
        <f t="shared" si="32"/>
        <v>-0.3067947790678166</v>
      </c>
      <c r="Z32" s="1"/>
      <c r="AA32" s="1">
        <v>0.85570000000000002</v>
      </c>
      <c r="AB32" s="1">
        <f t="shared" si="6"/>
        <v>0.75870158730158721</v>
      </c>
      <c r="AC32" s="1">
        <f t="shared" si="33"/>
        <v>-0.27614674450692722</v>
      </c>
      <c r="AD32" s="1"/>
      <c r="AE32" s="1">
        <v>0.87829999999999997</v>
      </c>
      <c r="AF32" s="1">
        <f t="shared" si="7"/>
        <v>0.78130158730158716</v>
      </c>
      <c r="AG32" s="1">
        <f t="shared" si="34"/>
        <v>-0.24679404836549401</v>
      </c>
      <c r="AH32" s="1"/>
      <c r="AI32" s="1">
        <v>0.87360000000000004</v>
      </c>
      <c r="AJ32" s="1">
        <f t="shared" si="8"/>
        <v>0.77660158730158724</v>
      </c>
      <c r="AK32" s="1">
        <f t="shared" si="35"/>
        <v>-0.25282781777526664</v>
      </c>
      <c r="AL32" s="1"/>
      <c r="AM32" s="1">
        <v>0.80700000000000005</v>
      </c>
      <c r="AN32" s="1">
        <f t="shared" si="9"/>
        <v>0.71000158730158724</v>
      </c>
      <c r="AO32" s="1">
        <f t="shared" si="36"/>
        <v>-0.34248807331323661</v>
      </c>
      <c r="AP32" s="1"/>
      <c r="AQ32" s="1">
        <v>0.80879999999999996</v>
      </c>
      <c r="AR32" s="1">
        <f t="shared" si="10"/>
        <v>0.71180158730158716</v>
      </c>
      <c r="AS32" s="1">
        <f t="shared" si="37"/>
        <v>-0.33995607592596983</v>
      </c>
      <c r="AT32" s="1"/>
      <c r="AU32" s="1">
        <v>0.81020000000000003</v>
      </c>
      <c r="AV32" s="1">
        <f t="shared" si="11"/>
        <v>0.71320158730158723</v>
      </c>
      <c r="AW32" s="1">
        <f t="shared" si="38"/>
        <v>-0.33799116739048646</v>
      </c>
      <c r="AX32" s="1"/>
      <c r="AY32" s="1">
        <v>0.83430000000000004</v>
      </c>
      <c r="AZ32" s="1">
        <f t="shared" si="12"/>
        <v>0.73730158730158724</v>
      </c>
      <c r="BA32" s="1">
        <f t="shared" si="39"/>
        <v>-0.30475826113168525</v>
      </c>
      <c r="BB32" s="1"/>
      <c r="BC32" s="1">
        <v>0.84770000000000001</v>
      </c>
      <c r="BD32" s="1">
        <f t="shared" si="13"/>
        <v>0.7507015873015872</v>
      </c>
      <c r="BE32" s="1">
        <f t="shared" si="40"/>
        <v>-0.28674705997676625</v>
      </c>
      <c r="BF32" s="1"/>
      <c r="BG32" s="1">
        <v>0.86240000000000006</v>
      </c>
      <c r="BH32" s="1">
        <f t="shared" si="14"/>
        <v>0.76540158730158725</v>
      </c>
      <c r="BI32" s="1">
        <f t="shared" si="41"/>
        <v>-0.14803607882740427</v>
      </c>
      <c r="BJ32" s="1"/>
      <c r="BK32" s="1">
        <v>0.87460000000000004</v>
      </c>
      <c r="BL32" s="1">
        <f t="shared" si="15"/>
        <v>0.77760158730158724</v>
      </c>
      <c r="BM32" s="1">
        <f t="shared" si="42"/>
        <v>-0.25154098455508572</v>
      </c>
      <c r="BN32" s="1"/>
      <c r="BO32" s="1">
        <v>0.88100000000000001</v>
      </c>
      <c r="BP32" s="1">
        <f t="shared" si="16"/>
        <v>0.7840015873015872</v>
      </c>
      <c r="BQ32" s="1">
        <f t="shared" si="43"/>
        <v>-0.24334423401440733</v>
      </c>
      <c r="BR32" s="1"/>
      <c r="BS32" s="1">
        <v>0.91369999999999996</v>
      </c>
      <c r="BT32" s="1">
        <f t="shared" si="17"/>
        <v>0.81670158730158715</v>
      </c>
      <c r="BU32" s="1">
        <f t="shared" si="44"/>
        <v>-0.20248150506452803</v>
      </c>
      <c r="BV32" s="1"/>
      <c r="BW32" s="1">
        <v>0.878</v>
      </c>
      <c r="BX32" s="1">
        <f t="shared" si="18"/>
        <v>0.7810015873015872</v>
      </c>
      <c r="BY32" s="1">
        <f t="shared" si="45"/>
        <v>-0.24717809674811794</v>
      </c>
      <c r="BZ32" s="1"/>
      <c r="CA32" s="1">
        <v>0.83960000000000001</v>
      </c>
      <c r="CB32" s="1">
        <f t="shared" si="19"/>
        <v>0.74260158730158721</v>
      </c>
      <c r="CC32" s="1">
        <f t="shared" si="46"/>
        <v>-0.29759559974940408</v>
      </c>
      <c r="CD32" s="1"/>
      <c r="CE32" s="1">
        <v>0.83350000000000002</v>
      </c>
      <c r="CF32" s="1">
        <f t="shared" si="20"/>
        <v>0.73650158730158721</v>
      </c>
      <c r="CG32" s="1">
        <f t="shared" si="47"/>
        <v>-0.30584388788613676</v>
      </c>
      <c r="CH32" s="1"/>
      <c r="CI32" s="1">
        <v>0.86629999999999996</v>
      </c>
      <c r="CJ32" s="1">
        <f t="shared" si="21"/>
        <v>0.76930158730158715</v>
      </c>
      <c r="CK32" s="1">
        <f t="shared" si="48"/>
        <v>-0.26227220521301098</v>
      </c>
      <c r="CL32" s="1"/>
      <c r="CM32" s="1">
        <v>0.86780000000000002</v>
      </c>
      <c r="CN32" s="1">
        <f t="shared" si="22"/>
        <v>0.77080158730158721</v>
      </c>
      <c r="CO32" s="1">
        <f t="shared" si="49"/>
        <v>-0.26032428315293654</v>
      </c>
      <c r="CP32" s="1"/>
      <c r="CQ32" s="1">
        <v>0.89049999999999996</v>
      </c>
      <c r="CR32" s="1">
        <f t="shared" si="23"/>
        <v>0.79350158730158715</v>
      </c>
      <c r="CS32" s="1">
        <f t="shared" si="50"/>
        <v>-0.23129973863760203</v>
      </c>
      <c r="CT32" s="1"/>
      <c r="CU32" s="1">
        <v>0.90180000000000005</v>
      </c>
      <c r="CV32" s="1">
        <f t="shared" si="24"/>
        <v>0.80480158730158724</v>
      </c>
      <c r="CW32" s="1">
        <f t="shared" si="51"/>
        <v>-0.21715950734538256</v>
      </c>
      <c r="CX32" s="1"/>
      <c r="CY32" s="1">
        <v>0.90839999999999999</v>
      </c>
      <c r="CZ32" s="1">
        <f t="shared" si="25"/>
        <v>0.81140158730158718</v>
      </c>
      <c r="DA32" s="1">
        <f t="shared" si="52"/>
        <v>-0.20899217196128811</v>
      </c>
      <c r="DB32" s="1"/>
      <c r="DC32" s="1">
        <v>0.91339999999999999</v>
      </c>
      <c r="DD32" s="1">
        <f t="shared" si="26"/>
        <v>0.81640158730158718</v>
      </c>
      <c r="DE32">
        <f t="shared" si="53"/>
        <v>-0.20284890377887738</v>
      </c>
    </row>
    <row r="33" spans="2:109" x14ac:dyDescent="0.2">
      <c r="B33">
        <v>7.1575119444444448</v>
      </c>
      <c r="C33" s="1">
        <v>0.72889999999999999</v>
      </c>
      <c r="D33" s="1">
        <f t="shared" si="0"/>
        <v>0.63190158730158719</v>
      </c>
      <c r="E33" s="1">
        <f t="shared" si="27"/>
        <v>-0.45902161325527757</v>
      </c>
      <c r="F33" s="1"/>
      <c r="G33" s="1">
        <v>0.77580000000000005</v>
      </c>
      <c r="H33" s="1">
        <f t="shared" si="1"/>
        <v>0.67880158730158724</v>
      </c>
      <c r="I33" s="1">
        <f t="shared" si="28"/>
        <v>-0.38742640723118282</v>
      </c>
      <c r="J33" s="1"/>
      <c r="K33" s="1">
        <v>0.78569999999999995</v>
      </c>
      <c r="L33" s="1">
        <f t="shared" si="2"/>
        <v>0.68870158730158715</v>
      </c>
      <c r="M33" s="1">
        <f t="shared" si="29"/>
        <v>-0.37294721165471961</v>
      </c>
      <c r="N33" s="1"/>
      <c r="O33" s="1">
        <v>0.81289999999999996</v>
      </c>
      <c r="P33" s="1">
        <f t="shared" si="3"/>
        <v>0.71590158730158715</v>
      </c>
      <c r="Q33" s="1">
        <f t="shared" si="30"/>
        <v>-0.33421256937113131</v>
      </c>
      <c r="R33" s="1"/>
      <c r="S33" s="1">
        <v>0.82750000000000001</v>
      </c>
      <c r="T33" s="1">
        <f t="shared" si="4"/>
        <v>0.73050158730158721</v>
      </c>
      <c r="U33" s="1">
        <f t="shared" si="31"/>
        <v>-0.31402387489629363</v>
      </c>
      <c r="V33" s="1"/>
      <c r="W33" s="1">
        <v>0.84150000000000003</v>
      </c>
      <c r="X33" s="1">
        <f t="shared" si="5"/>
        <v>0.74450158730158722</v>
      </c>
      <c r="Y33" s="1">
        <f t="shared" si="32"/>
        <v>-0.29504029482329147</v>
      </c>
      <c r="Z33" s="1"/>
      <c r="AA33" s="1">
        <v>0.86140000000000005</v>
      </c>
      <c r="AB33" s="1">
        <f t="shared" si="6"/>
        <v>0.76440158730158725</v>
      </c>
      <c r="AC33" s="1">
        <f t="shared" si="33"/>
        <v>-0.26866199008548636</v>
      </c>
      <c r="AD33" s="1"/>
      <c r="AE33" s="1">
        <v>0.87760000000000005</v>
      </c>
      <c r="AF33" s="1">
        <f t="shared" si="7"/>
        <v>0.78060158730158724</v>
      </c>
      <c r="AG33" s="1">
        <f t="shared" si="34"/>
        <v>-0.24769039079983793</v>
      </c>
      <c r="AH33" s="1"/>
      <c r="AI33" s="1">
        <v>0.86970000000000003</v>
      </c>
      <c r="AJ33" s="1">
        <f t="shared" si="8"/>
        <v>0.77270158730158722</v>
      </c>
      <c r="AK33" s="1">
        <f t="shared" si="35"/>
        <v>-0.2578623498172114</v>
      </c>
      <c r="AL33" s="1"/>
      <c r="AM33" s="1">
        <v>0.7903</v>
      </c>
      <c r="AN33" s="1">
        <f t="shared" si="9"/>
        <v>0.6933015873015872</v>
      </c>
      <c r="AO33" s="1">
        <f t="shared" si="36"/>
        <v>-0.36629018354895243</v>
      </c>
      <c r="AP33" s="1"/>
      <c r="AQ33" s="1">
        <v>0.79300000000000004</v>
      </c>
      <c r="AR33" s="1">
        <f t="shared" si="10"/>
        <v>0.69600158730158723</v>
      </c>
      <c r="AS33" s="1">
        <f t="shared" si="37"/>
        <v>-0.36240333804458918</v>
      </c>
      <c r="AT33" s="1"/>
      <c r="AU33" s="1">
        <v>0.80679999999999996</v>
      </c>
      <c r="AV33" s="1">
        <f t="shared" si="11"/>
        <v>0.70980158730158716</v>
      </c>
      <c r="AW33" s="1">
        <f t="shared" si="38"/>
        <v>-0.34276980250626909</v>
      </c>
      <c r="AX33" s="1"/>
      <c r="AY33" s="1">
        <v>0.83309999999999995</v>
      </c>
      <c r="AZ33" s="1">
        <f t="shared" si="12"/>
        <v>0.73610158730158715</v>
      </c>
      <c r="BA33" s="1">
        <f t="shared" si="39"/>
        <v>-0.30638714355302121</v>
      </c>
      <c r="BB33" s="1"/>
      <c r="BC33" s="1">
        <v>0.84930000000000005</v>
      </c>
      <c r="BD33" s="1">
        <f t="shared" si="13"/>
        <v>0.75230158730158725</v>
      </c>
      <c r="BE33" s="1">
        <f t="shared" si="40"/>
        <v>-0.28461798848652781</v>
      </c>
      <c r="BF33" s="1"/>
      <c r="BG33" s="1">
        <v>0.86560000000000004</v>
      </c>
      <c r="BH33" s="1">
        <f t="shared" si="14"/>
        <v>0.76860158730158723</v>
      </c>
      <c r="BI33" s="1">
        <f t="shared" si="41"/>
        <v>-0.14433237088991993</v>
      </c>
      <c r="BJ33" s="1"/>
      <c r="BK33" s="1">
        <v>0.87570000000000003</v>
      </c>
      <c r="BL33" s="1">
        <f t="shared" si="15"/>
        <v>0.77870158730158723</v>
      </c>
      <c r="BM33" s="1">
        <f t="shared" si="42"/>
        <v>-0.25012737800190699</v>
      </c>
      <c r="BN33" s="1"/>
      <c r="BO33" s="1">
        <v>0.87919999999999998</v>
      </c>
      <c r="BP33" s="1">
        <f t="shared" si="16"/>
        <v>0.78220158730158718</v>
      </c>
      <c r="BQ33" s="1">
        <f t="shared" si="43"/>
        <v>-0.24564278738435327</v>
      </c>
      <c r="BR33" s="1"/>
      <c r="BS33" s="1">
        <v>0.91190000000000004</v>
      </c>
      <c r="BT33" s="1">
        <f t="shared" si="17"/>
        <v>0.81490158730158724</v>
      </c>
      <c r="BU33" s="1">
        <f t="shared" si="44"/>
        <v>-0.2046879248095507</v>
      </c>
      <c r="BV33" s="1"/>
      <c r="BW33" s="1">
        <v>0.87350000000000005</v>
      </c>
      <c r="BX33" s="1">
        <f t="shared" si="18"/>
        <v>0.77650158730158725</v>
      </c>
      <c r="BY33" s="1">
        <f t="shared" si="45"/>
        <v>-0.2529565922208713</v>
      </c>
      <c r="BZ33" s="1"/>
      <c r="CA33" s="1">
        <v>0.82809999999999995</v>
      </c>
      <c r="CB33" s="1">
        <f t="shared" si="19"/>
        <v>0.73110158730158714</v>
      </c>
      <c r="CC33" s="1">
        <f t="shared" si="46"/>
        <v>-0.31320285857102981</v>
      </c>
      <c r="CD33" s="1"/>
      <c r="CE33" s="1">
        <v>0.83340000000000003</v>
      </c>
      <c r="CF33" s="1">
        <f t="shared" si="20"/>
        <v>0.73640158730158722</v>
      </c>
      <c r="CG33" s="1">
        <f t="shared" si="47"/>
        <v>-0.30597967413723309</v>
      </c>
      <c r="CH33" s="1"/>
      <c r="CI33" s="1">
        <v>0.86609999999999998</v>
      </c>
      <c r="CJ33" s="1">
        <f t="shared" si="21"/>
        <v>0.76910158730158718</v>
      </c>
      <c r="CK33" s="1">
        <f t="shared" si="48"/>
        <v>-0.26253221507834201</v>
      </c>
      <c r="CL33" s="1"/>
      <c r="CM33" s="1">
        <v>0.87039999999999995</v>
      </c>
      <c r="CN33" s="1">
        <f t="shared" si="22"/>
        <v>0.77340158730158715</v>
      </c>
      <c r="CO33" s="1">
        <f t="shared" si="49"/>
        <v>-0.25695684744281894</v>
      </c>
      <c r="CP33" s="1"/>
      <c r="CQ33" s="1">
        <v>0.89229999999999998</v>
      </c>
      <c r="CR33" s="1">
        <f t="shared" si="23"/>
        <v>0.79530158730158718</v>
      </c>
      <c r="CS33" s="1">
        <f t="shared" si="50"/>
        <v>-0.22903388116842111</v>
      </c>
      <c r="CT33" s="1"/>
      <c r="CU33" s="1">
        <v>0.90529999999999999</v>
      </c>
      <c r="CV33" s="1">
        <f t="shared" si="24"/>
        <v>0.80830158730158719</v>
      </c>
      <c r="CW33" s="1">
        <f t="shared" si="51"/>
        <v>-0.21282003849122039</v>
      </c>
      <c r="CX33" s="1"/>
      <c r="CY33" s="1">
        <v>0.91010000000000002</v>
      </c>
      <c r="CZ33" s="1">
        <f t="shared" si="25"/>
        <v>0.81310158730158721</v>
      </c>
      <c r="DA33" s="1">
        <f t="shared" si="52"/>
        <v>-0.20689922360989252</v>
      </c>
      <c r="DB33" s="1"/>
      <c r="DC33" s="1">
        <v>0.91479999999999995</v>
      </c>
      <c r="DD33" s="1">
        <f t="shared" si="26"/>
        <v>0.81780158730158714</v>
      </c>
      <c r="DE33">
        <f t="shared" si="53"/>
        <v>-0.2011355301124331</v>
      </c>
    </row>
    <row r="34" spans="2:109" x14ac:dyDescent="0.2">
      <c r="B34">
        <v>7.3960211111111107</v>
      </c>
      <c r="C34" s="1">
        <v>0.73129999999999995</v>
      </c>
      <c r="D34" s="1">
        <f t="shared" si="0"/>
        <v>0.63430158730158714</v>
      </c>
      <c r="E34" s="1">
        <f t="shared" si="27"/>
        <v>-0.45523074789927587</v>
      </c>
      <c r="F34" s="1"/>
      <c r="G34" s="1">
        <v>0.77100000000000002</v>
      </c>
      <c r="H34" s="1">
        <f t="shared" si="1"/>
        <v>0.67400158730158721</v>
      </c>
      <c r="I34" s="1">
        <f t="shared" si="28"/>
        <v>-0.39452281302573783</v>
      </c>
      <c r="J34" s="1"/>
      <c r="K34" s="1">
        <v>0.78620000000000001</v>
      </c>
      <c r="L34" s="1">
        <f t="shared" si="2"/>
        <v>0.6892015873015872</v>
      </c>
      <c r="M34" s="1">
        <f t="shared" si="29"/>
        <v>-0.37222147122366234</v>
      </c>
      <c r="N34" s="1"/>
      <c r="O34" s="1">
        <v>0.8095</v>
      </c>
      <c r="P34" s="1">
        <f t="shared" si="3"/>
        <v>0.71250158730158719</v>
      </c>
      <c r="Q34" s="1">
        <f t="shared" si="30"/>
        <v>-0.33897313905011167</v>
      </c>
      <c r="R34" s="1"/>
      <c r="S34" s="1">
        <v>0.8266</v>
      </c>
      <c r="T34" s="1">
        <f t="shared" si="4"/>
        <v>0.7296015873015872</v>
      </c>
      <c r="U34" s="1">
        <f t="shared" si="31"/>
        <v>-0.31525666464654867</v>
      </c>
      <c r="V34" s="1"/>
      <c r="W34" s="1">
        <v>0.83679999999999999</v>
      </c>
      <c r="X34" s="1">
        <f t="shared" si="5"/>
        <v>0.73980158730158718</v>
      </c>
      <c r="Y34" s="1">
        <f t="shared" si="32"/>
        <v>-0.30137325400405329</v>
      </c>
      <c r="Z34" s="1"/>
      <c r="AA34" s="1">
        <v>0.85529999999999995</v>
      </c>
      <c r="AB34" s="1">
        <f t="shared" si="6"/>
        <v>0.75830158730158714</v>
      </c>
      <c r="AC34" s="1">
        <f t="shared" si="33"/>
        <v>-0.27667410004047754</v>
      </c>
      <c r="AD34" s="1"/>
      <c r="AE34" s="1">
        <v>0.874</v>
      </c>
      <c r="AF34" s="1">
        <f t="shared" si="7"/>
        <v>0.77700158730158719</v>
      </c>
      <c r="AG34" s="1">
        <f t="shared" si="34"/>
        <v>-0.25231288575739069</v>
      </c>
      <c r="AH34" s="1"/>
      <c r="AI34" s="1">
        <v>0.86729999999999996</v>
      </c>
      <c r="AJ34" s="1">
        <f t="shared" si="8"/>
        <v>0.77030158730158715</v>
      </c>
      <c r="AK34" s="1">
        <f t="shared" si="35"/>
        <v>-0.26097316899754935</v>
      </c>
      <c r="AL34" s="1"/>
      <c r="AM34" s="1">
        <v>0.80100000000000005</v>
      </c>
      <c r="AN34" s="1">
        <f t="shared" si="9"/>
        <v>0.70400158730158724</v>
      </c>
      <c r="AO34" s="1">
        <f t="shared" si="36"/>
        <v>-0.35097466813688188</v>
      </c>
      <c r="AP34" s="1"/>
      <c r="AQ34" s="1">
        <v>0.80159999999999998</v>
      </c>
      <c r="AR34" s="1">
        <f t="shared" si="10"/>
        <v>0.70460158730158717</v>
      </c>
      <c r="AS34" s="1">
        <f t="shared" si="37"/>
        <v>-0.35012276030775702</v>
      </c>
      <c r="AT34" s="1"/>
      <c r="AU34" s="1">
        <v>0.8075</v>
      </c>
      <c r="AV34" s="1">
        <f t="shared" si="11"/>
        <v>0.71050158730158719</v>
      </c>
      <c r="AW34" s="1">
        <f t="shared" si="38"/>
        <v>-0.3417840973847226</v>
      </c>
      <c r="AX34" s="1"/>
      <c r="AY34" s="1">
        <v>0.82979999999999998</v>
      </c>
      <c r="AZ34" s="1">
        <f t="shared" si="12"/>
        <v>0.73280158730158718</v>
      </c>
      <c r="BA34" s="1">
        <f t="shared" si="39"/>
        <v>-0.31088029954706908</v>
      </c>
      <c r="BB34" s="1"/>
      <c r="BC34" s="1">
        <v>0.84360000000000002</v>
      </c>
      <c r="BD34" s="1">
        <f t="shared" si="13"/>
        <v>0.74660158730158721</v>
      </c>
      <c r="BE34" s="1">
        <f t="shared" si="40"/>
        <v>-0.29222358646374857</v>
      </c>
      <c r="BF34" s="1"/>
      <c r="BG34" s="1">
        <v>0.85850000000000004</v>
      </c>
      <c r="BH34" s="1">
        <f t="shared" si="14"/>
        <v>0.76150158730158723</v>
      </c>
      <c r="BI34" s="1">
        <f t="shared" si="41"/>
        <v>-0.15256859864460678</v>
      </c>
      <c r="BJ34" s="1"/>
      <c r="BK34" s="1">
        <v>0.87309999999999999</v>
      </c>
      <c r="BL34" s="1">
        <f t="shared" si="15"/>
        <v>0.77610158730158718</v>
      </c>
      <c r="BM34" s="1">
        <f t="shared" si="42"/>
        <v>-0.25347185589595966</v>
      </c>
      <c r="BN34" s="1"/>
      <c r="BO34" s="1">
        <v>0.88029999999999997</v>
      </c>
      <c r="BP34" s="1">
        <f t="shared" si="16"/>
        <v>0.78330158730158717</v>
      </c>
      <c r="BQ34" s="1">
        <f t="shared" si="43"/>
        <v>-0.24423748818231469</v>
      </c>
      <c r="BR34" s="1"/>
      <c r="BS34" s="1">
        <v>0.90900000000000003</v>
      </c>
      <c r="BT34" s="1">
        <f t="shared" si="17"/>
        <v>0.81200158730158722</v>
      </c>
      <c r="BU34" s="1">
        <f t="shared" si="44"/>
        <v>-0.20825298401745934</v>
      </c>
      <c r="BV34" s="1"/>
      <c r="BW34" s="1">
        <v>0.87709999999999999</v>
      </c>
      <c r="BX34" s="1">
        <f t="shared" si="18"/>
        <v>0.78010158730158718</v>
      </c>
      <c r="BY34" s="1">
        <f t="shared" si="45"/>
        <v>-0.24833112764876908</v>
      </c>
      <c r="BZ34" s="1"/>
      <c r="CA34" s="1">
        <v>0.8407</v>
      </c>
      <c r="CB34" s="1">
        <f t="shared" si="19"/>
        <v>0.7437015873015872</v>
      </c>
      <c r="CC34" s="1">
        <f t="shared" si="46"/>
        <v>-0.29611541694466781</v>
      </c>
      <c r="CD34" s="1"/>
      <c r="CE34" s="1">
        <v>0.83240000000000003</v>
      </c>
      <c r="CF34" s="1">
        <f t="shared" si="20"/>
        <v>0.73540158730158722</v>
      </c>
      <c r="CG34" s="1">
        <f t="shared" si="47"/>
        <v>-0.30733855169794855</v>
      </c>
      <c r="CH34" s="1"/>
      <c r="CI34" s="1">
        <v>0.86650000000000005</v>
      </c>
      <c r="CJ34" s="1">
        <f t="shared" si="21"/>
        <v>0.76950158730158724</v>
      </c>
      <c r="CK34" s="1">
        <f t="shared" si="48"/>
        <v>-0.26201226293523677</v>
      </c>
      <c r="CL34" s="1"/>
      <c r="CM34" s="1">
        <v>0.86670000000000003</v>
      </c>
      <c r="CN34" s="1">
        <f t="shared" si="22"/>
        <v>0.76970158730158722</v>
      </c>
      <c r="CO34" s="1">
        <f t="shared" si="49"/>
        <v>-0.26175238820989111</v>
      </c>
      <c r="CP34" s="1"/>
      <c r="CQ34" s="1">
        <v>0.88880000000000003</v>
      </c>
      <c r="CR34" s="1">
        <f t="shared" si="23"/>
        <v>0.79180158730158723</v>
      </c>
      <c r="CS34" s="1">
        <f t="shared" si="50"/>
        <v>-0.2334444396372144</v>
      </c>
      <c r="CT34" s="1"/>
      <c r="CU34" s="1">
        <v>0.9032</v>
      </c>
      <c r="CV34" s="1">
        <f t="shared" si="24"/>
        <v>0.8062015873015872</v>
      </c>
      <c r="CW34" s="1">
        <f t="shared" si="51"/>
        <v>-0.21542145943275484</v>
      </c>
      <c r="CX34" s="1"/>
      <c r="CY34" s="1">
        <v>0.9083</v>
      </c>
      <c r="CZ34" s="1">
        <f t="shared" si="25"/>
        <v>0.81130158730158719</v>
      </c>
      <c r="DA34" s="1">
        <f t="shared" si="52"/>
        <v>-0.20911542309149067</v>
      </c>
      <c r="DB34" s="1"/>
      <c r="DC34" s="1">
        <v>0.91320000000000001</v>
      </c>
      <c r="DD34" s="1">
        <f t="shared" si="26"/>
        <v>0.81620158730158721</v>
      </c>
      <c r="DE34">
        <f t="shared" si="53"/>
        <v>-0.20309391126644283</v>
      </c>
    </row>
    <row r="35" spans="2:109" x14ac:dyDescent="0.2">
      <c r="B35">
        <v>7.6346319444444442</v>
      </c>
      <c r="C35" s="1">
        <v>0.72989999999999999</v>
      </c>
      <c r="D35" s="1">
        <f t="shared" si="0"/>
        <v>0.63290158730158719</v>
      </c>
      <c r="E35" s="1">
        <f t="shared" si="27"/>
        <v>-0.45744033922237093</v>
      </c>
      <c r="F35" s="1"/>
      <c r="G35" s="1">
        <v>0.77580000000000005</v>
      </c>
      <c r="H35" s="1">
        <f t="shared" si="1"/>
        <v>0.67880158730158724</v>
      </c>
      <c r="I35" s="1">
        <f t="shared" si="28"/>
        <v>-0.38742640723118282</v>
      </c>
      <c r="J35" s="1"/>
      <c r="K35" s="1">
        <v>0.78349999999999997</v>
      </c>
      <c r="L35" s="1">
        <f t="shared" si="2"/>
        <v>0.68650158730158717</v>
      </c>
      <c r="M35" s="1">
        <f t="shared" si="29"/>
        <v>-0.376146741611326</v>
      </c>
      <c r="N35" s="1"/>
      <c r="O35" s="1">
        <v>0.81220000000000003</v>
      </c>
      <c r="P35" s="1">
        <f t="shared" si="3"/>
        <v>0.71520158730158723</v>
      </c>
      <c r="Q35" s="1">
        <f t="shared" si="30"/>
        <v>-0.33519083574388159</v>
      </c>
      <c r="R35" s="1"/>
      <c r="S35" s="1">
        <v>0.8266</v>
      </c>
      <c r="T35" s="1">
        <f t="shared" si="4"/>
        <v>0.7296015873015872</v>
      </c>
      <c r="U35" s="1">
        <f t="shared" si="31"/>
        <v>-0.31525666464654867</v>
      </c>
      <c r="V35" s="1"/>
      <c r="W35" s="1">
        <v>0.84379999999999999</v>
      </c>
      <c r="X35" s="1">
        <f t="shared" si="5"/>
        <v>0.74680158730158719</v>
      </c>
      <c r="Y35" s="1">
        <f t="shared" si="32"/>
        <v>-0.29195574184603668</v>
      </c>
      <c r="Z35" s="1"/>
      <c r="AA35" s="1">
        <v>0.85680000000000001</v>
      </c>
      <c r="AB35" s="1">
        <f t="shared" si="6"/>
        <v>0.7598015873015872</v>
      </c>
      <c r="AC35" s="1">
        <f t="shared" si="33"/>
        <v>-0.27469794912630968</v>
      </c>
      <c r="AD35" s="1"/>
      <c r="AE35" s="1">
        <v>0.87860000000000005</v>
      </c>
      <c r="AF35" s="1">
        <f t="shared" si="7"/>
        <v>0.78160158730158724</v>
      </c>
      <c r="AG35" s="1">
        <f t="shared" si="34"/>
        <v>-0.24641014741940917</v>
      </c>
      <c r="AH35" s="1"/>
      <c r="AI35" s="1">
        <v>0.86819999999999997</v>
      </c>
      <c r="AJ35" s="1">
        <f t="shared" si="8"/>
        <v>0.77120158730158717</v>
      </c>
      <c r="AK35" s="1">
        <f t="shared" si="35"/>
        <v>-0.25980547746490695</v>
      </c>
      <c r="AL35" s="1"/>
      <c r="AM35" s="1">
        <v>0.79610000000000003</v>
      </c>
      <c r="AN35" s="1">
        <f t="shared" si="9"/>
        <v>0.69910158730158722</v>
      </c>
      <c r="AO35" s="1">
        <f t="shared" si="36"/>
        <v>-0.35795921497387395</v>
      </c>
      <c r="AP35" s="1"/>
      <c r="AQ35" s="1">
        <v>0.79910000000000003</v>
      </c>
      <c r="AR35" s="1">
        <f t="shared" si="10"/>
        <v>0.70210158730158723</v>
      </c>
      <c r="AS35" s="1">
        <f t="shared" si="37"/>
        <v>-0.35367717417016742</v>
      </c>
      <c r="AT35" s="1"/>
      <c r="AU35" s="1">
        <v>0.81069999999999998</v>
      </c>
      <c r="AV35" s="1">
        <f t="shared" si="11"/>
        <v>0.71370158730158717</v>
      </c>
      <c r="AW35" s="1">
        <f t="shared" si="38"/>
        <v>-0.33729034896164883</v>
      </c>
      <c r="AX35" s="1"/>
      <c r="AY35" s="1">
        <v>0.83819999999999995</v>
      </c>
      <c r="AZ35" s="1">
        <f t="shared" si="12"/>
        <v>0.74120158730158714</v>
      </c>
      <c r="BA35" s="1">
        <f t="shared" si="39"/>
        <v>-0.29948264304383099</v>
      </c>
      <c r="BB35" s="1"/>
      <c r="BC35" s="1">
        <v>0.85350000000000004</v>
      </c>
      <c r="BD35" s="1">
        <f t="shared" si="13"/>
        <v>0.75650158730158723</v>
      </c>
      <c r="BE35" s="1">
        <f t="shared" si="40"/>
        <v>-0.27905064753836362</v>
      </c>
      <c r="BF35" s="1"/>
      <c r="BG35" s="1">
        <v>0.87029999999999996</v>
      </c>
      <c r="BH35" s="1">
        <f t="shared" si="14"/>
        <v>0.77330158730158716</v>
      </c>
      <c r="BI35" s="1">
        <f t="shared" si="41"/>
        <v>-0.13891729918666906</v>
      </c>
      <c r="BJ35" s="1"/>
      <c r="BK35" s="1">
        <v>0.87990000000000002</v>
      </c>
      <c r="BL35" s="1">
        <f t="shared" si="15"/>
        <v>0.78290158730158721</v>
      </c>
      <c r="BM35" s="1">
        <f t="shared" si="42"/>
        <v>-0.24474827760629625</v>
      </c>
      <c r="BN35" s="1"/>
      <c r="BO35" s="1">
        <v>0.8851</v>
      </c>
      <c r="BP35" s="1">
        <f t="shared" si="16"/>
        <v>0.78810158730158719</v>
      </c>
      <c r="BQ35" s="1">
        <f t="shared" si="43"/>
        <v>-0.23812827953804047</v>
      </c>
      <c r="BR35" s="1"/>
      <c r="BS35" s="1">
        <v>0.90910000000000002</v>
      </c>
      <c r="BT35" s="1">
        <f t="shared" si="17"/>
        <v>0.81210158730158721</v>
      </c>
      <c r="BU35" s="1">
        <f t="shared" si="44"/>
        <v>-0.20812983913148153</v>
      </c>
      <c r="BV35" s="1"/>
      <c r="BW35" s="1">
        <v>0.89290000000000003</v>
      </c>
      <c r="BX35" s="1">
        <f t="shared" si="18"/>
        <v>0.79590158730158722</v>
      </c>
      <c r="BY35" s="1">
        <f t="shared" si="45"/>
        <v>-0.2282797348243045</v>
      </c>
      <c r="BZ35" s="1"/>
      <c r="CA35" s="1">
        <v>0.83150000000000002</v>
      </c>
      <c r="CB35" s="1">
        <f t="shared" si="19"/>
        <v>0.73450158730158721</v>
      </c>
      <c r="CC35" s="1">
        <f t="shared" si="46"/>
        <v>-0.30856312230643229</v>
      </c>
      <c r="CD35" s="1"/>
      <c r="CE35" s="1">
        <v>0.84060000000000001</v>
      </c>
      <c r="CF35" s="1">
        <f t="shared" si="20"/>
        <v>0.74360158730158721</v>
      </c>
      <c r="CG35" s="1">
        <f t="shared" si="47"/>
        <v>-0.29624988851960726</v>
      </c>
      <c r="CH35" s="1"/>
      <c r="CI35" s="1">
        <v>0.86160000000000003</v>
      </c>
      <c r="CJ35" s="1">
        <f t="shared" si="21"/>
        <v>0.76460158730158723</v>
      </c>
      <c r="CK35" s="1">
        <f t="shared" si="48"/>
        <v>-0.26840038173245917</v>
      </c>
      <c r="CL35" s="1"/>
      <c r="CM35" s="1">
        <v>0.87209999999999999</v>
      </c>
      <c r="CN35" s="1">
        <f t="shared" si="22"/>
        <v>0.77510158730158718</v>
      </c>
      <c r="CO35" s="1">
        <f t="shared" si="49"/>
        <v>-0.25476117782992885</v>
      </c>
      <c r="CP35" s="1"/>
      <c r="CQ35" s="1">
        <v>0.88790000000000002</v>
      </c>
      <c r="CR35" s="1">
        <f t="shared" si="23"/>
        <v>0.79090158730158722</v>
      </c>
      <c r="CS35" s="1">
        <f t="shared" si="50"/>
        <v>-0.23458173450266967</v>
      </c>
      <c r="CT35" s="1"/>
      <c r="CU35" s="1">
        <v>0.90600000000000003</v>
      </c>
      <c r="CV35" s="1">
        <f t="shared" si="24"/>
        <v>0.80900158730158722</v>
      </c>
      <c r="CW35" s="1">
        <f t="shared" si="51"/>
        <v>-0.21195439987169229</v>
      </c>
      <c r="CX35" s="1"/>
      <c r="CY35" s="1">
        <v>0.9083</v>
      </c>
      <c r="CZ35" s="1">
        <f t="shared" si="25"/>
        <v>0.81130158730158719</v>
      </c>
      <c r="DA35" s="1">
        <f t="shared" si="52"/>
        <v>-0.20911542309149067</v>
      </c>
      <c r="DB35" s="1"/>
      <c r="DC35" s="1">
        <v>0.91420000000000001</v>
      </c>
      <c r="DD35" s="1">
        <f t="shared" si="26"/>
        <v>0.81720158730158721</v>
      </c>
      <c r="DE35">
        <f t="shared" si="53"/>
        <v>-0.20186947367444386</v>
      </c>
    </row>
    <row r="36" spans="2:109" x14ac:dyDescent="0.2">
      <c r="B36">
        <v>7.8731352777777781</v>
      </c>
      <c r="C36" s="1">
        <v>0.72850000000000004</v>
      </c>
      <c r="D36" s="1">
        <f t="shared" si="0"/>
        <v>0.63150158730158723</v>
      </c>
      <c r="E36" s="1">
        <f t="shared" si="27"/>
        <v>-0.45965482365304439</v>
      </c>
      <c r="F36" s="1"/>
      <c r="G36" s="1">
        <v>0.77680000000000005</v>
      </c>
      <c r="H36" s="1">
        <f t="shared" si="1"/>
        <v>0.67980158730158724</v>
      </c>
      <c r="I36" s="1">
        <f t="shared" si="28"/>
        <v>-0.38595430676905623</v>
      </c>
      <c r="J36" s="1"/>
      <c r="K36" s="1">
        <v>0.78620000000000001</v>
      </c>
      <c r="L36" s="1">
        <f t="shared" si="2"/>
        <v>0.6892015873015872</v>
      </c>
      <c r="M36" s="1">
        <f t="shared" si="29"/>
        <v>-0.37222147122366234</v>
      </c>
      <c r="N36" s="1"/>
      <c r="O36" s="1">
        <v>0.81</v>
      </c>
      <c r="P36" s="1">
        <f t="shared" si="3"/>
        <v>0.71300158730158725</v>
      </c>
      <c r="Q36" s="1">
        <f t="shared" si="30"/>
        <v>-0.33827163234088403</v>
      </c>
      <c r="R36" s="1"/>
      <c r="S36" s="1">
        <v>0.8246</v>
      </c>
      <c r="T36" s="1">
        <f t="shared" si="4"/>
        <v>0.72760158730158719</v>
      </c>
      <c r="U36" s="1">
        <f t="shared" si="31"/>
        <v>-0.31800165078256815</v>
      </c>
      <c r="V36" s="1"/>
      <c r="W36" s="1">
        <v>0.84219999999999995</v>
      </c>
      <c r="X36" s="1">
        <f t="shared" si="5"/>
        <v>0.74520158730158714</v>
      </c>
      <c r="Y36" s="1">
        <f t="shared" si="32"/>
        <v>-0.29410051022263622</v>
      </c>
      <c r="Z36" s="1"/>
      <c r="AA36" s="1">
        <v>0.85580000000000001</v>
      </c>
      <c r="AB36" s="1">
        <f t="shared" si="6"/>
        <v>0.7588015873015872</v>
      </c>
      <c r="AC36" s="1">
        <f t="shared" si="33"/>
        <v>-0.2760149490658127</v>
      </c>
      <c r="AD36" s="1"/>
      <c r="AE36" s="1">
        <v>0.874</v>
      </c>
      <c r="AF36" s="1">
        <f t="shared" si="7"/>
        <v>0.77700158730158719</v>
      </c>
      <c r="AG36" s="1">
        <f t="shared" si="34"/>
        <v>-0.25231288575739069</v>
      </c>
      <c r="AH36" s="1"/>
      <c r="AI36" s="1">
        <v>0.86599999999999999</v>
      </c>
      <c r="AJ36" s="1">
        <f t="shared" si="8"/>
        <v>0.76900158730158719</v>
      </c>
      <c r="AK36" s="1">
        <f t="shared" si="35"/>
        <v>-0.26266224536732663</v>
      </c>
      <c r="AL36" s="1"/>
      <c r="AM36" s="1">
        <v>0.79410000000000003</v>
      </c>
      <c r="AN36" s="1">
        <f t="shared" si="9"/>
        <v>0.69710158730158722</v>
      </c>
      <c r="AO36" s="1">
        <f t="shared" si="36"/>
        <v>-0.36082412948536557</v>
      </c>
      <c r="AP36" s="1"/>
      <c r="AQ36" s="1">
        <v>0.8004</v>
      </c>
      <c r="AR36" s="1">
        <f t="shared" si="10"/>
        <v>0.70340158730158719</v>
      </c>
      <c r="AS36" s="1">
        <f t="shared" si="37"/>
        <v>-0.35182730233179688</v>
      </c>
      <c r="AT36" s="1"/>
      <c r="AU36" s="1">
        <v>0.8105</v>
      </c>
      <c r="AV36" s="1">
        <f t="shared" si="11"/>
        <v>0.71350158730158719</v>
      </c>
      <c r="AW36" s="1">
        <f t="shared" si="38"/>
        <v>-0.33757061739836214</v>
      </c>
      <c r="AX36" s="1"/>
      <c r="AY36" s="1">
        <v>0.83760000000000001</v>
      </c>
      <c r="AZ36" s="1">
        <f t="shared" si="12"/>
        <v>0.74060158730158721</v>
      </c>
      <c r="BA36" s="1">
        <f t="shared" si="39"/>
        <v>-0.30029246724055858</v>
      </c>
      <c r="BB36" s="1"/>
      <c r="BC36" s="1">
        <v>0.85009999999999997</v>
      </c>
      <c r="BD36" s="1">
        <f t="shared" si="13"/>
        <v>0.75310158730158716</v>
      </c>
      <c r="BE36" s="1">
        <f t="shared" si="40"/>
        <v>-0.28355515018672267</v>
      </c>
      <c r="BF36" s="1"/>
      <c r="BG36" s="1">
        <v>0.86519999999999997</v>
      </c>
      <c r="BH36" s="1">
        <f t="shared" si="14"/>
        <v>0.76820158730158716</v>
      </c>
      <c r="BI36" s="1">
        <f t="shared" si="41"/>
        <v>-0.14479458490323338</v>
      </c>
      <c r="BJ36" s="1"/>
      <c r="BK36" s="1">
        <v>0.87760000000000005</v>
      </c>
      <c r="BL36" s="1">
        <f t="shared" si="15"/>
        <v>0.78060158730158724</v>
      </c>
      <c r="BM36" s="1">
        <f t="shared" si="42"/>
        <v>-0.24769039079983793</v>
      </c>
      <c r="BN36" s="1"/>
      <c r="BO36" s="1">
        <v>0.88319999999999999</v>
      </c>
      <c r="BP36" s="1">
        <f t="shared" si="16"/>
        <v>0.78620158730158718</v>
      </c>
      <c r="BQ36" s="1">
        <f t="shared" si="43"/>
        <v>-0.24054204704247575</v>
      </c>
      <c r="BR36" s="1"/>
      <c r="BS36" s="1">
        <v>0.90280000000000005</v>
      </c>
      <c r="BT36" s="1">
        <f t="shared" si="17"/>
        <v>0.80580158730158724</v>
      </c>
      <c r="BU36" s="1">
        <f t="shared" si="44"/>
        <v>-0.21591773638122688</v>
      </c>
      <c r="BV36" s="1"/>
      <c r="BW36" s="1">
        <v>0.87270000000000003</v>
      </c>
      <c r="BX36" s="1">
        <f t="shared" si="18"/>
        <v>0.77570158730158723</v>
      </c>
      <c r="BY36" s="1">
        <f t="shared" si="45"/>
        <v>-0.25398738520457997</v>
      </c>
      <c r="BZ36" s="1"/>
      <c r="CA36" s="1">
        <v>0.82769999999999999</v>
      </c>
      <c r="CB36" s="1">
        <f t="shared" si="19"/>
        <v>0.73070158730158719</v>
      </c>
      <c r="CC36" s="1">
        <f t="shared" si="46"/>
        <v>-0.31375012788461848</v>
      </c>
      <c r="CD36" s="1"/>
      <c r="CE36" s="1">
        <v>0.83340000000000003</v>
      </c>
      <c r="CF36" s="1">
        <f t="shared" si="20"/>
        <v>0.73640158730158722</v>
      </c>
      <c r="CG36" s="1">
        <f t="shared" si="47"/>
        <v>-0.30597967413723309</v>
      </c>
      <c r="CH36" s="1"/>
      <c r="CI36" s="1">
        <v>0.86080000000000001</v>
      </c>
      <c r="CJ36" s="1">
        <f t="shared" si="21"/>
        <v>0.7638015873015872</v>
      </c>
      <c r="CK36" s="1">
        <f t="shared" si="48"/>
        <v>-0.26944722602898008</v>
      </c>
      <c r="CL36" s="1"/>
      <c r="CM36" s="1">
        <v>0.86780000000000002</v>
      </c>
      <c r="CN36" s="1">
        <f t="shared" si="22"/>
        <v>0.77080158730158721</v>
      </c>
      <c r="CO36" s="1">
        <f t="shared" si="49"/>
        <v>-0.26032428315293654</v>
      </c>
      <c r="CP36" s="1"/>
      <c r="CQ36" s="1">
        <v>0.88780000000000003</v>
      </c>
      <c r="CR36" s="1">
        <f t="shared" si="23"/>
        <v>0.79080158730158723</v>
      </c>
      <c r="CS36" s="1">
        <f t="shared" si="50"/>
        <v>-0.23470818047779179</v>
      </c>
      <c r="CT36" s="1"/>
      <c r="CU36" s="1">
        <v>0.90759999999999996</v>
      </c>
      <c r="CV36" s="1">
        <f t="shared" si="24"/>
        <v>0.81060158730158716</v>
      </c>
      <c r="CW36" s="1">
        <f t="shared" si="51"/>
        <v>-0.20997860660876153</v>
      </c>
      <c r="CX36" s="1"/>
      <c r="CY36" s="1">
        <v>0.91139999999999999</v>
      </c>
      <c r="CZ36" s="1">
        <f t="shared" si="25"/>
        <v>0.81440158730158718</v>
      </c>
      <c r="DA36" s="1">
        <f t="shared" si="52"/>
        <v>-0.20530168414358957</v>
      </c>
      <c r="DB36" s="1"/>
      <c r="DC36" s="1">
        <v>0.91390000000000005</v>
      </c>
      <c r="DD36" s="1">
        <f t="shared" si="26"/>
        <v>0.81690158730158724</v>
      </c>
      <c r="DE36">
        <f t="shared" si="53"/>
        <v>-0.20223664755677015</v>
      </c>
    </row>
    <row r="37" spans="2:109" x14ac:dyDescent="0.2">
      <c r="B37">
        <v>8.111633055555556</v>
      </c>
      <c r="C37" s="1">
        <v>0.72919999999999996</v>
      </c>
      <c r="D37" s="1">
        <f t="shared" si="0"/>
        <v>0.63220158730158715</v>
      </c>
      <c r="E37" s="1">
        <f t="shared" si="27"/>
        <v>-0.45854696844517129</v>
      </c>
      <c r="F37" s="1"/>
      <c r="G37" s="1">
        <v>0.76590000000000003</v>
      </c>
      <c r="H37" s="1">
        <f t="shared" si="1"/>
        <v>0.66890158730158722</v>
      </c>
      <c r="I37" s="1">
        <f t="shared" si="28"/>
        <v>-0.40211833385776891</v>
      </c>
      <c r="J37" s="1"/>
      <c r="K37" s="1">
        <v>0.78120000000000001</v>
      </c>
      <c r="L37" s="1">
        <f t="shared" si="2"/>
        <v>0.6842015873015872</v>
      </c>
      <c r="M37" s="1">
        <f t="shared" si="29"/>
        <v>-0.3795026865033127</v>
      </c>
      <c r="N37" s="1"/>
      <c r="O37" s="1">
        <v>0.80859999999999999</v>
      </c>
      <c r="P37" s="1">
        <f t="shared" si="3"/>
        <v>0.71160158730158718</v>
      </c>
      <c r="Q37" s="1">
        <f t="shared" si="30"/>
        <v>-0.34023709258363172</v>
      </c>
      <c r="R37" s="1"/>
      <c r="S37" s="1">
        <v>0.82330000000000003</v>
      </c>
      <c r="T37" s="1">
        <f t="shared" si="4"/>
        <v>0.72630158730158723</v>
      </c>
      <c r="U37" s="1">
        <f t="shared" si="31"/>
        <v>-0.31978994090966384</v>
      </c>
      <c r="V37" s="1"/>
      <c r="W37" s="1">
        <v>0.83750000000000002</v>
      </c>
      <c r="X37" s="1">
        <f t="shared" si="5"/>
        <v>0.74050158730158722</v>
      </c>
      <c r="Y37" s="1">
        <f t="shared" si="32"/>
        <v>-0.30042750172278326</v>
      </c>
      <c r="Z37" s="1"/>
      <c r="AA37" s="1">
        <v>0.85240000000000005</v>
      </c>
      <c r="AB37" s="1">
        <f t="shared" si="6"/>
        <v>0.75540158730158724</v>
      </c>
      <c r="AC37" s="1">
        <f t="shared" si="33"/>
        <v>-0.28050576743303718</v>
      </c>
      <c r="AD37" s="1"/>
      <c r="AE37" s="1">
        <v>0.87450000000000006</v>
      </c>
      <c r="AF37" s="1">
        <f t="shared" si="7"/>
        <v>0.77750158730158725</v>
      </c>
      <c r="AG37" s="1">
        <f t="shared" si="34"/>
        <v>-0.25166959338538197</v>
      </c>
      <c r="AH37" s="1"/>
      <c r="AI37" s="1">
        <v>0.87050000000000005</v>
      </c>
      <c r="AJ37" s="1">
        <f t="shared" si="8"/>
        <v>0.77350158730158725</v>
      </c>
      <c r="AK37" s="1">
        <f t="shared" si="35"/>
        <v>-0.25682755686822945</v>
      </c>
      <c r="AL37" s="1"/>
      <c r="AM37" s="1">
        <v>0.80730000000000002</v>
      </c>
      <c r="AN37" s="1">
        <f t="shared" si="9"/>
        <v>0.71030158730158721</v>
      </c>
      <c r="AO37" s="1">
        <f t="shared" si="36"/>
        <v>-0.34206562828906734</v>
      </c>
      <c r="AP37" s="1"/>
      <c r="AQ37" s="1">
        <v>0.81530000000000002</v>
      </c>
      <c r="AR37" s="1">
        <f t="shared" si="10"/>
        <v>0.71830158730158722</v>
      </c>
      <c r="AS37" s="1">
        <f t="shared" si="37"/>
        <v>-0.33086576010069424</v>
      </c>
      <c r="AT37" s="1"/>
      <c r="AU37" s="1">
        <v>0.81659999999999999</v>
      </c>
      <c r="AV37" s="1">
        <f t="shared" si="11"/>
        <v>0.71960158730158719</v>
      </c>
      <c r="AW37" s="1">
        <f t="shared" si="38"/>
        <v>-0.32905757109720352</v>
      </c>
      <c r="AX37" s="1"/>
      <c r="AY37" s="1">
        <v>0.83460000000000001</v>
      </c>
      <c r="AZ37" s="1">
        <f t="shared" si="12"/>
        <v>0.7376015873015872</v>
      </c>
      <c r="BA37" s="1">
        <f t="shared" si="39"/>
        <v>-0.304351454760524</v>
      </c>
      <c r="BB37" s="1"/>
      <c r="BC37" s="1">
        <v>0.84789999999999999</v>
      </c>
      <c r="BD37" s="1">
        <f t="shared" si="13"/>
        <v>0.75090158730158718</v>
      </c>
      <c r="BE37" s="1">
        <f t="shared" si="40"/>
        <v>-0.28648067801305538</v>
      </c>
      <c r="BF37" s="1"/>
      <c r="BG37" s="1">
        <v>0.86380000000000001</v>
      </c>
      <c r="BH37" s="1">
        <f t="shared" si="14"/>
        <v>0.76680158730158721</v>
      </c>
      <c r="BI37" s="1">
        <f t="shared" si="41"/>
        <v>-0.14641401845553628</v>
      </c>
      <c r="BJ37" s="1"/>
      <c r="BK37" s="1">
        <v>0.87809999999999999</v>
      </c>
      <c r="BL37" s="1">
        <f t="shared" si="15"/>
        <v>0.78110158730158719</v>
      </c>
      <c r="BM37" s="1">
        <f t="shared" si="42"/>
        <v>-0.24705006423174847</v>
      </c>
      <c r="BN37" s="1"/>
      <c r="BO37" s="1">
        <v>0.88339999999999996</v>
      </c>
      <c r="BP37" s="1">
        <f t="shared" si="16"/>
        <v>0.78640158730158716</v>
      </c>
      <c r="BQ37" s="1">
        <f t="shared" si="43"/>
        <v>-0.24028769171074532</v>
      </c>
      <c r="BR37" s="1"/>
      <c r="BS37" s="1">
        <v>0.91249999999999998</v>
      </c>
      <c r="BT37" s="1">
        <f t="shared" si="17"/>
        <v>0.81550158730158717</v>
      </c>
      <c r="BU37" s="1">
        <f t="shared" si="44"/>
        <v>-0.20395191050777309</v>
      </c>
      <c r="BV37" s="1"/>
      <c r="BW37" s="1">
        <v>0.81720000000000004</v>
      </c>
      <c r="BX37" s="1">
        <f t="shared" si="18"/>
        <v>0.72020158730158723</v>
      </c>
      <c r="BY37" s="1">
        <f t="shared" si="45"/>
        <v>-0.32822412379646793</v>
      </c>
      <c r="BZ37" s="1"/>
      <c r="CA37" s="1">
        <v>0.83560000000000001</v>
      </c>
      <c r="CB37" s="1">
        <f t="shared" si="19"/>
        <v>0.7386015873015872</v>
      </c>
      <c r="CC37" s="1">
        <f t="shared" si="46"/>
        <v>-0.30299662749803435</v>
      </c>
      <c r="CD37" s="1"/>
      <c r="CE37" s="1">
        <v>0.83860000000000001</v>
      </c>
      <c r="CF37" s="1">
        <f t="shared" si="20"/>
        <v>0.74160158730158721</v>
      </c>
      <c r="CG37" s="1">
        <f t="shared" si="47"/>
        <v>-0.2989431243584737</v>
      </c>
      <c r="CH37" s="1"/>
      <c r="CI37" s="1">
        <v>0.87</v>
      </c>
      <c r="CJ37" s="1">
        <f t="shared" si="21"/>
        <v>0.77300158730158719</v>
      </c>
      <c r="CK37" s="1">
        <f t="shared" si="48"/>
        <v>-0.25747417696656827</v>
      </c>
      <c r="CL37" s="1"/>
      <c r="CM37" s="1">
        <v>0.86890000000000001</v>
      </c>
      <c r="CN37" s="1">
        <f t="shared" si="22"/>
        <v>0.7719015873015872</v>
      </c>
      <c r="CO37" s="1">
        <f t="shared" si="49"/>
        <v>-0.25889821467193691</v>
      </c>
      <c r="CP37" s="1"/>
      <c r="CQ37" s="1">
        <v>0.89249999999999996</v>
      </c>
      <c r="CR37" s="1">
        <f t="shared" si="23"/>
        <v>0.79550158730158715</v>
      </c>
      <c r="CS37" s="1">
        <f t="shared" si="50"/>
        <v>-0.22878243585545383</v>
      </c>
      <c r="CT37" s="1"/>
      <c r="CU37" s="1">
        <v>0.91069999999999995</v>
      </c>
      <c r="CV37" s="1">
        <f t="shared" si="24"/>
        <v>0.81370158730158715</v>
      </c>
      <c r="CW37" s="1">
        <f t="shared" si="51"/>
        <v>-0.2061615805605394</v>
      </c>
      <c r="CX37" s="1"/>
      <c r="CY37" s="1">
        <v>0.91520000000000001</v>
      </c>
      <c r="CZ37" s="1">
        <f t="shared" si="25"/>
        <v>0.81820158730158721</v>
      </c>
      <c r="DA37" s="1">
        <f t="shared" si="52"/>
        <v>-0.20064653349655834</v>
      </c>
      <c r="DB37" s="1"/>
      <c r="DC37" s="1">
        <v>0.91959999999999997</v>
      </c>
      <c r="DD37" s="1">
        <f t="shared" si="26"/>
        <v>0.82260158730158717</v>
      </c>
      <c r="DE37">
        <f t="shared" si="53"/>
        <v>-0.19528329357232474</v>
      </c>
    </row>
    <row r="38" spans="2:109" x14ac:dyDescent="0.2"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</row>
    <row r="42" spans="2:109" x14ac:dyDescent="0.2">
      <c r="D42" s="27" t="s">
        <v>216</v>
      </c>
      <c r="E42">
        <v>9.6998412698412792E-2</v>
      </c>
    </row>
    <row r="64" ht="16" thickBot="1" x14ac:dyDescent="0.25"/>
    <row r="65" spans="2:31" ht="16" thickBot="1" x14ac:dyDescent="0.25">
      <c r="C65" s="9" t="s">
        <v>217</v>
      </c>
      <c r="D65" s="10" t="s">
        <v>218</v>
      </c>
      <c r="E65" s="10" t="s">
        <v>219</v>
      </c>
      <c r="F65" s="10" t="s">
        <v>220</v>
      </c>
      <c r="G65" s="10" t="s">
        <v>221</v>
      </c>
      <c r="H65" s="10" t="s">
        <v>222</v>
      </c>
      <c r="I65" s="10" t="s">
        <v>223</v>
      </c>
      <c r="J65" s="10" t="s">
        <v>224</v>
      </c>
      <c r="K65" s="11" t="s">
        <v>225</v>
      </c>
      <c r="M65" s="24" t="s">
        <v>226</v>
      </c>
      <c r="N65" s="25" t="s">
        <v>227</v>
      </c>
      <c r="O65" s="25" t="s">
        <v>228</v>
      </c>
      <c r="P65" s="25" t="s">
        <v>229</v>
      </c>
      <c r="Q65" s="25" t="s">
        <v>230</v>
      </c>
      <c r="R65" s="25" t="s">
        <v>231</v>
      </c>
      <c r="S65" s="25" t="s">
        <v>232</v>
      </c>
      <c r="T65" s="25" t="s">
        <v>233</v>
      </c>
      <c r="U65" s="26" t="s">
        <v>234</v>
      </c>
      <c r="W65" s="24" t="s">
        <v>235</v>
      </c>
      <c r="X65" s="25" t="s">
        <v>236</v>
      </c>
      <c r="Y65" s="25" t="s">
        <v>237</v>
      </c>
      <c r="Z65" s="25" t="s">
        <v>238</v>
      </c>
      <c r="AA65" s="25" t="s">
        <v>239</v>
      </c>
      <c r="AB65" s="25" t="s">
        <v>240</v>
      </c>
      <c r="AC65" s="25" t="s">
        <v>241</v>
      </c>
      <c r="AD65" s="25" t="s">
        <v>242</v>
      </c>
      <c r="AE65" s="26" t="s">
        <v>243</v>
      </c>
    </row>
    <row r="66" spans="2:31" x14ac:dyDescent="0.2">
      <c r="B66" s="27" t="s">
        <v>244</v>
      </c>
      <c r="C66">
        <f>(E17-E12)/(B17-B12)</f>
        <v>0.94060955874837748</v>
      </c>
      <c r="D66">
        <f>(I17-I12)/(B17-B12)</f>
        <v>1.0896854036655399</v>
      </c>
      <c r="E66">
        <f>(M17-M12)/(B17-B12)</f>
        <v>1.1457681133598359</v>
      </c>
      <c r="F66">
        <f>(Q17-Q12)/(B17-B12)</f>
        <v>1.0383003845505725</v>
      </c>
      <c r="G66">
        <f>(U17-U12)/(B17-B12)</f>
        <v>1.2673065323777235</v>
      </c>
      <c r="H66">
        <f>(Y17-Y12)/(B17-B12)</f>
        <v>1.1513224336545091</v>
      </c>
      <c r="I66">
        <f>(AC17-AC12)/(B17-B12)</f>
        <v>1.2458006964025143</v>
      </c>
      <c r="J66">
        <f>(AG17-AG12)/(B17-B12)</f>
        <v>1.2202282016096995</v>
      </c>
      <c r="K66">
        <f>(AK17-AK12)/(B17-B12)</f>
        <v>1.1700429729507353</v>
      </c>
      <c r="M66">
        <f>(AO17-AO12)/(B17-B12)</f>
        <v>0.95586954979250238</v>
      </c>
      <c r="N66">
        <f>(AS17-AS12)/(B17-B12)</f>
        <v>1.1149448629732857</v>
      </c>
      <c r="O66">
        <f>(AW17-AW12)/(B17-B12)</f>
        <v>1.1487136120501951</v>
      </c>
      <c r="P66">
        <f>(BA17-BA12)/(B17-B12)</f>
        <v>1.0853429598893691</v>
      </c>
      <c r="Q66">
        <f>(BE17-BE12)/(B17-B12)</f>
        <v>1.2889801710805771</v>
      </c>
    </row>
    <row r="67" spans="2:31" x14ac:dyDescent="0.2">
      <c r="B67" s="27" t="s">
        <v>245</v>
      </c>
      <c r="C67">
        <f>LN(2)/C66</f>
        <v>0.73691275419556856</v>
      </c>
      <c r="D67">
        <f>LN(2)/D66</f>
        <v>0.63609843559278767</v>
      </c>
      <c r="E67">
        <f t="shared" ref="E67:K67" si="54">LN(2)/E66</f>
        <v>0.60496288252198716</v>
      </c>
      <c r="F67">
        <f t="shared" si="54"/>
        <v>0.66757866112124531</v>
      </c>
      <c r="G67">
        <f t="shared" si="54"/>
        <v>0.54694516508130109</v>
      </c>
      <c r="H67">
        <f t="shared" si="54"/>
        <v>0.60204436246392656</v>
      </c>
      <c r="I67">
        <f t="shared" si="54"/>
        <v>0.5563868944378817</v>
      </c>
      <c r="J67">
        <f t="shared" si="54"/>
        <v>0.56804717318085263</v>
      </c>
      <c r="K67">
        <f t="shared" si="54"/>
        <v>0.59241172895718097</v>
      </c>
    </row>
    <row r="68" spans="2:31" x14ac:dyDescent="0.2">
      <c r="B68" s="27" t="s">
        <v>246</v>
      </c>
      <c r="C68">
        <f>C67*60</f>
        <v>44.214765251734114</v>
      </c>
      <c r="D68">
        <f>D67*60</f>
        <v>38.165906135567262</v>
      </c>
      <c r="E68">
        <f t="shared" ref="E68:K68" si="55">E67*60</f>
        <v>36.297772951319232</v>
      </c>
      <c r="F68">
        <f t="shared" si="55"/>
        <v>40.054719667274718</v>
      </c>
      <c r="G68">
        <f t="shared" si="55"/>
        <v>32.816709904878067</v>
      </c>
      <c r="H68">
        <f t="shared" si="55"/>
        <v>36.122661747835593</v>
      </c>
      <c r="I68">
        <f t="shared" si="55"/>
        <v>33.383213666272901</v>
      </c>
      <c r="J68">
        <f t="shared" si="55"/>
        <v>34.082830390851157</v>
      </c>
      <c r="K68">
        <f t="shared" si="55"/>
        <v>35.544703737430858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 sheet</vt:lpstr>
      <vt:lpstr>Sheet2</vt:lpstr>
      <vt:lpstr>OD																													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Annika Hofmann</cp:lastModifiedBy>
  <dcterms:created xsi:type="dcterms:W3CDTF">2025-10-23T01:57:26Z</dcterms:created>
  <dcterms:modified xsi:type="dcterms:W3CDTF">2025-10-23T03:44:21Z</dcterms:modified>
</cp:coreProperties>
</file>