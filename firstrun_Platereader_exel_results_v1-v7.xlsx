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2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3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4.xml" ContentType="application/vnd.openxmlformats-officedocument.drawing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ika/Documents/Plate reader/"/>
    </mc:Choice>
  </mc:AlternateContent>
  <xr:revisionPtr revIDLastSave="0" documentId="13_ncr:1_{F9B83342-7D7A-0A49-98AA-0C30D769E11E}" xr6:coauthVersionLast="47" xr6:coauthVersionMax="47" xr10:uidLastSave="{00000000-0000-0000-0000-000000000000}"/>
  <bookViews>
    <workbookView xWindow="160" yWindow="920" windowWidth="29080" windowHeight="16960" activeTab="1" xr2:uid="{00000000-000D-0000-FFFF-FFFF00000000}"/>
  </bookViews>
  <sheets>
    <sheet name="Result sheet" sheetId="1" r:id="rId1"/>
    <sheet name="Sheet1" sheetId="8" r:id="rId2"/>
    <sheet name="Sheet2" sheetId="7" r:id="rId3"/>
    <sheet name="OD" sheetId="2" r:id="rId4"/>
    <sheet name="Sheet6" sheetId="3" r:id="rId5"/>
    <sheet name="GFP" sheetId="4" r:id="rId6"/>
    <sheet name="Sheet4" sheetId="5" r:id="rId7"/>
    <sheet name="Sheet5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4" l="1"/>
  <c r="B58" i="3"/>
  <c r="B57" i="3"/>
  <c r="C57" i="3"/>
  <c r="B56" i="3"/>
  <c r="E99" i="6"/>
  <c r="D99" i="6"/>
  <c r="C99" i="6"/>
  <c r="DU88" i="4"/>
  <c r="DT88" i="4"/>
  <c r="DS88" i="4"/>
  <c r="DR88" i="4"/>
  <c r="R10" i="5"/>
  <c r="R12" i="5"/>
  <c r="BQ5" i="5"/>
  <c r="BL5" i="5"/>
  <c r="BL6" i="5"/>
  <c r="BL7" i="5"/>
  <c r="BL8" i="5"/>
  <c r="BL9" i="5"/>
  <c r="BL10" i="5"/>
  <c r="BL11" i="5"/>
  <c r="BL12" i="5"/>
  <c r="BL13" i="5"/>
  <c r="BL14" i="5"/>
  <c r="BL15" i="5"/>
  <c r="BL16" i="5"/>
  <c r="BL17" i="5"/>
  <c r="BL18" i="5"/>
  <c r="BL19" i="5"/>
  <c r="BL20" i="5"/>
  <c r="BL21" i="5"/>
  <c r="BL22" i="5"/>
  <c r="BL23" i="5"/>
  <c r="BL24" i="5"/>
  <c r="BL25" i="5"/>
  <c r="BL26" i="5"/>
  <c r="BL27" i="5"/>
  <c r="BL28" i="5"/>
  <c r="BL29" i="5"/>
  <c r="BL30" i="5"/>
  <c r="BL31" i="5"/>
  <c r="BL32" i="5"/>
  <c r="BL33" i="5"/>
  <c r="BL34" i="5"/>
  <c r="BL35" i="5"/>
  <c r="BL36" i="5"/>
  <c r="BL37" i="5"/>
  <c r="BL38" i="5"/>
  <c r="BL39" i="5"/>
  <c r="BK5" i="5"/>
  <c r="BQ6" i="5"/>
  <c r="BQ7" i="5"/>
  <c r="BQ8" i="5"/>
  <c r="BQ9" i="5"/>
  <c r="BQ10" i="5"/>
  <c r="BQ11" i="5"/>
  <c r="BQ12" i="5"/>
  <c r="BQ13" i="5"/>
  <c r="BQ14" i="5"/>
  <c r="BQ15" i="5"/>
  <c r="BQ16" i="5"/>
  <c r="BQ17" i="5"/>
  <c r="BQ18" i="5"/>
  <c r="BQ19" i="5"/>
  <c r="BQ20" i="5"/>
  <c r="BQ21" i="5"/>
  <c r="BQ22" i="5"/>
  <c r="BQ23" i="5"/>
  <c r="BQ24" i="5"/>
  <c r="BQ25" i="5"/>
  <c r="BQ26" i="5"/>
  <c r="BQ27" i="5"/>
  <c r="BQ28" i="5"/>
  <c r="BQ29" i="5"/>
  <c r="BQ30" i="5"/>
  <c r="BQ31" i="5"/>
  <c r="BQ32" i="5"/>
  <c r="BQ33" i="5"/>
  <c r="BQ34" i="5"/>
  <c r="BQ35" i="5"/>
  <c r="BQ36" i="5"/>
  <c r="BQ37" i="5"/>
  <c r="BQ38" i="5"/>
  <c r="BQ39" i="5"/>
  <c r="BG6" i="5"/>
  <c r="BG7" i="5"/>
  <c r="BG8" i="5"/>
  <c r="BG9" i="5"/>
  <c r="BG10" i="5"/>
  <c r="BG11" i="5"/>
  <c r="BG12" i="5"/>
  <c r="BG13" i="5"/>
  <c r="BG14" i="5"/>
  <c r="BG15" i="5"/>
  <c r="BG16" i="5"/>
  <c r="BG17" i="5"/>
  <c r="BG18" i="5"/>
  <c r="BG19" i="5"/>
  <c r="BG20" i="5"/>
  <c r="BG21" i="5"/>
  <c r="BG22" i="5"/>
  <c r="BG23" i="5"/>
  <c r="BG24" i="5"/>
  <c r="BG25" i="5"/>
  <c r="BG26" i="5"/>
  <c r="BG27" i="5"/>
  <c r="BG28" i="5"/>
  <c r="BG29" i="5"/>
  <c r="BG30" i="5"/>
  <c r="BG31" i="5"/>
  <c r="BG32" i="5"/>
  <c r="BG33" i="5"/>
  <c r="BG34" i="5"/>
  <c r="BG35" i="5"/>
  <c r="BG36" i="5"/>
  <c r="BG37" i="5"/>
  <c r="BG38" i="5"/>
  <c r="BG39" i="5"/>
  <c r="BG5" i="5"/>
  <c r="AG6" i="5"/>
  <c r="AG7" i="5"/>
  <c r="AG8" i="5"/>
  <c r="AG9" i="5"/>
  <c r="AJ9" i="5" s="1"/>
  <c r="AK9" i="5" s="1"/>
  <c r="AG10" i="5"/>
  <c r="AJ10" i="5" s="1"/>
  <c r="AK10" i="5" s="1"/>
  <c r="AG11" i="5"/>
  <c r="AJ11" i="5" s="1"/>
  <c r="AK11" i="5" s="1"/>
  <c r="AG12" i="5"/>
  <c r="AJ12" i="5" s="1"/>
  <c r="AK12" i="5" s="1"/>
  <c r="AG13" i="5"/>
  <c r="AJ13" i="5" s="1"/>
  <c r="AK13" i="5" s="1"/>
  <c r="AG14" i="5"/>
  <c r="AG15" i="5"/>
  <c r="AG16" i="5"/>
  <c r="AJ16" i="5" s="1"/>
  <c r="AK16" i="5" s="1"/>
  <c r="AG17" i="5"/>
  <c r="AJ17" i="5" s="1"/>
  <c r="AK17" i="5" s="1"/>
  <c r="AG18" i="5"/>
  <c r="AJ18" i="5" s="1"/>
  <c r="AK18" i="5" s="1"/>
  <c r="AG19" i="5"/>
  <c r="AJ19" i="5" s="1"/>
  <c r="AK19" i="5" s="1"/>
  <c r="AG20" i="5"/>
  <c r="AJ20" i="5" s="1"/>
  <c r="AK20" i="5" s="1"/>
  <c r="AG21" i="5"/>
  <c r="AJ21" i="5" s="1"/>
  <c r="AK21" i="5" s="1"/>
  <c r="AG22" i="5"/>
  <c r="AG23" i="5"/>
  <c r="AG24" i="5"/>
  <c r="AG25" i="5"/>
  <c r="AJ25" i="5" s="1"/>
  <c r="AK25" i="5" s="1"/>
  <c r="AG26" i="5"/>
  <c r="AJ26" i="5" s="1"/>
  <c r="AK26" i="5" s="1"/>
  <c r="AG27" i="5"/>
  <c r="AJ27" i="5" s="1"/>
  <c r="AK27" i="5" s="1"/>
  <c r="AG28" i="5"/>
  <c r="AJ28" i="5" s="1"/>
  <c r="AK28" i="5" s="1"/>
  <c r="AG29" i="5"/>
  <c r="AJ29" i="5" s="1"/>
  <c r="AK29" i="5" s="1"/>
  <c r="AG30" i="5"/>
  <c r="AG31" i="5"/>
  <c r="AG32" i="5"/>
  <c r="AJ32" i="5" s="1"/>
  <c r="AK32" i="5" s="1"/>
  <c r="AG33" i="5"/>
  <c r="AJ33" i="5" s="1"/>
  <c r="AK33" i="5" s="1"/>
  <c r="AG34" i="5"/>
  <c r="AJ34" i="5" s="1"/>
  <c r="AK34" i="5" s="1"/>
  <c r="AG35" i="5"/>
  <c r="AJ35" i="5" s="1"/>
  <c r="AK35" i="5" s="1"/>
  <c r="AG36" i="5"/>
  <c r="AJ36" i="5" s="1"/>
  <c r="AK36" i="5" s="1"/>
  <c r="AG37" i="5"/>
  <c r="AJ37" i="5" s="1"/>
  <c r="AK37" i="5" s="1"/>
  <c r="AG38" i="5"/>
  <c r="AG39" i="5"/>
  <c r="AG5" i="5"/>
  <c r="AA5" i="5"/>
  <c r="AD5" i="5"/>
  <c r="AE5" i="5" s="1"/>
  <c r="EJ5" i="5"/>
  <c r="EL5" i="5" s="1"/>
  <c r="DP5" i="5"/>
  <c r="DR5" i="5" s="1"/>
  <c r="DP6" i="5"/>
  <c r="DR6" i="5" s="1"/>
  <c r="DK6" i="5"/>
  <c r="DM6" i="5" s="1"/>
  <c r="DK5" i="5"/>
  <c r="DM5" i="5" s="1"/>
  <c r="EJ6" i="5"/>
  <c r="EL6" i="5" s="1"/>
  <c r="EJ7" i="5"/>
  <c r="EL7" i="5" s="1"/>
  <c r="EJ8" i="5"/>
  <c r="EL8" i="5" s="1"/>
  <c r="EJ9" i="5"/>
  <c r="EL9" i="5" s="1"/>
  <c r="EJ10" i="5"/>
  <c r="EL10" i="5" s="1"/>
  <c r="EJ11" i="5"/>
  <c r="EL11" i="5" s="1"/>
  <c r="EJ12" i="5"/>
  <c r="EL12" i="5" s="1"/>
  <c r="EJ13" i="5"/>
  <c r="EL13" i="5" s="1"/>
  <c r="EJ14" i="5"/>
  <c r="EL14" i="5" s="1"/>
  <c r="EJ15" i="5"/>
  <c r="EL15" i="5" s="1"/>
  <c r="EJ16" i="5"/>
  <c r="EL16" i="5" s="1"/>
  <c r="EJ17" i="5"/>
  <c r="EL17" i="5" s="1"/>
  <c r="EJ18" i="5"/>
  <c r="EL18" i="5" s="1"/>
  <c r="EJ19" i="5"/>
  <c r="EL19" i="5" s="1"/>
  <c r="EJ20" i="5"/>
  <c r="EL20" i="5" s="1"/>
  <c r="EJ21" i="5"/>
  <c r="EL21" i="5" s="1"/>
  <c r="EJ22" i="5"/>
  <c r="EL22" i="5" s="1"/>
  <c r="EJ23" i="5"/>
  <c r="EL23" i="5" s="1"/>
  <c r="EJ24" i="5"/>
  <c r="EL24" i="5" s="1"/>
  <c r="EJ25" i="5"/>
  <c r="EL25" i="5" s="1"/>
  <c r="EJ26" i="5"/>
  <c r="EL26" i="5" s="1"/>
  <c r="EJ27" i="5"/>
  <c r="EL27" i="5" s="1"/>
  <c r="EJ28" i="5"/>
  <c r="EL28" i="5" s="1"/>
  <c r="EJ29" i="5"/>
  <c r="EL29" i="5" s="1"/>
  <c r="EJ30" i="5"/>
  <c r="EL30" i="5" s="1"/>
  <c r="EJ31" i="5"/>
  <c r="EL31" i="5" s="1"/>
  <c r="EJ32" i="5"/>
  <c r="EL32" i="5" s="1"/>
  <c r="EJ33" i="5"/>
  <c r="EL33" i="5" s="1"/>
  <c r="EJ34" i="5"/>
  <c r="EL34" i="5" s="1"/>
  <c r="EJ35" i="5"/>
  <c r="EL35" i="5" s="1"/>
  <c r="EJ36" i="5"/>
  <c r="EL36" i="5" s="1"/>
  <c r="EJ37" i="5"/>
  <c r="EL37" i="5" s="1"/>
  <c r="EJ38" i="5"/>
  <c r="EL38" i="5" s="1"/>
  <c r="EJ39" i="5"/>
  <c r="EL39" i="5" s="1"/>
  <c r="EE6" i="5"/>
  <c r="EG6" i="5" s="1"/>
  <c r="EE7" i="5"/>
  <c r="EG7" i="5" s="1"/>
  <c r="EE8" i="5"/>
  <c r="EG8" i="5" s="1"/>
  <c r="EE9" i="5"/>
  <c r="EG9" i="5" s="1"/>
  <c r="EE10" i="5"/>
  <c r="EG10" i="5" s="1"/>
  <c r="EE11" i="5"/>
  <c r="EG11" i="5" s="1"/>
  <c r="EE12" i="5"/>
  <c r="EG12" i="5" s="1"/>
  <c r="EE13" i="5"/>
  <c r="EG13" i="5" s="1"/>
  <c r="EE14" i="5"/>
  <c r="EG14" i="5" s="1"/>
  <c r="EE15" i="5"/>
  <c r="EG15" i="5" s="1"/>
  <c r="EE16" i="5"/>
  <c r="EG16" i="5" s="1"/>
  <c r="EE17" i="5"/>
  <c r="EG17" i="5" s="1"/>
  <c r="EE18" i="5"/>
  <c r="EG18" i="5" s="1"/>
  <c r="EE19" i="5"/>
  <c r="EG19" i="5" s="1"/>
  <c r="EE20" i="5"/>
  <c r="EG20" i="5" s="1"/>
  <c r="EE21" i="5"/>
  <c r="EG21" i="5" s="1"/>
  <c r="EE22" i="5"/>
  <c r="EG22" i="5" s="1"/>
  <c r="EE23" i="5"/>
  <c r="EG23" i="5" s="1"/>
  <c r="EE24" i="5"/>
  <c r="EG24" i="5" s="1"/>
  <c r="EE25" i="5"/>
  <c r="EG25" i="5" s="1"/>
  <c r="EE26" i="5"/>
  <c r="EG26" i="5" s="1"/>
  <c r="EE27" i="5"/>
  <c r="EG27" i="5" s="1"/>
  <c r="EE28" i="5"/>
  <c r="EG28" i="5" s="1"/>
  <c r="EE29" i="5"/>
  <c r="EG29" i="5" s="1"/>
  <c r="EE30" i="5"/>
  <c r="EG30" i="5" s="1"/>
  <c r="EE31" i="5"/>
  <c r="EG31" i="5" s="1"/>
  <c r="EE32" i="5"/>
  <c r="EG32" i="5" s="1"/>
  <c r="EE33" i="5"/>
  <c r="EG33" i="5" s="1"/>
  <c r="EE34" i="5"/>
  <c r="EG34" i="5" s="1"/>
  <c r="EE35" i="5"/>
  <c r="EG35" i="5" s="1"/>
  <c r="EE36" i="5"/>
  <c r="EG36" i="5" s="1"/>
  <c r="EE37" i="5"/>
  <c r="EG37" i="5" s="1"/>
  <c r="EE38" i="5"/>
  <c r="EG38" i="5" s="1"/>
  <c r="EE39" i="5"/>
  <c r="EG39" i="5" s="1"/>
  <c r="EE5" i="5"/>
  <c r="EG5" i="5" s="1"/>
  <c r="DU6" i="5"/>
  <c r="DW6" i="5" s="1"/>
  <c r="DU7" i="5"/>
  <c r="DW7" i="5" s="1"/>
  <c r="DU8" i="5"/>
  <c r="DW8" i="5" s="1"/>
  <c r="DU9" i="5"/>
  <c r="DW9" i="5" s="1"/>
  <c r="DU10" i="5"/>
  <c r="DW10" i="5" s="1"/>
  <c r="DU11" i="5"/>
  <c r="DW11" i="5" s="1"/>
  <c r="DU12" i="5"/>
  <c r="DW12" i="5" s="1"/>
  <c r="DU13" i="5"/>
  <c r="DW13" i="5" s="1"/>
  <c r="DU14" i="5"/>
  <c r="DW14" i="5" s="1"/>
  <c r="DU15" i="5"/>
  <c r="DW15" i="5" s="1"/>
  <c r="DU16" i="5"/>
  <c r="DW16" i="5" s="1"/>
  <c r="DU17" i="5"/>
  <c r="DW17" i="5" s="1"/>
  <c r="DU18" i="5"/>
  <c r="DW18" i="5" s="1"/>
  <c r="DU19" i="5"/>
  <c r="DW19" i="5" s="1"/>
  <c r="DU20" i="5"/>
  <c r="DW20" i="5" s="1"/>
  <c r="DU21" i="5"/>
  <c r="DW21" i="5" s="1"/>
  <c r="DU22" i="5"/>
  <c r="DW22" i="5" s="1"/>
  <c r="DU23" i="5"/>
  <c r="DW23" i="5" s="1"/>
  <c r="DU24" i="5"/>
  <c r="DW24" i="5" s="1"/>
  <c r="DU25" i="5"/>
  <c r="DW25" i="5" s="1"/>
  <c r="DU26" i="5"/>
  <c r="DW26" i="5" s="1"/>
  <c r="DU27" i="5"/>
  <c r="DW27" i="5" s="1"/>
  <c r="DU28" i="5"/>
  <c r="DW28" i="5" s="1"/>
  <c r="DU29" i="5"/>
  <c r="DW29" i="5" s="1"/>
  <c r="DU30" i="5"/>
  <c r="DW30" i="5" s="1"/>
  <c r="DU31" i="5"/>
  <c r="DW31" i="5" s="1"/>
  <c r="DU32" i="5"/>
  <c r="DW32" i="5" s="1"/>
  <c r="DU33" i="5"/>
  <c r="DW33" i="5" s="1"/>
  <c r="DU34" i="5"/>
  <c r="DW34" i="5" s="1"/>
  <c r="DU35" i="5"/>
  <c r="DW35" i="5" s="1"/>
  <c r="DU36" i="5"/>
  <c r="DW36" i="5" s="1"/>
  <c r="DU37" i="5"/>
  <c r="DW37" i="5" s="1"/>
  <c r="DU38" i="5"/>
  <c r="DW38" i="5" s="1"/>
  <c r="DU39" i="5"/>
  <c r="DW39" i="5" s="1"/>
  <c r="DU5" i="5"/>
  <c r="DW5" i="5" s="1"/>
  <c r="DP7" i="5"/>
  <c r="DR7" i="5" s="1"/>
  <c r="DP8" i="5"/>
  <c r="DR8" i="5" s="1"/>
  <c r="DP9" i="5"/>
  <c r="DR9" i="5" s="1"/>
  <c r="DP10" i="5"/>
  <c r="DR10" i="5" s="1"/>
  <c r="DP11" i="5"/>
  <c r="DR11" i="5" s="1"/>
  <c r="DP12" i="5"/>
  <c r="DR12" i="5" s="1"/>
  <c r="DP13" i="5"/>
  <c r="DR13" i="5" s="1"/>
  <c r="DP14" i="5"/>
  <c r="DR14" i="5" s="1"/>
  <c r="DP15" i="5"/>
  <c r="DR15" i="5" s="1"/>
  <c r="DP16" i="5"/>
  <c r="DR16" i="5" s="1"/>
  <c r="DP17" i="5"/>
  <c r="DR17" i="5" s="1"/>
  <c r="DP18" i="5"/>
  <c r="DR18" i="5" s="1"/>
  <c r="DP19" i="5"/>
  <c r="DR19" i="5" s="1"/>
  <c r="DP20" i="5"/>
  <c r="DR20" i="5" s="1"/>
  <c r="DP21" i="5"/>
  <c r="DR21" i="5" s="1"/>
  <c r="DP22" i="5"/>
  <c r="DR22" i="5" s="1"/>
  <c r="DP23" i="5"/>
  <c r="DR23" i="5" s="1"/>
  <c r="DP24" i="5"/>
  <c r="DR24" i="5" s="1"/>
  <c r="DP25" i="5"/>
  <c r="DR25" i="5" s="1"/>
  <c r="DP26" i="5"/>
  <c r="DR26" i="5" s="1"/>
  <c r="DP27" i="5"/>
  <c r="DR27" i="5" s="1"/>
  <c r="DP28" i="5"/>
  <c r="DR28" i="5" s="1"/>
  <c r="DP29" i="5"/>
  <c r="DR29" i="5" s="1"/>
  <c r="DP30" i="5"/>
  <c r="DR30" i="5" s="1"/>
  <c r="DP31" i="5"/>
  <c r="DR31" i="5" s="1"/>
  <c r="DP32" i="5"/>
  <c r="DR32" i="5" s="1"/>
  <c r="DP33" i="5"/>
  <c r="DR33" i="5" s="1"/>
  <c r="DP34" i="5"/>
  <c r="DR34" i="5" s="1"/>
  <c r="DP35" i="5"/>
  <c r="DR35" i="5" s="1"/>
  <c r="DP36" i="5"/>
  <c r="DR36" i="5" s="1"/>
  <c r="DP37" i="5"/>
  <c r="DR37" i="5" s="1"/>
  <c r="DP38" i="5"/>
  <c r="DR38" i="5" s="1"/>
  <c r="DP39" i="5"/>
  <c r="DR39" i="5" s="1"/>
  <c r="DK7" i="5"/>
  <c r="DM7" i="5" s="1"/>
  <c r="DK8" i="5"/>
  <c r="DM8" i="5" s="1"/>
  <c r="DK9" i="5"/>
  <c r="DM9" i="5" s="1"/>
  <c r="DK10" i="5"/>
  <c r="DM10" i="5" s="1"/>
  <c r="DK11" i="5"/>
  <c r="DM11" i="5" s="1"/>
  <c r="DK12" i="5"/>
  <c r="DM12" i="5" s="1"/>
  <c r="DK13" i="5"/>
  <c r="DM13" i="5" s="1"/>
  <c r="DK14" i="5"/>
  <c r="DM14" i="5" s="1"/>
  <c r="DK15" i="5"/>
  <c r="DM15" i="5" s="1"/>
  <c r="DK16" i="5"/>
  <c r="DM16" i="5" s="1"/>
  <c r="DK17" i="5"/>
  <c r="DM17" i="5" s="1"/>
  <c r="DK18" i="5"/>
  <c r="DM18" i="5" s="1"/>
  <c r="DK19" i="5"/>
  <c r="DM19" i="5" s="1"/>
  <c r="DK20" i="5"/>
  <c r="DM20" i="5" s="1"/>
  <c r="DK21" i="5"/>
  <c r="DM21" i="5" s="1"/>
  <c r="DK22" i="5"/>
  <c r="DM22" i="5" s="1"/>
  <c r="DK23" i="5"/>
  <c r="DM23" i="5" s="1"/>
  <c r="DK24" i="5"/>
  <c r="DM24" i="5" s="1"/>
  <c r="DK25" i="5"/>
  <c r="DM25" i="5" s="1"/>
  <c r="DK26" i="5"/>
  <c r="DM26" i="5" s="1"/>
  <c r="DK27" i="5"/>
  <c r="DM27" i="5" s="1"/>
  <c r="DK28" i="5"/>
  <c r="DM28" i="5" s="1"/>
  <c r="DK29" i="5"/>
  <c r="DM29" i="5" s="1"/>
  <c r="DK30" i="5"/>
  <c r="DM30" i="5" s="1"/>
  <c r="DK31" i="5"/>
  <c r="DM31" i="5" s="1"/>
  <c r="DK32" i="5"/>
  <c r="DM32" i="5" s="1"/>
  <c r="DK33" i="5"/>
  <c r="DM33" i="5" s="1"/>
  <c r="DK34" i="5"/>
  <c r="DM34" i="5" s="1"/>
  <c r="DK35" i="5"/>
  <c r="DM35" i="5" s="1"/>
  <c r="DK36" i="5"/>
  <c r="DM36" i="5" s="1"/>
  <c r="DK37" i="5"/>
  <c r="DM37" i="5" s="1"/>
  <c r="DK38" i="5"/>
  <c r="DM38" i="5" s="1"/>
  <c r="DK39" i="5"/>
  <c r="DM39" i="5" s="1"/>
  <c r="DF5" i="5"/>
  <c r="DH5" i="5" s="1"/>
  <c r="DF6" i="5"/>
  <c r="DH6" i="5" s="1"/>
  <c r="DF7" i="5"/>
  <c r="DH7" i="5" s="1"/>
  <c r="DF8" i="5"/>
  <c r="DH8" i="5" s="1"/>
  <c r="DF9" i="5"/>
  <c r="DH9" i="5" s="1"/>
  <c r="DF10" i="5"/>
  <c r="DH10" i="5" s="1"/>
  <c r="DF11" i="5"/>
  <c r="DH11" i="5" s="1"/>
  <c r="DF12" i="5"/>
  <c r="DH12" i="5" s="1"/>
  <c r="DF13" i="5"/>
  <c r="DH13" i="5" s="1"/>
  <c r="DF14" i="5"/>
  <c r="DH14" i="5" s="1"/>
  <c r="DF15" i="5"/>
  <c r="DH15" i="5" s="1"/>
  <c r="DF16" i="5"/>
  <c r="DH16" i="5" s="1"/>
  <c r="DF17" i="5"/>
  <c r="DH17" i="5" s="1"/>
  <c r="DF18" i="5"/>
  <c r="DH18" i="5" s="1"/>
  <c r="DF19" i="5"/>
  <c r="DH19" i="5" s="1"/>
  <c r="DF20" i="5"/>
  <c r="DH20" i="5" s="1"/>
  <c r="DF21" i="5"/>
  <c r="DH21" i="5" s="1"/>
  <c r="DF22" i="5"/>
  <c r="DH22" i="5" s="1"/>
  <c r="DF23" i="5"/>
  <c r="DH23" i="5" s="1"/>
  <c r="DF24" i="5"/>
  <c r="DH24" i="5" s="1"/>
  <c r="DF25" i="5"/>
  <c r="DH25" i="5" s="1"/>
  <c r="DF26" i="5"/>
  <c r="DH26" i="5" s="1"/>
  <c r="DF27" i="5"/>
  <c r="DH27" i="5" s="1"/>
  <c r="DF28" i="5"/>
  <c r="DH28" i="5" s="1"/>
  <c r="DF29" i="5"/>
  <c r="DH29" i="5" s="1"/>
  <c r="DF30" i="5"/>
  <c r="DH30" i="5" s="1"/>
  <c r="DF31" i="5"/>
  <c r="DH31" i="5" s="1"/>
  <c r="DF32" i="5"/>
  <c r="DH32" i="5" s="1"/>
  <c r="DF33" i="5"/>
  <c r="DH33" i="5" s="1"/>
  <c r="DF34" i="5"/>
  <c r="DH34" i="5" s="1"/>
  <c r="DF35" i="5"/>
  <c r="DH35" i="5" s="1"/>
  <c r="DF36" i="5"/>
  <c r="DH36" i="5" s="1"/>
  <c r="DF37" i="5"/>
  <c r="DH37" i="5" s="1"/>
  <c r="DF38" i="5"/>
  <c r="DH38" i="5" s="1"/>
  <c r="DF39" i="5"/>
  <c r="DH39" i="5" s="1"/>
  <c r="DA6" i="5"/>
  <c r="DC6" i="5" s="1"/>
  <c r="DA7" i="5"/>
  <c r="DC7" i="5" s="1"/>
  <c r="DA8" i="5"/>
  <c r="DC8" i="5" s="1"/>
  <c r="DA9" i="5"/>
  <c r="DC9" i="5" s="1"/>
  <c r="DA10" i="5"/>
  <c r="DC10" i="5" s="1"/>
  <c r="DA11" i="5"/>
  <c r="DC11" i="5" s="1"/>
  <c r="DA12" i="5"/>
  <c r="DC12" i="5" s="1"/>
  <c r="DA13" i="5"/>
  <c r="DC13" i="5" s="1"/>
  <c r="DA14" i="5"/>
  <c r="DC14" i="5" s="1"/>
  <c r="DA15" i="5"/>
  <c r="DC15" i="5" s="1"/>
  <c r="DA16" i="5"/>
  <c r="DC16" i="5" s="1"/>
  <c r="DA17" i="5"/>
  <c r="DC17" i="5" s="1"/>
  <c r="DA18" i="5"/>
  <c r="DC18" i="5" s="1"/>
  <c r="DA19" i="5"/>
  <c r="DC19" i="5" s="1"/>
  <c r="DA20" i="5"/>
  <c r="DC20" i="5" s="1"/>
  <c r="DA21" i="5"/>
  <c r="DC21" i="5" s="1"/>
  <c r="DA22" i="5"/>
  <c r="DC22" i="5" s="1"/>
  <c r="DA23" i="5"/>
  <c r="DC23" i="5" s="1"/>
  <c r="DA24" i="5"/>
  <c r="DC24" i="5" s="1"/>
  <c r="DA25" i="5"/>
  <c r="DC25" i="5" s="1"/>
  <c r="DA26" i="5"/>
  <c r="DC26" i="5" s="1"/>
  <c r="DA27" i="5"/>
  <c r="DC27" i="5" s="1"/>
  <c r="DA28" i="5"/>
  <c r="DC28" i="5" s="1"/>
  <c r="DA29" i="5"/>
  <c r="DC29" i="5" s="1"/>
  <c r="DA30" i="5"/>
  <c r="DC30" i="5" s="1"/>
  <c r="DA31" i="5"/>
  <c r="DC31" i="5" s="1"/>
  <c r="DA32" i="5"/>
  <c r="DC32" i="5" s="1"/>
  <c r="DA33" i="5"/>
  <c r="DC33" i="5" s="1"/>
  <c r="DA34" i="5"/>
  <c r="DC34" i="5" s="1"/>
  <c r="DA35" i="5"/>
  <c r="DC35" i="5" s="1"/>
  <c r="DA36" i="5"/>
  <c r="DC36" i="5" s="1"/>
  <c r="DA37" i="5"/>
  <c r="DC37" i="5" s="1"/>
  <c r="DA38" i="5"/>
  <c r="DC38" i="5" s="1"/>
  <c r="DA39" i="5"/>
  <c r="DC39" i="5" s="1"/>
  <c r="DA5" i="5"/>
  <c r="DC5" i="5" s="1"/>
  <c r="CV6" i="5"/>
  <c r="CX6" i="5" s="1"/>
  <c r="CV7" i="5"/>
  <c r="CX7" i="5" s="1"/>
  <c r="CV8" i="5"/>
  <c r="CX8" i="5" s="1"/>
  <c r="CV9" i="5"/>
  <c r="CX9" i="5" s="1"/>
  <c r="CV10" i="5"/>
  <c r="CX10" i="5" s="1"/>
  <c r="CV11" i="5"/>
  <c r="CX11" i="5" s="1"/>
  <c r="CV12" i="5"/>
  <c r="CX12" i="5" s="1"/>
  <c r="CV13" i="5"/>
  <c r="CX13" i="5" s="1"/>
  <c r="CV14" i="5"/>
  <c r="CX14" i="5" s="1"/>
  <c r="CV15" i="5"/>
  <c r="CX15" i="5" s="1"/>
  <c r="CV16" i="5"/>
  <c r="CX16" i="5" s="1"/>
  <c r="CV17" i="5"/>
  <c r="CX17" i="5" s="1"/>
  <c r="CV18" i="5"/>
  <c r="CX18" i="5" s="1"/>
  <c r="CV19" i="5"/>
  <c r="CX19" i="5" s="1"/>
  <c r="CV20" i="5"/>
  <c r="CX20" i="5" s="1"/>
  <c r="CV21" i="5"/>
  <c r="CX21" i="5" s="1"/>
  <c r="CV22" i="5"/>
  <c r="CX22" i="5" s="1"/>
  <c r="CV23" i="5"/>
  <c r="CX23" i="5" s="1"/>
  <c r="CV24" i="5"/>
  <c r="CX24" i="5" s="1"/>
  <c r="CV25" i="5"/>
  <c r="CX25" i="5" s="1"/>
  <c r="CV26" i="5"/>
  <c r="CX26" i="5" s="1"/>
  <c r="CV27" i="5"/>
  <c r="CX27" i="5" s="1"/>
  <c r="CV28" i="5"/>
  <c r="CX28" i="5" s="1"/>
  <c r="CV29" i="5"/>
  <c r="CX29" i="5" s="1"/>
  <c r="CV30" i="5"/>
  <c r="CX30" i="5" s="1"/>
  <c r="CV31" i="5"/>
  <c r="CX31" i="5" s="1"/>
  <c r="CV32" i="5"/>
  <c r="CX32" i="5" s="1"/>
  <c r="CV33" i="5"/>
  <c r="CX33" i="5" s="1"/>
  <c r="CV34" i="5"/>
  <c r="CX34" i="5" s="1"/>
  <c r="CV35" i="5"/>
  <c r="CX35" i="5" s="1"/>
  <c r="CV36" i="5"/>
  <c r="CX36" i="5" s="1"/>
  <c r="CV37" i="5"/>
  <c r="CX37" i="5" s="1"/>
  <c r="CV38" i="5"/>
  <c r="CX38" i="5" s="1"/>
  <c r="CV39" i="5"/>
  <c r="CX39" i="5" s="1"/>
  <c r="CV5" i="5"/>
  <c r="CX5" i="5" s="1"/>
  <c r="CR6" i="5"/>
  <c r="CT6" i="5" s="1"/>
  <c r="CR7" i="5"/>
  <c r="CT7" i="5" s="1"/>
  <c r="CR8" i="5"/>
  <c r="CT8" i="5" s="1"/>
  <c r="CR9" i="5"/>
  <c r="CT9" i="5" s="1"/>
  <c r="CR10" i="5"/>
  <c r="CT10" i="5" s="1"/>
  <c r="CR11" i="5"/>
  <c r="CT11" i="5" s="1"/>
  <c r="CR12" i="5"/>
  <c r="CT12" i="5" s="1"/>
  <c r="CR13" i="5"/>
  <c r="CT13" i="5" s="1"/>
  <c r="CR14" i="5"/>
  <c r="CT14" i="5" s="1"/>
  <c r="CR15" i="5"/>
  <c r="CT15" i="5" s="1"/>
  <c r="CR16" i="5"/>
  <c r="CT16" i="5" s="1"/>
  <c r="CR17" i="5"/>
  <c r="CT17" i="5" s="1"/>
  <c r="CR18" i="5"/>
  <c r="CT18" i="5" s="1"/>
  <c r="CR19" i="5"/>
  <c r="CT19" i="5" s="1"/>
  <c r="CR20" i="5"/>
  <c r="CT20" i="5" s="1"/>
  <c r="CR21" i="5"/>
  <c r="CT21" i="5" s="1"/>
  <c r="CR22" i="5"/>
  <c r="CT22" i="5" s="1"/>
  <c r="CR23" i="5"/>
  <c r="CT23" i="5" s="1"/>
  <c r="CR24" i="5"/>
  <c r="CT24" i="5" s="1"/>
  <c r="CR25" i="5"/>
  <c r="CT25" i="5" s="1"/>
  <c r="CR26" i="5"/>
  <c r="CT26" i="5" s="1"/>
  <c r="CR27" i="5"/>
  <c r="CT27" i="5" s="1"/>
  <c r="CR28" i="5"/>
  <c r="CT28" i="5" s="1"/>
  <c r="CR29" i="5"/>
  <c r="CT29" i="5" s="1"/>
  <c r="CR30" i="5"/>
  <c r="CT30" i="5" s="1"/>
  <c r="CR31" i="5"/>
  <c r="CT31" i="5" s="1"/>
  <c r="CR32" i="5"/>
  <c r="CT32" i="5" s="1"/>
  <c r="CR33" i="5"/>
  <c r="CT33" i="5" s="1"/>
  <c r="CR34" i="5"/>
  <c r="CT34" i="5" s="1"/>
  <c r="CR35" i="5"/>
  <c r="CT35" i="5" s="1"/>
  <c r="CR36" i="5"/>
  <c r="CT36" i="5" s="1"/>
  <c r="CR37" i="5"/>
  <c r="CT37" i="5" s="1"/>
  <c r="CR38" i="5"/>
  <c r="CT38" i="5" s="1"/>
  <c r="CR39" i="5"/>
  <c r="CT39" i="5" s="1"/>
  <c r="CR5" i="5"/>
  <c r="CT5" i="5" s="1"/>
  <c r="CM5" i="5"/>
  <c r="CO5" i="5" s="1"/>
  <c r="CO7" i="5"/>
  <c r="CO6" i="5"/>
  <c r="CO8" i="5"/>
  <c r="CO9" i="5"/>
  <c r="CO10" i="5"/>
  <c r="CO11" i="5"/>
  <c r="CO12" i="5"/>
  <c r="CO13" i="5"/>
  <c r="CO14" i="5"/>
  <c r="CO15" i="5"/>
  <c r="CO16" i="5"/>
  <c r="CO17" i="5"/>
  <c r="CO18" i="5"/>
  <c r="CO19" i="5"/>
  <c r="CO20" i="5"/>
  <c r="CO21" i="5"/>
  <c r="CO22" i="5"/>
  <c r="CO23" i="5"/>
  <c r="CO24" i="5"/>
  <c r="CO25" i="5"/>
  <c r="CO26" i="5"/>
  <c r="CO27" i="5"/>
  <c r="CO28" i="5"/>
  <c r="CO29" i="5"/>
  <c r="CO30" i="5"/>
  <c r="CO31" i="5"/>
  <c r="CO32" i="5"/>
  <c r="CO33" i="5"/>
  <c r="CO34" i="5"/>
  <c r="CO35" i="5"/>
  <c r="CO36" i="5"/>
  <c r="CO37" i="5"/>
  <c r="CO38" i="5"/>
  <c r="CO39" i="5"/>
  <c r="CC6" i="5"/>
  <c r="CE6" i="5" s="1"/>
  <c r="CC7" i="5"/>
  <c r="CE7" i="5" s="1"/>
  <c r="CC8" i="5"/>
  <c r="CE8" i="5" s="1"/>
  <c r="CC9" i="5"/>
  <c r="CE9" i="5" s="1"/>
  <c r="CC10" i="5"/>
  <c r="CE10" i="5" s="1"/>
  <c r="CC11" i="5"/>
  <c r="CE11" i="5" s="1"/>
  <c r="CC12" i="5"/>
  <c r="CE12" i="5" s="1"/>
  <c r="CC13" i="5"/>
  <c r="CE13" i="5" s="1"/>
  <c r="CC14" i="5"/>
  <c r="CE14" i="5" s="1"/>
  <c r="CC15" i="5"/>
  <c r="CE15" i="5" s="1"/>
  <c r="CC16" i="5"/>
  <c r="CE16" i="5" s="1"/>
  <c r="CC17" i="5"/>
  <c r="CE17" i="5" s="1"/>
  <c r="CC18" i="5"/>
  <c r="CE18" i="5" s="1"/>
  <c r="CC19" i="5"/>
  <c r="CE19" i="5" s="1"/>
  <c r="CC20" i="5"/>
  <c r="CE20" i="5" s="1"/>
  <c r="CC21" i="5"/>
  <c r="CE21" i="5" s="1"/>
  <c r="CC22" i="5"/>
  <c r="CE22" i="5" s="1"/>
  <c r="CC23" i="5"/>
  <c r="CE23" i="5" s="1"/>
  <c r="CC24" i="5"/>
  <c r="CE24" i="5" s="1"/>
  <c r="CC25" i="5"/>
  <c r="CE25" i="5" s="1"/>
  <c r="CC26" i="5"/>
  <c r="CE26" i="5" s="1"/>
  <c r="CC27" i="5"/>
  <c r="CE27" i="5" s="1"/>
  <c r="CC28" i="5"/>
  <c r="CE28" i="5" s="1"/>
  <c r="CC29" i="5"/>
  <c r="CE29" i="5" s="1"/>
  <c r="CC30" i="5"/>
  <c r="CE30" i="5" s="1"/>
  <c r="CC31" i="5"/>
  <c r="CE31" i="5" s="1"/>
  <c r="CC32" i="5"/>
  <c r="CE32" i="5" s="1"/>
  <c r="CC33" i="5"/>
  <c r="CE33" i="5" s="1"/>
  <c r="CC34" i="5"/>
  <c r="CE34" i="5" s="1"/>
  <c r="CC35" i="5"/>
  <c r="CE35" i="5" s="1"/>
  <c r="CC36" i="5"/>
  <c r="CE36" i="5" s="1"/>
  <c r="CC37" i="5"/>
  <c r="CE37" i="5" s="1"/>
  <c r="CC38" i="5"/>
  <c r="CE38" i="5" s="1"/>
  <c r="CC39" i="5"/>
  <c r="CE39" i="5" s="1"/>
  <c r="CC5" i="5"/>
  <c r="CE5" i="5" s="1"/>
  <c r="BX5" i="5"/>
  <c r="BZ5" i="5" s="1"/>
  <c r="BS5" i="5"/>
  <c r="BU5" i="5" s="1"/>
  <c r="BN6" i="5"/>
  <c r="BP6" i="5" s="1"/>
  <c r="BN7" i="5"/>
  <c r="BP7" i="5" s="1"/>
  <c r="BN8" i="5"/>
  <c r="BP8" i="5" s="1"/>
  <c r="BN9" i="5"/>
  <c r="BP9" i="5" s="1"/>
  <c r="BN10" i="5"/>
  <c r="BP10" i="5" s="1"/>
  <c r="BN11" i="5"/>
  <c r="BP11" i="5" s="1"/>
  <c r="BN12" i="5"/>
  <c r="BP12" i="5" s="1"/>
  <c r="BN13" i="5"/>
  <c r="BP13" i="5" s="1"/>
  <c r="BN14" i="5"/>
  <c r="BP14" i="5" s="1"/>
  <c r="BN15" i="5"/>
  <c r="BP15" i="5" s="1"/>
  <c r="BN16" i="5"/>
  <c r="BP16" i="5" s="1"/>
  <c r="BN17" i="5"/>
  <c r="BP17" i="5" s="1"/>
  <c r="BN18" i="5"/>
  <c r="BP18" i="5" s="1"/>
  <c r="BN19" i="5"/>
  <c r="BP19" i="5" s="1"/>
  <c r="BN20" i="5"/>
  <c r="BP20" i="5" s="1"/>
  <c r="BN21" i="5"/>
  <c r="BP21" i="5" s="1"/>
  <c r="BN22" i="5"/>
  <c r="BP22" i="5" s="1"/>
  <c r="BN23" i="5"/>
  <c r="BP23" i="5" s="1"/>
  <c r="BN24" i="5"/>
  <c r="BP24" i="5" s="1"/>
  <c r="BN25" i="5"/>
  <c r="BP25" i="5" s="1"/>
  <c r="BN26" i="5"/>
  <c r="BP26" i="5" s="1"/>
  <c r="BN27" i="5"/>
  <c r="BP27" i="5" s="1"/>
  <c r="BN28" i="5"/>
  <c r="BP28" i="5" s="1"/>
  <c r="BN29" i="5"/>
  <c r="BP29" i="5" s="1"/>
  <c r="BN30" i="5"/>
  <c r="BP30" i="5" s="1"/>
  <c r="BN31" i="5"/>
  <c r="BP31" i="5" s="1"/>
  <c r="BN32" i="5"/>
  <c r="BP32" i="5" s="1"/>
  <c r="BN33" i="5"/>
  <c r="BP33" i="5" s="1"/>
  <c r="BN34" i="5"/>
  <c r="BP34" i="5" s="1"/>
  <c r="BN35" i="5"/>
  <c r="BP35" i="5" s="1"/>
  <c r="BN36" i="5"/>
  <c r="BP36" i="5" s="1"/>
  <c r="BN37" i="5"/>
  <c r="BP37" i="5" s="1"/>
  <c r="BN38" i="5"/>
  <c r="BP38" i="5" s="1"/>
  <c r="BN39" i="5"/>
  <c r="BP39" i="5" s="1"/>
  <c r="BN5" i="5"/>
  <c r="BP5" i="5" s="1"/>
  <c r="BI6" i="5"/>
  <c r="BK6" i="5" s="1"/>
  <c r="BI7" i="5"/>
  <c r="BK7" i="5" s="1"/>
  <c r="BI8" i="5"/>
  <c r="BK8" i="5" s="1"/>
  <c r="BI9" i="5"/>
  <c r="BK9" i="5" s="1"/>
  <c r="BI10" i="5"/>
  <c r="BK10" i="5" s="1"/>
  <c r="BI11" i="5"/>
  <c r="BK11" i="5" s="1"/>
  <c r="BI12" i="5"/>
  <c r="BK12" i="5" s="1"/>
  <c r="BI13" i="5"/>
  <c r="BK13" i="5" s="1"/>
  <c r="BI14" i="5"/>
  <c r="BK14" i="5" s="1"/>
  <c r="BI15" i="5"/>
  <c r="BK15" i="5" s="1"/>
  <c r="BI16" i="5"/>
  <c r="BK16" i="5" s="1"/>
  <c r="BI17" i="5"/>
  <c r="BK17" i="5" s="1"/>
  <c r="BI18" i="5"/>
  <c r="BK18" i="5" s="1"/>
  <c r="BI19" i="5"/>
  <c r="BK19" i="5" s="1"/>
  <c r="BI20" i="5"/>
  <c r="BK20" i="5" s="1"/>
  <c r="BI21" i="5"/>
  <c r="BK21" i="5" s="1"/>
  <c r="BI22" i="5"/>
  <c r="BK22" i="5" s="1"/>
  <c r="BI23" i="5"/>
  <c r="BK23" i="5" s="1"/>
  <c r="BI24" i="5"/>
  <c r="BK24" i="5" s="1"/>
  <c r="BI25" i="5"/>
  <c r="BK25" i="5" s="1"/>
  <c r="BI26" i="5"/>
  <c r="BK26" i="5" s="1"/>
  <c r="BI27" i="5"/>
  <c r="BK27" i="5" s="1"/>
  <c r="BI28" i="5"/>
  <c r="BK28" i="5" s="1"/>
  <c r="BI29" i="5"/>
  <c r="BK29" i="5" s="1"/>
  <c r="BI30" i="5"/>
  <c r="BK30" i="5" s="1"/>
  <c r="BI31" i="5"/>
  <c r="BK31" i="5" s="1"/>
  <c r="BI32" i="5"/>
  <c r="BK32" i="5" s="1"/>
  <c r="BI33" i="5"/>
  <c r="BK33" i="5" s="1"/>
  <c r="BI34" i="5"/>
  <c r="BK34" i="5" s="1"/>
  <c r="BI35" i="5"/>
  <c r="BK35" i="5" s="1"/>
  <c r="BI36" i="5"/>
  <c r="BK36" i="5" s="1"/>
  <c r="BI37" i="5"/>
  <c r="BK37" i="5" s="1"/>
  <c r="BI38" i="5"/>
  <c r="BK38" i="5" s="1"/>
  <c r="BI39" i="5"/>
  <c r="BK39" i="5" s="1"/>
  <c r="BI5" i="5"/>
  <c r="BS6" i="5"/>
  <c r="BU6" i="5" s="1"/>
  <c r="BS7" i="5"/>
  <c r="BU7" i="5" s="1"/>
  <c r="BS8" i="5"/>
  <c r="BU8" i="5" s="1"/>
  <c r="BS9" i="5"/>
  <c r="BU9" i="5" s="1"/>
  <c r="BS10" i="5"/>
  <c r="BU10" i="5" s="1"/>
  <c r="BS11" i="5"/>
  <c r="BU11" i="5" s="1"/>
  <c r="BS12" i="5"/>
  <c r="BU12" i="5" s="1"/>
  <c r="BS13" i="5"/>
  <c r="BU13" i="5" s="1"/>
  <c r="BS14" i="5"/>
  <c r="BU14" i="5" s="1"/>
  <c r="BS15" i="5"/>
  <c r="BU15" i="5" s="1"/>
  <c r="BS16" i="5"/>
  <c r="BS17" i="5"/>
  <c r="BS18" i="5"/>
  <c r="BS19" i="5"/>
  <c r="BU19" i="5" s="1"/>
  <c r="BS20" i="5"/>
  <c r="BU20" i="5" s="1"/>
  <c r="BS21" i="5"/>
  <c r="BU21" i="5" s="1"/>
  <c r="BS22" i="5"/>
  <c r="BU22" i="5" s="1"/>
  <c r="BS23" i="5"/>
  <c r="BU23" i="5" s="1"/>
  <c r="BS24" i="5"/>
  <c r="BU24" i="5" s="1"/>
  <c r="BS25" i="5"/>
  <c r="BU25" i="5" s="1"/>
  <c r="BS26" i="5"/>
  <c r="BU26" i="5" s="1"/>
  <c r="BS27" i="5"/>
  <c r="BU27" i="5" s="1"/>
  <c r="BS28" i="5"/>
  <c r="BU28" i="5" s="1"/>
  <c r="BS29" i="5"/>
  <c r="BU29" i="5" s="1"/>
  <c r="BS30" i="5"/>
  <c r="BU30" i="5" s="1"/>
  <c r="BS31" i="5"/>
  <c r="BU31" i="5" s="1"/>
  <c r="BS32" i="5"/>
  <c r="BU32" i="5" s="1"/>
  <c r="BS33" i="5"/>
  <c r="BU33" i="5" s="1"/>
  <c r="BS34" i="5"/>
  <c r="BU34" i="5" s="1"/>
  <c r="BS35" i="5"/>
  <c r="BU35" i="5" s="1"/>
  <c r="BS36" i="5"/>
  <c r="BU36" i="5" s="1"/>
  <c r="BS37" i="5"/>
  <c r="BU37" i="5" s="1"/>
  <c r="BS38" i="5"/>
  <c r="BU38" i="5" s="1"/>
  <c r="BS39" i="5"/>
  <c r="BU39" i="5" s="1"/>
  <c r="BU16" i="5"/>
  <c r="BU17" i="5"/>
  <c r="BU18" i="5"/>
  <c r="BX6" i="5"/>
  <c r="BZ6" i="5" s="1"/>
  <c r="BX7" i="5"/>
  <c r="BZ7" i="5" s="1"/>
  <c r="BX8" i="5"/>
  <c r="BZ8" i="5" s="1"/>
  <c r="BX9" i="5"/>
  <c r="BZ9" i="5" s="1"/>
  <c r="BX10" i="5"/>
  <c r="BZ10" i="5" s="1"/>
  <c r="BX11" i="5"/>
  <c r="BZ11" i="5" s="1"/>
  <c r="BX12" i="5"/>
  <c r="BZ12" i="5" s="1"/>
  <c r="BX13" i="5"/>
  <c r="BZ13" i="5" s="1"/>
  <c r="BX14" i="5"/>
  <c r="BZ14" i="5" s="1"/>
  <c r="BX15" i="5"/>
  <c r="BZ15" i="5" s="1"/>
  <c r="BX16" i="5"/>
  <c r="BZ16" i="5" s="1"/>
  <c r="BX17" i="5"/>
  <c r="BZ17" i="5" s="1"/>
  <c r="BX18" i="5"/>
  <c r="BZ18" i="5" s="1"/>
  <c r="BX19" i="5"/>
  <c r="BZ19" i="5" s="1"/>
  <c r="BX20" i="5"/>
  <c r="BZ20" i="5" s="1"/>
  <c r="BX21" i="5"/>
  <c r="BZ21" i="5" s="1"/>
  <c r="BX22" i="5"/>
  <c r="BZ22" i="5" s="1"/>
  <c r="BX23" i="5"/>
  <c r="BZ23" i="5" s="1"/>
  <c r="BX24" i="5"/>
  <c r="BZ24" i="5" s="1"/>
  <c r="BX25" i="5"/>
  <c r="BZ25" i="5" s="1"/>
  <c r="BX26" i="5"/>
  <c r="BZ26" i="5" s="1"/>
  <c r="BX27" i="5"/>
  <c r="BZ27" i="5" s="1"/>
  <c r="BX28" i="5"/>
  <c r="BZ28" i="5" s="1"/>
  <c r="BX29" i="5"/>
  <c r="BZ29" i="5" s="1"/>
  <c r="BX30" i="5"/>
  <c r="BZ30" i="5" s="1"/>
  <c r="BX31" i="5"/>
  <c r="BZ31" i="5" s="1"/>
  <c r="BX32" i="5"/>
  <c r="BZ32" i="5" s="1"/>
  <c r="BX33" i="5"/>
  <c r="BZ33" i="5" s="1"/>
  <c r="BX34" i="5"/>
  <c r="BZ34" i="5" s="1"/>
  <c r="BX35" i="5"/>
  <c r="BZ35" i="5" s="1"/>
  <c r="BX36" i="5"/>
  <c r="BZ36" i="5" s="1"/>
  <c r="BX37" i="5"/>
  <c r="BZ37" i="5" s="1"/>
  <c r="BX38" i="5"/>
  <c r="BZ38" i="5" s="1"/>
  <c r="BX39" i="5"/>
  <c r="BZ39" i="5" s="1"/>
  <c r="BC6" i="5"/>
  <c r="BE6" i="5" s="1"/>
  <c r="BF6" i="5" s="1"/>
  <c r="BC7" i="5"/>
  <c r="BE7" i="5" s="1"/>
  <c r="BF7" i="5" s="1"/>
  <c r="BC8" i="5"/>
  <c r="BE8" i="5" s="1"/>
  <c r="BF8" i="5" s="1"/>
  <c r="BC9" i="5"/>
  <c r="BE9" i="5" s="1"/>
  <c r="BF9" i="5" s="1"/>
  <c r="BC10" i="5"/>
  <c r="BE10" i="5" s="1"/>
  <c r="BF10" i="5" s="1"/>
  <c r="BC11" i="5"/>
  <c r="BE11" i="5" s="1"/>
  <c r="BF11" i="5" s="1"/>
  <c r="BC12" i="5"/>
  <c r="BE12" i="5" s="1"/>
  <c r="BF12" i="5" s="1"/>
  <c r="BC13" i="5"/>
  <c r="BE13" i="5" s="1"/>
  <c r="BF13" i="5" s="1"/>
  <c r="BC14" i="5"/>
  <c r="BE14" i="5" s="1"/>
  <c r="BF14" i="5" s="1"/>
  <c r="BC15" i="5"/>
  <c r="BE15" i="5" s="1"/>
  <c r="BF15" i="5" s="1"/>
  <c r="BC16" i="5"/>
  <c r="BE16" i="5" s="1"/>
  <c r="BF16" i="5" s="1"/>
  <c r="BC17" i="5"/>
  <c r="BE17" i="5" s="1"/>
  <c r="BF17" i="5" s="1"/>
  <c r="BC18" i="5"/>
  <c r="BE18" i="5" s="1"/>
  <c r="BF18" i="5" s="1"/>
  <c r="BC19" i="5"/>
  <c r="BE19" i="5" s="1"/>
  <c r="BF19" i="5" s="1"/>
  <c r="BC20" i="5"/>
  <c r="BE20" i="5" s="1"/>
  <c r="BF20" i="5" s="1"/>
  <c r="BC21" i="5"/>
  <c r="BE21" i="5" s="1"/>
  <c r="BF21" i="5" s="1"/>
  <c r="BC22" i="5"/>
  <c r="BE22" i="5" s="1"/>
  <c r="BF22" i="5" s="1"/>
  <c r="BC23" i="5"/>
  <c r="BE23" i="5" s="1"/>
  <c r="BF23" i="5" s="1"/>
  <c r="BC24" i="5"/>
  <c r="BE24" i="5" s="1"/>
  <c r="BF24" i="5" s="1"/>
  <c r="BC25" i="5"/>
  <c r="BE25" i="5" s="1"/>
  <c r="BF25" i="5" s="1"/>
  <c r="BC26" i="5"/>
  <c r="BE26" i="5" s="1"/>
  <c r="BF26" i="5" s="1"/>
  <c r="BC27" i="5"/>
  <c r="BE27" i="5" s="1"/>
  <c r="BF27" i="5" s="1"/>
  <c r="BC28" i="5"/>
  <c r="BE28" i="5" s="1"/>
  <c r="BF28" i="5" s="1"/>
  <c r="BC29" i="5"/>
  <c r="BE29" i="5" s="1"/>
  <c r="BF29" i="5" s="1"/>
  <c r="BC30" i="5"/>
  <c r="BE30" i="5" s="1"/>
  <c r="BF30" i="5" s="1"/>
  <c r="BC31" i="5"/>
  <c r="BE31" i="5" s="1"/>
  <c r="BF31" i="5" s="1"/>
  <c r="BC32" i="5"/>
  <c r="BE32" i="5" s="1"/>
  <c r="BF32" i="5" s="1"/>
  <c r="BC33" i="5"/>
  <c r="BE33" i="5" s="1"/>
  <c r="BF33" i="5" s="1"/>
  <c r="BC34" i="5"/>
  <c r="BE34" i="5" s="1"/>
  <c r="BF34" i="5" s="1"/>
  <c r="BC35" i="5"/>
  <c r="BE35" i="5" s="1"/>
  <c r="BF35" i="5" s="1"/>
  <c r="BC36" i="5"/>
  <c r="BE36" i="5" s="1"/>
  <c r="BF36" i="5" s="1"/>
  <c r="BC37" i="5"/>
  <c r="BE37" i="5" s="1"/>
  <c r="BF37" i="5" s="1"/>
  <c r="BC38" i="5"/>
  <c r="BE38" i="5" s="1"/>
  <c r="BF38" i="5" s="1"/>
  <c r="BC39" i="5"/>
  <c r="BE39" i="5" s="1"/>
  <c r="BF39" i="5" s="1"/>
  <c r="BC5" i="5"/>
  <c r="BE5" i="5" s="1"/>
  <c r="BF5" i="5" s="1"/>
  <c r="AW6" i="5"/>
  <c r="AW7" i="5"/>
  <c r="AZ7" i="5" s="1"/>
  <c r="BA7" i="5" s="1"/>
  <c r="AW8" i="5"/>
  <c r="AZ8" i="5" s="1"/>
  <c r="BA8" i="5" s="1"/>
  <c r="AW9" i="5"/>
  <c r="AZ9" i="5" s="1"/>
  <c r="BA9" i="5" s="1"/>
  <c r="AW10" i="5"/>
  <c r="AZ10" i="5" s="1"/>
  <c r="BA10" i="5" s="1"/>
  <c r="AW11" i="5"/>
  <c r="AW12" i="5"/>
  <c r="AW13" i="5"/>
  <c r="AZ13" i="5" s="1"/>
  <c r="BA13" i="5" s="1"/>
  <c r="AW14" i="5"/>
  <c r="AW15" i="5"/>
  <c r="AZ15" i="5" s="1"/>
  <c r="BA15" i="5" s="1"/>
  <c r="AW16" i="5"/>
  <c r="AZ16" i="5" s="1"/>
  <c r="BA16" i="5" s="1"/>
  <c r="AW17" i="5"/>
  <c r="AZ17" i="5" s="1"/>
  <c r="BA17" i="5" s="1"/>
  <c r="AW18" i="5"/>
  <c r="AZ18" i="5" s="1"/>
  <c r="BA18" i="5" s="1"/>
  <c r="AW19" i="5"/>
  <c r="AW20" i="5"/>
  <c r="AZ20" i="5" s="1"/>
  <c r="BA20" i="5" s="1"/>
  <c r="AW21" i="5"/>
  <c r="AW22" i="5"/>
  <c r="AW23" i="5"/>
  <c r="AZ23" i="5" s="1"/>
  <c r="BA23" i="5" s="1"/>
  <c r="AW24" i="5"/>
  <c r="AZ24" i="5" s="1"/>
  <c r="BA24" i="5" s="1"/>
  <c r="AW25" i="5"/>
  <c r="AZ25" i="5" s="1"/>
  <c r="BA25" i="5" s="1"/>
  <c r="AW26" i="5"/>
  <c r="AZ26" i="5" s="1"/>
  <c r="BA26" i="5" s="1"/>
  <c r="AW27" i="5"/>
  <c r="AW28" i="5"/>
  <c r="AW29" i="5"/>
  <c r="AZ29" i="5" s="1"/>
  <c r="BA29" i="5" s="1"/>
  <c r="AW30" i="5"/>
  <c r="AW31" i="5"/>
  <c r="AZ31" i="5" s="1"/>
  <c r="BA31" i="5" s="1"/>
  <c r="AW32" i="5"/>
  <c r="AZ32" i="5" s="1"/>
  <c r="BA32" i="5" s="1"/>
  <c r="AW33" i="5"/>
  <c r="AZ33" i="5" s="1"/>
  <c r="BA33" i="5" s="1"/>
  <c r="AW34" i="5"/>
  <c r="AZ34" i="5" s="1"/>
  <c r="BA34" i="5" s="1"/>
  <c r="AW35" i="5"/>
  <c r="AW36" i="5"/>
  <c r="AW37" i="5"/>
  <c r="AW38" i="5"/>
  <c r="AW39" i="5"/>
  <c r="AZ39" i="5" s="1"/>
  <c r="BA39" i="5" s="1"/>
  <c r="AW5" i="5"/>
  <c r="AZ5" i="5" s="1"/>
  <c r="BA5" i="5" s="1"/>
  <c r="AS6" i="5"/>
  <c r="AU6" i="5" s="1"/>
  <c r="AS7" i="5"/>
  <c r="AU7" i="5" s="1"/>
  <c r="AS8" i="5"/>
  <c r="AU8" i="5" s="1"/>
  <c r="AS9" i="5"/>
  <c r="AU9" i="5" s="1"/>
  <c r="AS10" i="5"/>
  <c r="AU10" i="5" s="1"/>
  <c r="AS11" i="5"/>
  <c r="AS12" i="5"/>
  <c r="AU12" i="5" s="1"/>
  <c r="AS13" i="5"/>
  <c r="AU13" i="5" s="1"/>
  <c r="AS14" i="5"/>
  <c r="AU14" i="5" s="1"/>
  <c r="AS15" i="5"/>
  <c r="AU15" i="5" s="1"/>
  <c r="AS16" i="5"/>
  <c r="AU16" i="5" s="1"/>
  <c r="AS17" i="5"/>
  <c r="AU17" i="5" s="1"/>
  <c r="AS18" i="5"/>
  <c r="AU18" i="5" s="1"/>
  <c r="AS19" i="5"/>
  <c r="AS20" i="5"/>
  <c r="AU20" i="5" s="1"/>
  <c r="AS21" i="5"/>
  <c r="AU21" i="5" s="1"/>
  <c r="AS22" i="5"/>
  <c r="AU22" i="5" s="1"/>
  <c r="AS23" i="5"/>
  <c r="AU23" i="5" s="1"/>
  <c r="AS24" i="5"/>
  <c r="AU24" i="5" s="1"/>
  <c r="AS25" i="5"/>
  <c r="AU25" i="5" s="1"/>
  <c r="AS26" i="5"/>
  <c r="AU26" i="5" s="1"/>
  <c r="AS27" i="5"/>
  <c r="AS28" i="5"/>
  <c r="AU28" i="5" s="1"/>
  <c r="AS29" i="5"/>
  <c r="AU29" i="5" s="1"/>
  <c r="AS30" i="5"/>
  <c r="AU30" i="5" s="1"/>
  <c r="AS31" i="5"/>
  <c r="AU31" i="5" s="1"/>
  <c r="AS32" i="5"/>
  <c r="AU32" i="5" s="1"/>
  <c r="AS33" i="5"/>
  <c r="AU33" i="5" s="1"/>
  <c r="AS34" i="5"/>
  <c r="AU34" i="5" s="1"/>
  <c r="AS35" i="5"/>
  <c r="AS36" i="5"/>
  <c r="AU36" i="5" s="1"/>
  <c r="AS37" i="5"/>
  <c r="AU37" i="5" s="1"/>
  <c r="AS38" i="5"/>
  <c r="AU38" i="5" s="1"/>
  <c r="AS39" i="5"/>
  <c r="AU39" i="5" s="1"/>
  <c r="AS5" i="5"/>
  <c r="AU5" i="5" s="1"/>
  <c r="AJ5" i="5"/>
  <c r="AK5" i="5" s="1"/>
  <c r="AA6" i="5"/>
  <c r="AD6" i="5" s="1"/>
  <c r="AE6" i="5" s="1"/>
  <c r="AA7" i="5"/>
  <c r="AD7" i="5" s="1"/>
  <c r="AE7" i="5" s="1"/>
  <c r="AA8" i="5"/>
  <c r="AD8" i="5" s="1"/>
  <c r="AE8" i="5" s="1"/>
  <c r="AA9" i="5"/>
  <c r="AD9" i="5" s="1"/>
  <c r="AE9" i="5" s="1"/>
  <c r="AA10" i="5"/>
  <c r="AD10" i="5" s="1"/>
  <c r="AE10" i="5" s="1"/>
  <c r="AA11" i="5"/>
  <c r="AD11" i="5" s="1"/>
  <c r="AE11" i="5" s="1"/>
  <c r="AA12" i="5"/>
  <c r="AD12" i="5" s="1"/>
  <c r="AE12" i="5" s="1"/>
  <c r="AA13" i="5"/>
  <c r="AD13" i="5" s="1"/>
  <c r="AE13" i="5" s="1"/>
  <c r="AA14" i="5"/>
  <c r="AD14" i="5" s="1"/>
  <c r="AE14" i="5" s="1"/>
  <c r="AA15" i="5"/>
  <c r="AD15" i="5" s="1"/>
  <c r="AE15" i="5" s="1"/>
  <c r="AA16" i="5"/>
  <c r="AD16" i="5" s="1"/>
  <c r="AE16" i="5" s="1"/>
  <c r="AA17" i="5"/>
  <c r="AD17" i="5" s="1"/>
  <c r="AE17" i="5" s="1"/>
  <c r="AA18" i="5"/>
  <c r="AD18" i="5" s="1"/>
  <c r="AE18" i="5" s="1"/>
  <c r="AA19" i="5"/>
  <c r="AD19" i="5" s="1"/>
  <c r="AE19" i="5" s="1"/>
  <c r="AA20" i="5"/>
  <c r="AD20" i="5" s="1"/>
  <c r="AE20" i="5" s="1"/>
  <c r="AA21" i="5"/>
  <c r="AD21" i="5" s="1"/>
  <c r="AE21" i="5" s="1"/>
  <c r="AA22" i="5"/>
  <c r="AD22" i="5" s="1"/>
  <c r="AE22" i="5" s="1"/>
  <c r="AA23" i="5"/>
  <c r="AD23" i="5" s="1"/>
  <c r="AE23" i="5" s="1"/>
  <c r="AA24" i="5"/>
  <c r="AD24" i="5" s="1"/>
  <c r="AE24" i="5" s="1"/>
  <c r="AA25" i="5"/>
  <c r="AD25" i="5" s="1"/>
  <c r="AE25" i="5" s="1"/>
  <c r="AA26" i="5"/>
  <c r="AD26" i="5" s="1"/>
  <c r="AE26" i="5" s="1"/>
  <c r="AA27" i="5"/>
  <c r="AD27" i="5" s="1"/>
  <c r="AE27" i="5" s="1"/>
  <c r="AA28" i="5"/>
  <c r="AD28" i="5" s="1"/>
  <c r="AE28" i="5" s="1"/>
  <c r="AA29" i="5"/>
  <c r="AD29" i="5" s="1"/>
  <c r="AE29" i="5" s="1"/>
  <c r="AA30" i="5"/>
  <c r="AD30" i="5" s="1"/>
  <c r="AE30" i="5" s="1"/>
  <c r="AA31" i="5"/>
  <c r="AD31" i="5" s="1"/>
  <c r="AE31" i="5" s="1"/>
  <c r="AA32" i="5"/>
  <c r="AD32" i="5" s="1"/>
  <c r="AE32" i="5" s="1"/>
  <c r="AA33" i="5"/>
  <c r="AD33" i="5" s="1"/>
  <c r="AE33" i="5" s="1"/>
  <c r="AA34" i="5"/>
  <c r="AD34" i="5" s="1"/>
  <c r="AE34" i="5" s="1"/>
  <c r="AA35" i="5"/>
  <c r="AD35" i="5" s="1"/>
  <c r="AE35" i="5" s="1"/>
  <c r="AA36" i="5"/>
  <c r="AD36" i="5" s="1"/>
  <c r="AE36" i="5" s="1"/>
  <c r="AA37" i="5"/>
  <c r="AD37" i="5" s="1"/>
  <c r="AE37" i="5" s="1"/>
  <c r="AA38" i="5"/>
  <c r="AD38" i="5" s="1"/>
  <c r="AE38" i="5" s="1"/>
  <c r="AA39" i="5"/>
  <c r="AD39" i="5" s="1"/>
  <c r="AE39" i="5" s="1"/>
  <c r="U6" i="5"/>
  <c r="X6" i="5" s="1"/>
  <c r="Y6" i="5" s="1"/>
  <c r="U7" i="5"/>
  <c r="X7" i="5" s="1"/>
  <c r="Y7" i="5" s="1"/>
  <c r="U8" i="5"/>
  <c r="X8" i="5" s="1"/>
  <c r="Y8" i="5" s="1"/>
  <c r="U9" i="5"/>
  <c r="X9" i="5" s="1"/>
  <c r="Y9" i="5" s="1"/>
  <c r="U10" i="5"/>
  <c r="X10" i="5" s="1"/>
  <c r="Y10" i="5" s="1"/>
  <c r="U11" i="5"/>
  <c r="X11" i="5" s="1"/>
  <c r="Y11" i="5" s="1"/>
  <c r="U12" i="5"/>
  <c r="X12" i="5" s="1"/>
  <c r="Y12" i="5" s="1"/>
  <c r="U13" i="5"/>
  <c r="X13" i="5" s="1"/>
  <c r="Y13" i="5" s="1"/>
  <c r="U14" i="5"/>
  <c r="X14" i="5" s="1"/>
  <c r="Y14" i="5" s="1"/>
  <c r="U15" i="5"/>
  <c r="X15" i="5" s="1"/>
  <c r="Y15" i="5" s="1"/>
  <c r="U16" i="5"/>
  <c r="X16" i="5" s="1"/>
  <c r="Y16" i="5" s="1"/>
  <c r="U17" i="5"/>
  <c r="X17" i="5" s="1"/>
  <c r="Y17" i="5" s="1"/>
  <c r="U18" i="5"/>
  <c r="X18" i="5" s="1"/>
  <c r="Y18" i="5" s="1"/>
  <c r="U19" i="5"/>
  <c r="X19" i="5" s="1"/>
  <c r="Y19" i="5" s="1"/>
  <c r="U20" i="5"/>
  <c r="X20" i="5" s="1"/>
  <c r="Y20" i="5" s="1"/>
  <c r="U21" i="5"/>
  <c r="X21" i="5" s="1"/>
  <c r="Y21" i="5" s="1"/>
  <c r="U22" i="5"/>
  <c r="X22" i="5" s="1"/>
  <c r="Y22" i="5" s="1"/>
  <c r="U23" i="5"/>
  <c r="U24" i="5"/>
  <c r="X24" i="5" s="1"/>
  <c r="Y24" i="5" s="1"/>
  <c r="U25" i="5"/>
  <c r="X25" i="5" s="1"/>
  <c r="Y25" i="5" s="1"/>
  <c r="U26" i="5"/>
  <c r="X26" i="5" s="1"/>
  <c r="Y26" i="5" s="1"/>
  <c r="U27" i="5"/>
  <c r="X27" i="5" s="1"/>
  <c r="Y27" i="5" s="1"/>
  <c r="U28" i="5"/>
  <c r="X28" i="5" s="1"/>
  <c r="Y28" i="5" s="1"/>
  <c r="U29" i="5"/>
  <c r="X29" i="5" s="1"/>
  <c r="Y29" i="5" s="1"/>
  <c r="U30" i="5"/>
  <c r="X30" i="5" s="1"/>
  <c r="Y30" i="5" s="1"/>
  <c r="U31" i="5"/>
  <c r="X31" i="5" s="1"/>
  <c r="Y31" i="5" s="1"/>
  <c r="U32" i="5"/>
  <c r="X32" i="5" s="1"/>
  <c r="Y32" i="5" s="1"/>
  <c r="U33" i="5"/>
  <c r="X33" i="5" s="1"/>
  <c r="Y33" i="5" s="1"/>
  <c r="U34" i="5"/>
  <c r="X34" i="5" s="1"/>
  <c r="Y34" i="5" s="1"/>
  <c r="U35" i="5"/>
  <c r="X35" i="5" s="1"/>
  <c r="Y35" i="5" s="1"/>
  <c r="U36" i="5"/>
  <c r="X36" i="5" s="1"/>
  <c r="Y36" i="5" s="1"/>
  <c r="U37" i="5"/>
  <c r="X37" i="5" s="1"/>
  <c r="Y37" i="5" s="1"/>
  <c r="U38" i="5"/>
  <c r="X38" i="5" s="1"/>
  <c r="Y38" i="5" s="1"/>
  <c r="U39" i="5"/>
  <c r="X39" i="5" s="1"/>
  <c r="Y39" i="5" s="1"/>
  <c r="U5" i="5"/>
  <c r="X5" i="5" s="1"/>
  <c r="Y5" i="5" s="1"/>
  <c r="C6" i="5"/>
  <c r="F6" i="5" s="1"/>
  <c r="G6" i="5" s="1"/>
  <c r="C7" i="5"/>
  <c r="F7" i="5" s="1"/>
  <c r="G7" i="5" s="1"/>
  <c r="C8" i="5"/>
  <c r="F8" i="5" s="1"/>
  <c r="G8" i="5" s="1"/>
  <c r="C9" i="5"/>
  <c r="F9" i="5" s="1"/>
  <c r="G9" i="5" s="1"/>
  <c r="C10" i="5"/>
  <c r="F10" i="5" s="1"/>
  <c r="G10" i="5" s="1"/>
  <c r="C11" i="5"/>
  <c r="F11" i="5" s="1"/>
  <c r="G11" i="5" s="1"/>
  <c r="C12" i="5"/>
  <c r="F12" i="5" s="1"/>
  <c r="G12" i="5" s="1"/>
  <c r="C13" i="5"/>
  <c r="F13" i="5" s="1"/>
  <c r="G13" i="5" s="1"/>
  <c r="C14" i="5"/>
  <c r="F14" i="5" s="1"/>
  <c r="G14" i="5" s="1"/>
  <c r="C15" i="5"/>
  <c r="F15" i="5" s="1"/>
  <c r="G15" i="5" s="1"/>
  <c r="C16" i="5"/>
  <c r="F16" i="5" s="1"/>
  <c r="G16" i="5" s="1"/>
  <c r="C17" i="5"/>
  <c r="F17" i="5" s="1"/>
  <c r="G17" i="5" s="1"/>
  <c r="C18" i="5"/>
  <c r="F18" i="5" s="1"/>
  <c r="G18" i="5" s="1"/>
  <c r="C19" i="5"/>
  <c r="F19" i="5" s="1"/>
  <c r="G19" i="5" s="1"/>
  <c r="C20" i="5"/>
  <c r="F20" i="5" s="1"/>
  <c r="G20" i="5" s="1"/>
  <c r="C21" i="5"/>
  <c r="F21" i="5" s="1"/>
  <c r="G21" i="5" s="1"/>
  <c r="C22" i="5"/>
  <c r="F22" i="5" s="1"/>
  <c r="G22" i="5" s="1"/>
  <c r="C23" i="5"/>
  <c r="F23" i="5" s="1"/>
  <c r="G23" i="5" s="1"/>
  <c r="C24" i="5"/>
  <c r="F24" i="5" s="1"/>
  <c r="G24" i="5" s="1"/>
  <c r="C25" i="5"/>
  <c r="F25" i="5" s="1"/>
  <c r="G25" i="5" s="1"/>
  <c r="C26" i="5"/>
  <c r="F26" i="5" s="1"/>
  <c r="G26" i="5" s="1"/>
  <c r="C27" i="5"/>
  <c r="F27" i="5" s="1"/>
  <c r="G27" i="5" s="1"/>
  <c r="C28" i="5"/>
  <c r="F28" i="5" s="1"/>
  <c r="G28" i="5" s="1"/>
  <c r="C29" i="5"/>
  <c r="F29" i="5" s="1"/>
  <c r="G29" i="5" s="1"/>
  <c r="C30" i="5"/>
  <c r="F30" i="5" s="1"/>
  <c r="G30" i="5" s="1"/>
  <c r="C31" i="5"/>
  <c r="F31" i="5" s="1"/>
  <c r="G31" i="5" s="1"/>
  <c r="C32" i="5"/>
  <c r="F32" i="5" s="1"/>
  <c r="G32" i="5" s="1"/>
  <c r="C33" i="5"/>
  <c r="F33" i="5" s="1"/>
  <c r="G33" i="5" s="1"/>
  <c r="C34" i="5"/>
  <c r="F34" i="5" s="1"/>
  <c r="G34" i="5" s="1"/>
  <c r="C35" i="5"/>
  <c r="F35" i="5" s="1"/>
  <c r="G35" i="5" s="1"/>
  <c r="C36" i="5"/>
  <c r="F36" i="5" s="1"/>
  <c r="G36" i="5" s="1"/>
  <c r="C37" i="5"/>
  <c r="F37" i="5" s="1"/>
  <c r="G37" i="5" s="1"/>
  <c r="C38" i="5"/>
  <c r="F38" i="5" s="1"/>
  <c r="G38" i="5" s="1"/>
  <c r="C39" i="5"/>
  <c r="F39" i="5" s="1"/>
  <c r="G39" i="5" s="1"/>
  <c r="C5" i="5"/>
  <c r="F5" i="5" s="1"/>
  <c r="G5" i="5" s="1"/>
  <c r="I6" i="5"/>
  <c r="L6" i="5" s="1"/>
  <c r="M6" i="5" s="1"/>
  <c r="I7" i="5"/>
  <c r="L7" i="5" s="1"/>
  <c r="M7" i="5" s="1"/>
  <c r="I8" i="5"/>
  <c r="L8" i="5" s="1"/>
  <c r="M8" i="5" s="1"/>
  <c r="I9" i="5"/>
  <c r="L9" i="5" s="1"/>
  <c r="M9" i="5" s="1"/>
  <c r="I10" i="5"/>
  <c r="L10" i="5" s="1"/>
  <c r="M10" i="5" s="1"/>
  <c r="I11" i="5"/>
  <c r="L11" i="5" s="1"/>
  <c r="M11" i="5" s="1"/>
  <c r="I12" i="5"/>
  <c r="L12" i="5" s="1"/>
  <c r="M12" i="5" s="1"/>
  <c r="I13" i="5"/>
  <c r="L13" i="5" s="1"/>
  <c r="M13" i="5" s="1"/>
  <c r="I14" i="5"/>
  <c r="L14" i="5" s="1"/>
  <c r="M14" i="5" s="1"/>
  <c r="I15" i="5"/>
  <c r="L15" i="5" s="1"/>
  <c r="M15" i="5" s="1"/>
  <c r="I16" i="5"/>
  <c r="L16" i="5" s="1"/>
  <c r="M16" i="5" s="1"/>
  <c r="I17" i="5"/>
  <c r="L17" i="5" s="1"/>
  <c r="M17" i="5" s="1"/>
  <c r="I18" i="5"/>
  <c r="L18" i="5" s="1"/>
  <c r="M18" i="5" s="1"/>
  <c r="I19" i="5"/>
  <c r="L19" i="5" s="1"/>
  <c r="M19" i="5" s="1"/>
  <c r="I20" i="5"/>
  <c r="L20" i="5" s="1"/>
  <c r="M20" i="5" s="1"/>
  <c r="I21" i="5"/>
  <c r="L21" i="5" s="1"/>
  <c r="M21" i="5" s="1"/>
  <c r="I22" i="5"/>
  <c r="L22" i="5" s="1"/>
  <c r="M22" i="5" s="1"/>
  <c r="I23" i="5"/>
  <c r="L23" i="5" s="1"/>
  <c r="M23" i="5" s="1"/>
  <c r="I24" i="5"/>
  <c r="L24" i="5" s="1"/>
  <c r="M24" i="5" s="1"/>
  <c r="I25" i="5"/>
  <c r="L25" i="5" s="1"/>
  <c r="M25" i="5" s="1"/>
  <c r="I26" i="5"/>
  <c r="L26" i="5" s="1"/>
  <c r="M26" i="5" s="1"/>
  <c r="I27" i="5"/>
  <c r="L27" i="5" s="1"/>
  <c r="M27" i="5" s="1"/>
  <c r="I28" i="5"/>
  <c r="L28" i="5" s="1"/>
  <c r="M28" i="5" s="1"/>
  <c r="I29" i="5"/>
  <c r="L29" i="5" s="1"/>
  <c r="M29" i="5" s="1"/>
  <c r="I30" i="5"/>
  <c r="L30" i="5" s="1"/>
  <c r="M30" i="5" s="1"/>
  <c r="I31" i="5"/>
  <c r="L31" i="5" s="1"/>
  <c r="M31" i="5" s="1"/>
  <c r="I32" i="5"/>
  <c r="L32" i="5" s="1"/>
  <c r="M32" i="5" s="1"/>
  <c r="I33" i="5"/>
  <c r="L33" i="5" s="1"/>
  <c r="M33" i="5" s="1"/>
  <c r="I34" i="5"/>
  <c r="L34" i="5" s="1"/>
  <c r="M34" i="5" s="1"/>
  <c r="I35" i="5"/>
  <c r="L35" i="5" s="1"/>
  <c r="M35" i="5" s="1"/>
  <c r="I36" i="5"/>
  <c r="L36" i="5" s="1"/>
  <c r="M36" i="5" s="1"/>
  <c r="I37" i="5"/>
  <c r="L37" i="5" s="1"/>
  <c r="M37" i="5" s="1"/>
  <c r="I38" i="5"/>
  <c r="L38" i="5" s="1"/>
  <c r="M38" i="5" s="1"/>
  <c r="I39" i="5"/>
  <c r="L39" i="5" s="1"/>
  <c r="M39" i="5" s="1"/>
  <c r="I5" i="5"/>
  <c r="L5" i="5" s="1"/>
  <c r="M5" i="5" s="1"/>
  <c r="O6" i="5"/>
  <c r="R6" i="5" s="1"/>
  <c r="S6" i="5" s="1"/>
  <c r="O7" i="5"/>
  <c r="R7" i="5" s="1"/>
  <c r="S7" i="5" s="1"/>
  <c r="O8" i="5"/>
  <c r="R8" i="5" s="1"/>
  <c r="S8" i="5" s="1"/>
  <c r="O9" i="5"/>
  <c r="R9" i="5" s="1"/>
  <c r="S9" i="5" s="1"/>
  <c r="O10" i="5"/>
  <c r="S10" i="5" s="1"/>
  <c r="O11" i="5"/>
  <c r="R11" i="5" s="1"/>
  <c r="S11" i="5" s="1"/>
  <c r="O12" i="5"/>
  <c r="S12" i="5" s="1"/>
  <c r="O13" i="5"/>
  <c r="R13" i="5" s="1"/>
  <c r="S13" i="5" s="1"/>
  <c r="O14" i="5"/>
  <c r="R14" i="5" s="1"/>
  <c r="S14" i="5" s="1"/>
  <c r="O15" i="5"/>
  <c r="R15" i="5" s="1"/>
  <c r="S15" i="5" s="1"/>
  <c r="O16" i="5"/>
  <c r="R16" i="5" s="1"/>
  <c r="S16" i="5" s="1"/>
  <c r="O17" i="5"/>
  <c r="R17" i="5" s="1"/>
  <c r="S17" i="5" s="1"/>
  <c r="O18" i="5"/>
  <c r="R18" i="5" s="1"/>
  <c r="S18" i="5" s="1"/>
  <c r="O19" i="5"/>
  <c r="R19" i="5" s="1"/>
  <c r="S19" i="5" s="1"/>
  <c r="O20" i="5"/>
  <c r="R20" i="5" s="1"/>
  <c r="S20" i="5" s="1"/>
  <c r="O21" i="5"/>
  <c r="R21" i="5" s="1"/>
  <c r="S21" i="5" s="1"/>
  <c r="O22" i="5"/>
  <c r="R22" i="5" s="1"/>
  <c r="S22" i="5" s="1"/>
  <c r="O23" i="5"/>
  <c r="R23" i="5" s="1"/>
  <c r="S23" i="5" s="1"/>
  <c r="O24" i="5"/>
  <c r="R24" i="5" s="1"/>
  <c r="S24" i="5" s="1"/>
  <c r="O25" i="5"/>
  <c r="R25" i="5" s="1"/>
  <c r="S25" i="5" s="1"/>
  <c r="O26" i="5"/>
  <c r="R26" i="5" s="1"/>
  <c r="S26" i="5" s="1"/>
  <c r="O27" i="5"/>
  <c r="R27" i="5" s="1"/>
  <c r="S27" i="5" s="1"/>
  <c r="O28" i="5"/>
  <c r="R28" i="5" s="1"/>
  <c r="S28" i="5" s="1"/>
  <c r="O29" i="5"/>
  <c r="R29" i="5" s="1"/>
  <c r="S29" i="5" s="1"/>
  <c r="O30" i="5"/>
  <c r="R30" i="5" s="1"/>
  <c r="S30" i="5" s="1"/>
  <c r="O31" i="5"/>
  <c r="R31" i="5" s="1"/>
  <c r="S31" i="5" s="1"/>
  <c r="O32" i="5"/>
  <c r="R32" i="5" s="1"/>
  <c r="S32" i="5" s="1"/>
  <c r="O33" i="5"/>
  <c r="R33" i="5" s="1"/>
  <c r="S33" i="5" s="1"/>
  <c r="O34" i="5"/>
  <c r="R34" i="5" s="1"/>
  <c r="S34" i="5" s="1"/>
  <c r="O35" i="5"/>
  <c r="R35" i="5" s="1"/>
  <c r="S35" i="5" s="1"/>
  <c r="O36" i="5"/>
  <c r="R36" i="5" s="1"/>
  <c r="S36" i="5" s="1"/>
  <c r="O37" i="5"/>
  <c r="R37" i="5" s="1"/>
  <c r="S37" i="5" s="1"/>
  <c r="O38" i="5"/>
  <c r="R38" i="5" s="1"/>
  <c r="S38" i="5" s="1"/>
  <c r="O39" i="5"/>
  <c r="R39" i="5" s="1"/>
  <c r="S39" i="5" s="1"/>
  <c r="O5" i="5"/>
  <c r="R5" i="5" s="1"/>
  <c r="S5" i="5" s="1"/>
  <c r="BS40" i="5"/>
  <c r="BN40" i="5"/>
  <c r="DZ39" i="5"/>
  <c r="CH39" i="5"/>
  <c r="AM39" i="5"/>
  <c r="AJ39" i="5"/>
  <c r="AK39" i="5" s="1"/>
  <c r="DZ38" i="5"/>
  <c r="CH38" i="5"/>
  <c r="AM38" i="5"/>
  <c r="AJ38" i="5"/>
  <c r="AK38" i="5" s="1"/>
  <c r="DZ37" i="5"/>
  <c r="CH37" i="5"/>
  <c r="AM37" i="5"/>
  <c r="DZ36" i="5"/>
  <c r="CH36" i="5"/>
  <c r="AM36" i="5"/>
  <c r="DZ35" i="5"/>
  <c r="CH35" i="5"/>
  <c r="AM35" i="5"/>
  <c r="DZ34" i="5"/>
  <c r="CH34" i="5"/>
  <c r="AM34" i="5"/>
  <c r="DZ33" i="5"/>
  <c r="CH33" i="5"/>
  <c r="AM33" i="5"/>
  <c r="DZ32" i="5"/>
  <c r="CH32" i="5"/>
  <c r="AM32" i="5"/>
  <c r="DZ31" i="5"/>
  <c r="CH31" i="5"/>
  <c r="AM31" i="5"/>
  <c r="AJ31" i="5"/>
  <c r="AK31" i="5" s="1"/>
  <c r="DZ30" i="5"/>
  <c r="CH30" i="5"/>
  <c r="AM30" i="5"/>
  <c r="AJ30" i="5"/>
  <c r="AK30" i="5" s="1"/>
  <c r="DZ29" i="5"/>
  <c r="CH29" i="5"/>
  <c r="AM29" i="5"/>
  <c r="DZ28" i="5"/>
  <c r="CH28" i="5"/>
  <c r="AM28" i="5"/>
  <c r="DZ27" i="5"/>
  <c r="CH27" i="5"/>
  <c r="AM27" i="5"/>
  <c r="DZ26" i="5"/>
  <c r="CH26" i="5"/>
  <c r="AM26" i="5"/>
  <c r="DZ25" i="5"/>
  <c r="CH25" i="5"/>
  <c r="AM25" i="5"/>
  <c r="DZ24" i="5"/>
  <c r="CH24" i="5"/>
  <c r="AM24" i="5"/>
  <c r="AJ24" i="5"/>
  <c r="AK24" i="5" s="1"/>
  <c r="DZ23" i="5"/>
  <c r="CH23" i="5"/>
  <c r="AM23" i="5"/>
  <c r="AJ23" i="5"/>
  <c r="AK23" i="5" s="1"/>
  <c r="X23" i="5"/>
  <c r="Y23" i="5" s="1"/>
  <c r="DZ22" i="5"/>
  <c r="CH22" i="5"/>
  <c r="AM22" i="5"/>
  <c r="AJ22" i="5"/>
  <c r="AK22" i="5" s="1"/>
  <c r="DZ21" i="5"/>
  <c r="CH21" i="5"/>
  <c r="AM21" i="5"/>
  <c r="DZ20" i="5"/>
  <c r="CH20" i="5"/>
  <c r="AM20" i="5"/>
  <c r="DZ19" i="5"/>
  <c r="CH19" i="5"/>
  <c r="AM19" i="5"/>
  <c r="DZ18" i="5"/>
  <c r="CH18" i="5"/>
  <c r="AM18" i="5"/>
  <c r="DZ17" i="5"/>
  <c r="CH17" i="5"/>
  <c r="AM17" i="5"/>
  <c r="DZ16" i="5"/>
  <c r="CH16" i="5"/>
  <c r="AM16" i="5"/>
  <c r="DZ15" i="5"/>
  <c r="CH15" i="5"/>
  <c r="AM15" i="5"/>
  <c r="AJ15" i="5"/>
  <c r="AK15" i="5" s="1"/>
  <c r="DZ14" i="5"/>
  <c r="CH14" i="5"/>
  <c r="AM14" i="5"/>
  <c r="AJ14" i="5"/>
  <c r="AK14" i="5" s="1"/>
  <c r="DZ13" i="5"/>
  <c r="CH13" i="5"/>
  <c r="AM13" i="5"/>
  <c r="DZ12" i="5"/>
  <c r="CH12" i="5"/>
  <c r="AM12" i="5"/>
  <c r="DZ11" i="5"/>
  <c r="CH11" i="5"/>
  <c r="AM11" i="5"/>
  <c r="DZ10" i="5"/>
  <c r="CH10" i="5"/>
  <c r="AM10" i="5"/>
  <c r="DZ9" i="5"/>
  <c r="CH9" i="5"/>
  <c r="AM9" i="5"/>
  <c r="DZ8" i="5"/>
  <c r="CH8" i="5"/>
  <c r="AM8" i="5"/>
  <c r="AJ8" i="5"/>
  <c r="AK8" i="5" s="1"/>
  <c r="DZ7" i="5"/>
  <c r="CH7" i="5"/>
  <c r="AM7" i="5"/>
  <c r="AJ7" i="5"/>
  <c r="AK7" i="5" s="1"/>
  <c r="DZ6" i="5"/>
  <c r="CH6" i="5"/>
  <c r="AM6" i="5"/>
  <c r="AJ6" i="5"/>
  <c r="AK6" i="5" s="1"/>
  <c r="DZ5" i="5"/>
  <c r="CH5" i="5"/>
  <c r="AM5" i="5"/>
  <c r="C67" i="3"/>
  <c r="D67" i="3"/>
  <c r="E67" i="3"/>
  <c r="F67" i="3"/>
  <c r="I67" i="3"/>
  <c r="H67" i="3"/>
  <c r="G67" i="3"/>
  <c r="F58" i="3"/>
  <c r="B66" i="3"/>
  <c r="C66" i="3"/>
  <c r="BA7" i="4"/>
  <c r="BA8" i="4"/>
  <c r="BA9" i="4"/>
  <c r="BA10" i="4"/>
  <c r="BA11" i="4"/>
  <c r="BA12" i="4"/>
  <c r="BA13" i="4"/>
  <c r="BA14" i="4"/>
  <c r="BA15" i="4"/>
  <c r="BA16" i="4"/>
  <c r="BA17" i="4"/>
  <c r="BA18" i="4"/>
  <c r="BA19" i="4"/>
  <c r="BA20" i="4"/>
  <c r="BA21" i="4"/>
  <c r="BA22" i="4"/>
  <c r="BA23" i="4"/>
  <c r="BA24" i="4"/>
  <c r="BA25" i="4"/>
  <c r="BA26" i="4"/>
  <c r="BA27" i="4"/>
  <c r="BA28" i="4"/>
  <c r="BA29" i="4"/>
  <c r="BA30" i="4"/>
  <c r="BA31" i="4"/>
  <c r="BA32" i="4"/>
  <c r="BA33" i="4"/>
  <c r="BA34" i="4"/>
  <c r="BA35" i="4"/>
  <c r="BA36" i="4"/>
  <c r="BA37" i="4"/>
  <c r="BA38" i="4"/>
  <c r="BA39" i="4"/>
  <c r="BA40" i="4"/>
  <c r="BA6" i="4"/>
  <c r="AY7" i="4"/>
  <c r="AY8" i="4"/>
  <c r="AY9" i="4"/>
  <c r="AY10" i="4"/>
  <c r="AY11" i="4"/>
  <c r="AY12" i="4"/>
  <c r="AY13" i="4"/>
  <c r="AY14" i="4"/>
  <c r="AY15" i="4"/>
  <c r="AY16" i="4"/>
  <c r="AY17" i="4"/>
  <c r="AY18" i="4"/>
  <c r="AY19" i="4"/>
  <c r="AY20" i="4"/>
  <c r="AY21" i="4"/>
  <c r="AY22" i="4"/>
  <c r="AY23" i="4"/>
  <c r="AY24" i="4"/>
  <c r="AY25" i="4"/>
  <c r="AY26" i="4"/>
  <c r="AY27" i="4"/>
  <c r="AY28" i="4"/>
  <c r="AY29" i="4"/>
  <c r="AY30" i="4"/>
  <c r="AY31" i="4"/>
  <c r="AY32" i="4"/>
  <c r="AY33" i="4"/>
  <c r="AY34" i="4"/>
  <c r="AY35" i="4"/>
  <c r="AY36" i="4"/>
  <c r="AY37" i="4"/>
  <c r="AY38" i="4"/>
  <c r="AY39" i="4"/>
  <c r="AY40" i="4"/>
  <c r="AY6" i="4"/>
  <c r="AW7" i="4"/>
  <c r="AW8" i="4"/>
  <c r="AW9" i="4"/>
  <c r="AW10" i="4"/>
  <c r="AW11" i="4"/>
  <c r="AW12" i="4"/>
  <c r="AW13" i="4"/>
  <c r="AW14" i="4"/>
  <c r="AW15" i="4"/>
  <c r="AW16" i="4"/>
  <c r="AW17" i="4"/>
  <c r="AW18" i="4"/>
  <c r="AW19" i="4"/>
  <c r="AW20" i="4"/>
  <c r="AW21" i="4"/>
  <c r="AW22" i="4"/>
  <c r="AW23" i="4"/>
  <c r="AW24" i="4"/>
  <c r="AW25" i="4"/>
  <c r="AW26" i="4"/>
  <c r="AW27" i="4"/>
  <c r="AW28" i="4"/>
  <c r="AW29" i="4"/>
  <c r="AW30" i="4"/>
  <c r="AW31" i="4"/>
  <c r="AW32" i="4"/>
  <c r="AW33" i="4"/>
  <c r="AW34" i="4"/>
  <c r="AW35" i="4"/>
  <c r="AW36" i="4"/>
  <c r="AW37" i="4"/>
  <c r="AW38" i="4"/>
  <c r="AW39" i="4"/>
  <c r="AW40" i="4"/>
  <c r="AW6" i="4"/>
  <c r="AT7" i="4"/>
  <c r="AT8" i="4"/>
  <c r="AT9" i="4"/>
  <c r="AT10" i="4"/>
  <c r="AT11" i="4"/>
  <c r="AT12" i="4"/>
  <c r="AT13" i="4"/>
  <c r="AT14" i="4"/>
  <c r="AT15" i="4"/>
  <c r="AT16" i="4"/>
  <c r="AT17" i="4"/>
  <c r="AT18" i="4"/>
  <c r="AT19" i="4"/>
  <c r="AT20" i="4"/>
  <c r="AT21" i="4"/>
  <c r="AT22" i="4"/>
  <c r="AT23" i="4"/>
  <c r="AT24" i="4"/>
  <c r="AT25" i="4"/>
  <c r="AT26" i="4"/>
  <c r="AT27" i="4"/>
  <c r="AT28" i="4"/>
  <c r="AT29" i="4"/>
  <c r="AT30" i="4"/>
  <c r="AT31" i="4"/>
  <c r="AT32" i="4"/>
  <c r="AT33" i="4"/>
  <c r="AT34" i="4"/>
  <c r="AT35" i="4"/>
  <c r="AT36" i="4"/>
  <c r="AT37" i="4"/>
  <c r="AT38" i="4"/>
  <c r="AT39" i="4"/>
  <c r="AT40" i="4"/>
  <c r="AT6" i="4"/>
  <c r="AR7" i="4"/>
  <c r="AR8" i="4"/>
  <c r="AR9" i="4"/>
  <c r="AR10" i="4"/>
  <c r="AR11" i="4"/>
  <c r="AR12" i="4"/>
  <c r="AR13" i="4"/>
  <c r="AR14" i="4"/>
  <c r="AR15" i="4"/>
  <c r="AR16" i="4"/>
  <c r="AR17" i="4"/>
  <c r="AR18" i="4"/>
  <c r="AR19" i="4"/>
  <c r="AR20" i="4"/>
  <c r="AR21" i="4"/>
  <c r="AR22" i="4"/>
  <c r="AR23" i="4"/>
  <c r="AR24" i="4"/>
  <c r="AR25" i="4"/>
  <c r="AR26" i="4"/>
  <c r="AR27" i="4"/>
  <c r="AR28" i="4"/>
  <c r="AR29" i="4"/>
  <c r="AR30" i="4"/>
  <c r="AR31" i="4"/>
  <c r="AR32" i="4"/>
  <c r="AR33" i="4"/>
  <c r="AR34" i="4"/>
  <c r="AR35" i="4"/>
  <c r="AR36" i="4"/>
  <c r="AR37" i="4"/>
  <c r="AR38" i="4"/>
  <c r="AR39" i="4"/>
  <c r="AR40" i="4"/>
  <c r="AR6" i="4"/>
  <c r="AH7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6" i="4"/>
  <c r="X43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6" i="4"/>
  <c r="I43" i="4"/>
  <c r="I18" i="4"/>
  <c r="N43" i="4"/>
  <c r="S43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6" i="4"/>
  <c r="I7" i="4"/>
  <c r="I8" i="4"/>
  <c r="I9" i="4"/>
  <c r="I10" i="4"/>
  <c r="I11" i="4"/>
  <c r="I12" i="4"/>
  <c r="I13" i="4"/>
  <c r="I14" i="4"/>
  <c r="I15" i="4"/>
  <c r="I16" i="4"/>
  <c r="I17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F6" i="4"/>
  <c r="F22" i="4"/>
  <c r="F21" i="4"/>
  <c r="F20" i="4"/>
  <c r="F19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6" i="4"/>
  <c r="DA40" i="4"/>
  <c r="DA39" i="4"/>
  <c r="DA38" i="4"/>
  <c r="DA37" i="4"/>
  <c r="DA36" i="4"/>
  <c r="DA35" i="4"/>
  <c r="DA34" i="4"/>
  <c r="DA33" i="4"/>
  <c r="DA32" i="4"/>
  <c r="DA31" i="4"/>
  <c r="DA30" i="4"/>
  <c r="DA29" i="4"/>
  <c r="DA28" i="4"/>
  <c r="DA27" i="4"/>
  <c r="DA26" i="4"/>
  <c r="DA25" i="4"/>
  <c r="DA24" i="4"/>
  <c r="DA23" i="4"/>
  <c r="DA22" i="4"/>
  <c r="DA21" i="4"/>
  <c r="DA20" i="4"/>
  <c r="DA19" i="4"/>
  <c r="DA18" i="4"/>
  <c r="DA17" i="4"/>
  <c r="DA16" i="4"/>
  <c r="DA15" i="4"/>
  <c r="DA14" i="4"/>
  <c r="DA13" i="4"/>
  <c r="DA12" i="4"/>
  <c r="DA11" i="4"/>
  <c r="DA10" i="4"/>
  <c r="DA9" i="4"/>
  <c r="DA8" i="4"/>
  <c r="CW40" i="4"/>
  <c r="CW39" i="4"/>
  <c r="CW38" i="4"/>
  <c r="CW37" i="4"/>
  <c r="CW36" i="4"/>
  <c r="CW35" i="4"/>
  <c r="CW34" i="4"/>
  <c r="CW33" i="4"/>
  <c r="CW32" i="4"/>
  <c r="CW31" i="4"/>
  <c r="CW30" i="4"/>
  <c r="CW29" i="4"/>
  <c r="CW28" i="4"/>
  <c r="CW27" i="4"/>
  <c r="CW26" i="4"/>
  <c r="CW25" i="4"/>
  <c r="CW24" i="4"/>
  <c r="CW23" i="4"/>
  <c r="CW22" i="4"/>
  <c r="CW21" i="4"/>
  <c r="CW20" i="4"/>
  <c r="CW19" i="4"/>
  <c r="CW18" i="4"/>
  <c r="CW17" i="4"/>
  <c r="CW16" i="4"/>
  <c r="CW15" i="4"/>
  <c r="CW14" i="4"/>
  <c r="CW13" i="4"/>
  <c r="CW12" i="4"/>
  <c r="CW11" i="4"/>
  <c r="CW10" i="4"/>
  <c r="CW9" i="4"/>
  <c r="CW8" i="4"/>
  <c r="CR40" i="4"/>
  <c r="CR39" i="4"/>
  <c r="CR38" i="4"/>
  <c r="CR37" i="4"/>
  <c r="CR36" i="4"/>
  <c r="CR35" i="4"/>
  <c r="CR34" i="4"/>
  <c r="CR33" i="4"/>
  <c r="CR32" i="4"/>
  <c r="CR31" i="4"/>
  <c r="CR30" i="4"/>
  <c r="CR29" i="4"/>
  <c r="CR28" i="4"/>
  <c r="CR27" i="4"/>
  <c r="CR26" i="4"/>
  <c r="CR25" i="4"/>
  <c r="CR24" i="4"/>
  <c r="CR23" i="4"/>
  <c r="CR22" i="4"/>
  <c r="CR21" i="4"/>
  <c r="CR20" i="4"/>
  <c r="CR19" i="4"/>
  <c r="CR18" i="4"/>
  <c r="CR17" i="4"/>
  <c r="CR16" i="4"/>
  <c r="CR15" i="4"/>
  <c r="CR14" i="4"/>
  <c r="CR13" i="4"/>
  <c r="CR12" i="4"/>
  <c r="CR11" i="4"/>
  <c r="CR10" i="4"/>
  <c r="CR9" i="4"/>
  <c r="CR8" i="4"/>
  <c r="CM40" i="4"/>
  <c r="CM39" i="4"/>
  <c r="CM38" i="4"/>
  <c r="CM37" i="4"/>
  <c r="CM36" i="4"/>
  <c r="CM35" i="4"/>
  <c r="CM34" i="4"/>
  <c r="CM33" i="4"/>
  <c r="CM32" i="4"/>
  <c r="CM31" i="4"/>
  <c r="CM30" i="4"/>
  <c r="CM29" i="4"/>
  <c r="CM28" i="4"/>
  <c r="CM27" i="4"/>
  <c r="CM26" i="4"/>
  <c r="CM25" i="4"/>
  <c r="CM24" i="4"/>
  <c r="CM23" i="4"/>
  <c r="CM22" i="4"/>
  <c r="CM21" i="4"/>
  <c r="CM20" i="4"/>
  <c r="CM19" i="4"/>
  <c r="CM18" i="4"/>
  <c r="CM17" i="4"/>
  <c r="CM16" i="4"/>
  <c r="CM15" i="4"/>
  <c r="CM14" i="4"/>
  <c r="CM13" i="4"/>
  <c r="CM12" i="4"/>
  <c r="CM11" i="4"/>
  <c r="CM10" i="4"/>
  <c r="CM9" i="4"/>
  <c r="CM8" i="4"/>
  <c r="CH40" i="4"/>
  <c r="CH39" i="4"/>
  <c r="CH38" i="4"/>
  <c r="CH37" i="4"/>
  <c r="CH36" i="4"/>
  <c r="CH35" i="4"/>
  <c r="CH34" i="4"/>
  <c r="CH33" i="4"/>
  <c r="CH32" i="4"/>
  <c r="CH31" i="4"/>
  <c r="CH30" i="4"/>
  <c r="CH29" i="4"/>
  <c r="CH28" i="4"/>
  <c r="CH27" i="4"/>
  <c r="CH26" i="4"/>
  <c r="CH25" i="4"/>
  <c r="CH24" i="4"/>
  <c r="CH23" i="4"/>
  <c r="CH22" i="4"/>
  <c r="CH21" i="4"/>
  <c r="CH20" i="4"/>
  <c r="CH19" i="4"/>
  <c r="CH18" i="4"/>
  <c r="CH17" i="4"/>
  <c r="CH16" i="4"/>
  <c r="CH15" i="4"/>
  <c r="CH14" i="4"/>
  <c r="CH13" i="4"/>
  <c r="CH12" i="4"/>
  <c r="CH11" i="4"/>
  <c r="CH10" i="4"/>
  <c r="CH9" i="4"/>
  <c r="CH8" i="4"/>
  <c r="BY40" i="4"/>
  <c r="BY39" i="4"/>
  <c r="BY38" i="4"/>
  <c r="BY37" i="4"/>
  <c r="BY36" i="4"/>
  <c r="BY35" i="4"/>
  <c r="BY34" i="4"/>
  <c r="BY33" i="4"/>
  <c r="BY32" i="4"/>
  <c r="BY31" i="4"/>
  <c r="BY30" i="4"/>
  <c r="BY29" i="4"/>
  <c r="BY28" i="4"/>
  <c r="BY27" i="4"/>
  <c r="BY26" i="4"/>
  <c r="BY25" i="4"/>
  <c r="BY24" i="4"/>
  <c r="BY23" i="4"/>
  <c r="BY22" i="4"/>
  <c r="BY21" i="4"/>
  <c r="BY20" i="4"/>
  <c r="BY19" i="4"/>
  <c r="BY18" i="4"/>
  <c r="BY17" i="4"/>
  <c r="BY16" i="4"/>
  <c r="BY15" i="4"/>
  <c r="BY14" i="4"/>
  <c r="BY13" i="4"/>
  <c r="BY12" i="4"/>
  <c r="BY11" i="4"/>
  <c r="BY10" i="4"/>
  <c r="BY9" i="4"/>
  <c r="BY8" i="4"/>
  <c r="BT40" i="4"/>
  <c r="BT39" i="4"/>
  <c r="BT38" i="4"/>
  <c r="BT37" i="4"/>
  <c r="BT36" i="4"/>
  <c r="BT35" i="4"/>
  <c r="BT34" i="4"/>
  <c r="BT33" i="4"/>
  <c r="BT32" i="4"/>
  <c r="BT31" i="4"/>
  <c r="BT30" i="4"/>
  <c r="BT29" i="4"/>
  <c r="BT28" i="4"/>
  <c r="BT27" i="4"/>
  <c r="BT26" i="4"/>
  <c r="BT25" i="4"/>
  <c r="BT24" i="4"/>
  <c r="BT23" i="4"/>
  <c r="BT22" i="4"/>
  <c r="BT21" i="4"/>
  <c r="BT20" i="4"/>
  <c r="BT19" i="4"/>
  <c r="BT18" i="4"/>
  <c r="BT17" i="4"/>
  <c r="BT16" i="4"/>
  <c r="BT15" i="4"/>
  <c r="BT14" i="4"/>
  <c r="BT13" i="4"/>
  <c r="BT12" i="4"/>
  <c r="BT11" i="4"/>
  <c r="BT10" i="4"/>
  <c r="BT9" i="4"/>
  <c r="BT8" i="4"/>
  <c r="BO40" i="4"/>
  <c r="BO39" i="4"/>
  <c r="BO38" i="4"/>
  <c r="BO37" i="4"/>
  <c r="BO36" i="4"/>
  <c r="BO35" i="4"/>
  <c r="BO34" i="4"/>
  <c r="BO33" i="4"/>
  <c r="BO32" i="4"/>
  <c r="BO31" i="4"/>
  <c r="BO30" i="4"/>
  <c r="BO29" i="4"/>
  <c r="BO28" i="4"/>
  <c r="BO27" i="4"/>
  <c r="BO26" i="4"/>
  <c r="BO25" i="4"/>
  <c r="BO24" i="4"/>
  <c r="BO23" i="4"/>
  <c r="BO22" i="4"/>
  <c r="BO21" i="4"/>
  <c r="BO20" i="4"/>
  <c r="BO19" i="4"/>
  <c r="BO18" i="4"/>
  <c r="BO17" i="4"/>
  <c r="BO16" i="4"/>
  <c r="BO15" i="4"/>
  <c r="BO14" i="4"/>
  <c r="BO13" i="4"/>
  <c r="BO12" i="4"/>
  <c r="BO11" i="4"/>
  <c r="BO10" i="4"/>
  <c r="BO9" i="4"/>
  <c r="BO8" i="4"/>
  <c r="BJ40" i="4"/>
  <c r="BJ39" i="4"/>
  <c r="BJ38" i="4"/>
  <c r="BJ37" i="4"/>
  <c r="BJ36" i="4"/>
  <c r="BJ35" i="4"/>
  <c r="BJ34" i="4"/>
  <c r="BJ33" i="4"/>
  <c r="BJ32" i="4"/>
  <c r="BJ31" i="4"/>
  <c r="BJ30" i="4"/>
  <c r="BJ29" i="4"/>
  <c r="BJ28" i="4"/>
  <c r="BJ27" i="4"/>
  <c r="BJ26" i="4"/>
  <c r="BJ25" i="4"/>
  <c r="BJ24" i="4"/>
  <c r="BJ23" i="4"/>
  <c r="BJ22" i="4"/>
  <c r="BJ21" i="4"/>
  <c r="BJ20" i="4"/>
  <c r="BJ19" i="4"/>
  <c r="BJ18" i="4"/>
  <c r="BJ17" i="4"/>
  <c r="BJ16" i="4"/>
  <c r="BJ15" i="4"/>
  <c r="BJ14" i="4"/>
  <c r="BJ13" i="4"/>
  <c r="BJ12" i="4"/>
  <c r="BJ11" i="4"/>
  <c r="BJ10" i="4"/>
  <c r="BJ9" i="4"/>
  <c r="BJ8" i="4"/>
  <c r="BE40" i="4"/>
  <c r="BE39" i="4"/>
  <c r="BE38" i="4"/>
  <c r="BE37" i="4"/>
  <c r="BE36" i="4"/>
  <c r="BE35" i="4"/>
  <c r="BE34" i="4"/>
  <c r="BE33" i="4"/>
  <c r="BE32" i="4"/>
  <c r="BE31" i="4"/>
  <c r="BE30" i="4"/>
  <c r="BE29" i="4"/>
  <c r="BE28" i="4"/>
  <c r="BE27" i="4"/>
  <c r="BE26" i="4"/>
  <c r="BE25" i="4"/>
  <c r="BE24" i="4"/>
  <c r="BE23" i="4"/>
  <c r="BE22" i="4"/>
  <c r="BE21" i="4"/>
  <c r="BE20" i="4"/>
  <c r="BE19" i="4"/>
  <c r="BE18" i="4"/>
  <c r="BE17" i="4"/>
  <c r="BE16" i="4"/>
  <c r="BE15" i="4"/>
  <c r="BE14" i="4"/>
  <c r="BE13" i="4"/>
  <c r="BE12" i="4"/>
  <c r="BE11" i="4"/>
  <c r="BE10" i="4"/>
  <c r="BE9" i="4"/>
  <c r="BE8" i="4"/>
  <c r="AJ7" i="4"/>
  <c r="AJ8" i="4"/>
  <c r="AJ9" i="4"/>
  <c r="AJ10" i="4"/>
  <c r="AJ11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6" i="4"/>
  <c r="AE6" i="4"/>
  <c r="AE7" i="4"/>
  <c r="AE8" i="4"/>
  <c r="AE9" i="4"/>
  <c r="AE10" i="4"/>
  <c r="AE11" i="4"/>
  <c r="AE12" i="4"/>
  <c r="AE13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E30" i="4"/>
  <c r="AE31" i="4"/>
  <c r="AE32" i="4"/>
  <c r="AE33" i="4"/>
  <c r="AE34" i="4"/>
  <c r="AE35" i="4"/>
  <c r="AE36" i="4"/>
  <c r="AE37" i="4"/>
  <c r="AE38" i="4"/>
  <c r="AE39" i="4"/>
  <c r="AE40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F7" i="4"/>
  <c r="F8" i="4"/>
  <c r="F9" i="4"/>
  <c r="F10" i="4"/>
  <c r="F11" i="4"/>
  <c r="F12" i="4"/>
  <c r="F13" i="4"/>
  <c r="F14" i="4"/>
  <c r="F15" i="4"/>
  <c r="F16" i="4"/>
  <c r="F17" i="4"/>
  <c r="F18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BY178" i="4"/>
  <c r="BZ178" i="4" s="1"/>
  <c r="BV178" i="4"/>
  <c r="BW178" i="4" s="1"/>
  <c r="BP178" i="4"/>
  <c r="BQ178" i="4" s="1"/>
  <c r="BM178" i="4"/>
  <c r="BN178" i="4" s="1"/>
  <c r="BG178" i="4"/>
  <c r="BH178" i="4" s="1"/>
  <c r="BD178" i="4"/>
  <c r="BE178" i="4" s="1"/>
  <c r="AX178" i="4"/>
  <c r="AY178" i="4" s="1"/>
  <c r="AU178" i="4"/>
  <c r="AV178" i="4" s="1"/>
  <c r="AO178" i="4"/>
  <c r="AP178" i="4" s="1"/>
  <c r="AL178" i="4"/>
  <c r="AM178" i="4" s="1"/>
  <c r="AF178" i="4"/>
  <c r="AG178" i="4" s="1"/>
  <c r="AC178" i="4"/>
  <c r="AD178" i="4" s="1"/>
  <c r="W178" i="4"/>
  <c r="X178" i="4" s="1"/>
  <c r="T178" i="4"/>
  <c r="U178" i="4" s="1"/>
  <c r="N178" i="4"/>
  <c r="O178" i="4" s="1"/>
  <c r="K178" i="4"/>
  <c r="L178" i="4" s="1"/>
  <c r="BY177" i="4"/>
  <c r="BZ177" i="4" s="1"/>
  <c r="BV177" i="4"/>
  <c r="BW177" i="4" s="1"/>
  <c r="BP177" i="4"/>
  <c r="BQ177" i="4" s="1"/>
  <c r="BM177" i="4"/>
  <c r="BN177" i="4" s="1"/>
  <c r="BG177" i="4"/>
  <c r="BH177" i="4" s="1"/>
  <c r="BD177" i="4"/>
  <c r="BE177" i="4" s="1"/>
  <c r="AX177" i="4"/>
  <c r="AY177" i="4" s="1"/>
  <c r="AU177" i="4"/>
  <c r="AV177" i="4" s="1"/>
  <c r="AO177" i="4"/>
  <c r="AP177" i="4" s="1"/>
  <c r="AL177" i="4"/>
  <c r="AM177" i="4" s="1"/>
  <c r="AF177" i="4"/>
  <c r="AG177" i="4" s="1"/>
  <c r="AC177" i="4"/>
  <c r="AD177" i="4" s="1"/>
  <c r="W177" i="4"/>
  <c r="X177" i="4" s="1"/>
  <c r="T177" i="4"/>
  <c r="U177" i="4" s="1"/>
  <c r="N177" i="4"/>
  <c r="O177" i="4" s="1"/>
  <c r="K177" i="4"/>
  <c r="L177" i="4" s="1"/>
  <c r="BY176" i="4"/>
  <c r="BZ176" i="4" s="1"/>
  <c r="BV176" i="4"/>
  <c r="BW176" i="4" s="1"/>
  <c r="BP176" i="4"/>
  <c r="BQ176" i="4" s="1"/>
  <c r="BM176" i="4"/>
  <c r="BN176" i="4" s="1"/>
  <c r="BG176" i="4"/>
  <c r="BH176" i="4" s="1"/>
  <c r="BD176" i="4"/>
  <c r="BE176" i="4" s="1"/>
  <c r="AX176" i="4"/>
  <c r="AY176" i="4" s="1"/>
  <c r="AV176" i="4"/>
  <c r="AU176" i="4"/>
  <c r="AO176" i="4"/>
  <c r="AP176" i="4" s="1"/>
  <c r="AL176" i="4"/>
  <c r="AM176" i="4" s="1"/>
  <c r="AF176" i="4"/>
  <c r="AG176" i="4" s="1"/>
  <c r="AC176" i="4"/>
  <c r="AD176" i="4" s="1"/>
  <c r="W176" i="4"/>
  <c r="X176" i="4" s="1"/>
  <c r="T176" i="4"/>
  <c r="U176" i="4" s="1"/>
  <c r="N176" i="4"/>
  <c r="O176" i="4" s="1"/>
  <c r="K176" i="4"/>
  <c r="L176" i="4" s="1"/>
  <c r="BY175" i="4"/>
  <c r="BZ175" i="4" s="1"/>
  <c r="BV175" i="4"/>
  <c r="BW175" i="4" s="1"/>
  <c r="BP175" i="4"/>
  <c r="BQ175" i="4" s="1"/>
  <c r="BM175" i="4"/>
  <c r="BN175" i="4" s="1"/>
  <c r="BG175" i="4"/>
  <c r="BH175" i="4" s="1"/>
  <c r="BD175" i="4"/>
  <c r="BE175" i="4" s="1"/>
  <c r="AX175" i="4"/>
  <c r="AY175" i="4" s="1"/>
  <c r="AV175" i="4"/>
  <c r="AU175" i="4"/>
  <c r="AO175" i="4"/>
  <c r="AP175" i="4" s="1"/>
  <c r="AL175" i="4"/>
  <c r="AM175" i="4" s="1"/>
  <c r="AF175" i="4"/>
  <c r="AG175" i="4" s="1"/>
  <c r="AC175" i="4"/>
  <c r="AD175" i="4" s="1"/>
  <c r="W175" i="4"/>
  <c r="X175" i="4" s="1"/>
  <c r="T175" i="4"/>
  <c r="U175" i="4" s="1"/>
  <c r="N175" i="4"/>
  <c r="O175" i="4" s="1"/>
  <c r="K175" i="4"/>
  <c r="L175" i="4" s="1"/>
  <c r="BY174" i="4"/>
  <c r="BZ174" i="4" s="1"/>
  <c r="BV174" i="4"/>
  <c r="BW174" i="4" s="1"/>
  <c r="BP174" i="4"/>
  <c r="BQ174" i="4" s="1"/>
  <c r="BM174" i="4"/>
  <c r="BN174" i="4" s="1"/>
  <c r="BG174" i="4"/>
  <c r="BH174" i="4" s="1"/>
  <c r="BD174" i="4"/>
  <c r="BE174" i="4" s="1"/>
  <c r="AX174" i="4"/>
  <c r="AY174" i="4" s="1"/>
  <c r="AU174" i="4"/>
  <c r="AV174" i="4" s="1"/>
  <c r="AO174" i="4"/>
  <c r="AP174" i="4" s="1"/>
  <c r="AL174" i="4"/>
  <c r="AM174" i="4" s="1"/>
  <c r="AF174" i="4"/>
  <c r="AG174" i="4" s="1"/>
  <c r="AC174" i="4"/>
  <c r="AD174" i="4" s="1"/>
  <c r="W174" i="4"/>
  <c r="X174" i="4" s="1"/>
  <c r="T174" i="4"/>
  <c r="U174" i="4" s="1"/>
  <c r="N174" i="4"/>
  <c r="O174" i="4" s="1"/>
  <c r="K174" i="4"/>
  <c r="L174" i="4" s="1"/>
  <c r="BY173" i="4"/>
  <c r="BZ173" i="4" s="1"/>
  <c r="BV173" i="4"/>
  <c r="BW173" i="4" s="1"/>
  <c r="BP173" i="4"/>
  <c r="BQ173" i="4" s="1"/>
  <c r="BM173" i="4"/>
  <c r="BN173" i="4" s="1"/>
  <c r="BG173" i="4"/>
  <c r="BH173" i="4" s="1"/>
  <c r="BD173" i="4"/>
  <c r="BE173" i="4" s="1"/>
  <c r="AX173" i="4"/>
  <c r="AY173" i="4" s="1"/>
  <c r="AU173" i="4"/>
  <c r="AV173" i="4" s="1"/>
  <c r="AO173" i="4"/>
  <c r="AP173" i="4" s="1"/>
  <c r="AL173" i="4"/>
  <c r="AM173" i="4" s="1"/>
  <c r="AF173" i="4"/>
  <c r="AG173" i="4" s="1"/>
  <c r="AC173" i="4"/>
  <c r="AD173" i="4" s="1"/>
  <c r="W173" i="4"/>
  <c r="X173" i="4" s="1"/>
  <c r="T173" i="4"/>
  <c r="U173" i="4" s="1"/>
  <c r="N173" i="4"/>
  <c r="O173" i="4" s="1"/>
  <c r="K173" i="4"/>
  <c r="L173" i="4" s="1"/>
  <c r="BY172" i="4"/>
  <c r="BZ172" i="4" s="1"/>
  <c r="BV172" i="4"/>
  <c r="BW172" i="4" s="1"/>
  <c r="BP172" i="4"/>
  <c r="BQ172" i="4" s="1"/>
  <c r="BM172" i="4"/>
  <c r="BN172" i="4" s="1"/>
  <c r="BG172" i="4"/>
  <c r="BH172" i="4" s="1"/>
  <c r="BD172" i="4"/>
  <c r="BE172" i="4" s="1"/>
  <c r="AX172" i="4"/>
  <c r="AY172" i="4" s="1"/>
  <c r="AV172" i="4"/>
  <c r="AU172" i="4"/>
  <c r="AO172" i="4"/>
  <c r="AP172" i="4" s="1"/>
  <c r="AL172" i="4"/>
  <c r="AM172" i="4" s="1"/>
  <c r="AG172" i="4"/>
  <c r="AF172" i="4"/>
  <c r="AC172" i="4"/>
  <c r="AD172" i="4" s="1"/>
  <c r="W172" i="4"/>
  <c r="X172" i="4" s="1"/>
  <c r="T172" i="4"/>
  <c r="U172" i="4" s="1"/>
  <c r="N172" i="4"/>
  <c r="O172" i="4" s="1"/>
  <c r="K172" i="4"/>
  <c r="L172" i="4" s="1"/>
  <c r="BY171" i="4"/>
  <c r="BZ171" i="4" s="1"/>
  <c r="BV171" i="4"/>
  <c r="BW171" i="4" s="1"/>
  <c r="BP171" i="4"/>
  <c r="BQ171" i="4" s="1"/>
  <c r="BM171" i="4"/>
  <c r="BN171" i="4" s="1"/>
  <c r="BG171" i="4"/>
  <c r="BH171" i="4" s="1"/>
  <c r="BD171" i="4"/>
  <c r="BE171" i="4" s="1"/>
  <c r="AX171" i="4"/>
  <c r="AY171" i="4" s="1"/>
  <c r="AU171" i="4"/>
  <c r="AV171" i="4" s="1"/>
  <c r="AO171" i="4"/>
  <c r="AP171" i="4" s="1"/>
  <c r="AL171" i="4"/>
  <c r="AM171" i="4" s="1"/>
  <c r="AF171" i="4"/>
  <c r="AG171" i="4" s="1"/>
  <c r="AC171" i="4"/>
  <c r="AD171" i="4" s="1"/>
  <c r="W171" i="4"/>
  <c r="X171" i="4" s="1"/>
  <c r="T171" i="4"/>
  <c r="U171" i="4" s="1"/>
  <c r="N171" i="4"/>
  <c r="O171" i="4" s="1"/>
  <c r="K171" i="4"/>
  <c r="L171" i="4" s="1"/>
  <c r="BY170" i="4"/>
  <c r="BZ170" i="4" s="1"/>
  <c r="BV170" i="4"/>
  <c r="BW170" i="4" s="1"/>
  <c r="BP170" i="4"/>
  <c r="BQ170" i="4" s="1"/>
  <c r="BM170" i="4"/>
  <c r="BN170" i="4" s="1"/>
  <c r="BG170" i="4"/>
  <c r="BH170" i="4" s="1"/>
  <c r="BD170" i="4"/>
  <c r="BE170" i="4" s="1"/>
  <c r="AX170" i="4"/>
  <c r="AY170" i="4" s="1"/>
  <c r="AU170" i="4"/>
  <c r="AV170" i="4" s="1"/>
  <c r="AO170" i="4"/>
  <c r="AP170" i="4" s="1"/>
  <c r="AL170" i="4"/>
  <c r="AM170" i="4" s="1"/>
  <c r="AF170" i="4"/>
  <c r="AG170" i="4" s="1"/>
  <c r="AC170" i="4"/>
  <c r="AD170" i="4" s="1"/>
  <c r="W170" i="4"/>
  <c r="X170" i="4" s="1"/>
  <c r="T170" i="4"/>
  <c r="U170" i="4" s="1"/>
  <c r="N170" i="4"/>
  <c r="O170" i="4" s="1"/>
  <c r="K170" i="4"/>
  <c r="L170" i="4" s="1"/>
  <c r="BY169" i="4"/>
  <c r="BZ169" i="4" s="1"/>
  <c r="BV169" i="4"/>
  <c r="BW169" i="4" s="1"/>
  <c r="BP169" i="4"/>
  <c r="BQ169" i="4" s="1"/>
  <c r="BM169" i="4"/>
  <c r="BN169" i="4" s="1"/>
  <c r="BG169" i="4"/>
  <c r="BH169" i="4" s="1"/>
  <c r="BD169" i="4"/>
  <c r="BE169" i="4" s="1"/>
  <c r="AX169" i="4"/>
  <c r="AY169" i="4" s="1"/>
  <c r="AU169" i="4"/>
  <c r="AV169" i="4" s="1"/>
  <c r="AO169" i="4"/>
  <c r="AP169" i="4" s="1"/>
  <c r="AL169" i="4"/>
  <c r="AM169" i="4" s="1"/>
  <c r="AF169" i="4"/>
  <c r="AG169" i="4" s="1"/>
  <c r="AC169" i="4"/>
  <c r="AD169" i="4" s="1"/>
  <c r="W169" i="4"/>
  <c r="X169" i="4" s="1"/>
  <c r="T169" i="4"/>
  <c r="U169" i="4" s="1"/>
  <c r="N169" i="4"/>
  <c r="O169" i="4" s="1"/>
  <c r="L169" i="4"/>
  <c r="K169" i="4"/>
  <c r="BY168" i="4"/>
  <c r="BZ168" i="4" s="1"/>
  <c r="BV168" i="4"/>
  <c r="BW168" i="4" s="1"/>
  <c r="BP168" i="4"/>
  <c r="BQ168" i="4" s="1"/>
  <c r="BM168" i="4"/>
  <c r="BN168" i="4" s="1"/>
  <c r="BG168" i="4"/>
  <c r="BH168" i="4" s="1"/>
  <c r="BD168" i="4"/>
  <c r="BE168" i="4" s="1"/>
  <c r="AX168" i="4"/>
  <c r="AY168" i="4" s="1"/>
  <c r="AU168" i="4"/>
  <c r="AV168" i="4" s="1"/>
  <c r="AO168" i="4"/>
  <c r="AP168" i="4" s="1"/>
  <c r="AL168" i="4"/>
  <c r="AM168" i="4" s="1"/>
  <c r="AF168" i="4"/>
  <c r="AG168" i="4" s="1"/>
  <c r="AC168" i="4"/>
  <c r="AD168" i="4" s="1"/>
  <c r="W168" i="4"/>
  <c r="X168" i="4" s="1"/>
  <c r="T168" i="4"/>
  <c r="U168" i="4" s="1"/>
  <c r="N168" i="4"/>
  <c r="O168" i="4" s="1"/>
  <c r="K168" i="4"/>
  <c r="L168" i="4" s="1"/>
  <c r="BY167" i="4"/>
  <c r="BZ167" i="4" s="1"/>
  <c r="BV167" i="4"/>
  <c r="BW167" i="4" s="1"/>
  <c r="BP167" i="4"/>
  <c r="BQ167" i="4" s="1"/>
  <c r="BM167" i="4"/>
  <c r="BN167" i="4" s="1"/>
  <c r="BG167" i="4"/>
  <c r="BH167" i="4" s="1"/>
  <c r="BD167" i="4"/>
  <c r="BE167" i="4" s="1"/>
  <c r="AX167" i="4"/>
  <c r="AY167" i="4" s="1"/>
  <c r="AU167" i="4"/>
  <c r="AV167" i="4" s="1"/>
  <c r="AO167" i="4"/>
  <c r="AP167" i="4" s="1"/>
  <c r="AL167" i="4"/>
  <c r="AM167" i="4" s="1"/>
  <c r="AF167" i="4"/>
  <c r="AG167" i="4" s="1"/>
  <c r="AC167" i="4"/>
  <c r="AD167" i="4" s="1"/>
  <c r="W167" i="4"/>
  <c r="X167" i="4" s="1"/>
  <c r="T167" i="4"/>
  <c r="U167" i="4" s="1"/>
  <c r="N167" i="4"/>
  <c r="O167" i="4" s="1"/>
  <c r="K167" i="4"/>
  <c r="L167" i="4" s="1"/>
  <c r="BY166" i="4"/>
  <c r="BZ166" i="4" s="1"/>
  <c r="BV166" i="4"/>
  <c r="BW166" i="4" s="1"/>
  <c r="BP166" i="4"/>
  <c r="BQ166" i="4" s="1"/>
  <c r="BM166" i="4"/>
  <c r="BN166" i="4" s="1"/>
  <c r="BG166" i="4"/>
  <c r="BH166" i="4" s="1"/>
  <c r="BD166" i="4"/>
  <c r="BE166" i="4" s="1"/>
  <c r="AX166" i="4"/>
  <c r="AY166" i="4" s="1"/>
  <c r="AU166" i="4"/>
  <c r="AV166" i="4" s="1"/>
  <c r="AO166" i="4"/>
  <c r="AP166" i="4" s="1"/>
  <c r="AL166" i="4"/>
  <c r="AM166" i="4" s="1"/>
  <c r="AF166" i="4"/>
  <c r="AG166" i="4" s="1"/>
  <c r="AC166" i="4"/>
  <c r="AD166" i="4" s="1"/>
  <c r="W166" i="4"/>
  <c r="X166" i="4" s="1"/>
  <c r="T166" i="4"/>
  <c r="U166" i="4" s="1"/>
  <c r="N166" i="4"/>
  <c r="O166" i="4" s="1"/>
  <c r="K166" i="4"/>
  <c r="L166" i="4" s="1"/>
  <c r="BY165" i="4"/>
  <c r="BZ165" i="4" s="1"/>
  <c r="BV165" i="4"/>
  <c r="BW165" i="4" s="1"/>
  <c r="BP165" i="4"/>
  <c r="BQ165" i="4" s="1"/>
  <c r="BM165" i="4"/>
  <c r="BN165" i="4" s="1"/>
  <c r="BG165" i="4"/>
  <c r="BH165" i="4" s="1"/>
  <c r="BD165" i="4"/>
  <c r="BE165" i="4" s="1"/>
  <c r="AX165" i="4"/>
  <c r="AY165" i="4" s="1"/>
  <c r="AU165" i="4"/>
  <c r="AV165" i="4" s="1"/>
  <c r="AO165" i="4"/>
  <c r="AP165" i="4" s="1"/>
  <c r="AL165" i="4"/>
  <c r="AM165" i="4" s="1"/>
  <c r="AF165" i="4"/>
  <c r="AG165" i="4" s="1"/>
  <c r="AC165" i="4"/>
  <c r="AD165" i="4" s="1"/>
  <c r="W165" i="4"/>
  <c r="X165" i="4" s="1"/>
  <c r="T165" i="4"/>
  <c r="U165" i="4" s="1"/>
  <c r="N165" i="4"/>
  <c r="O165" i="4" s="1"/>
  <c r="K165" i="4"/>
  <c r="L165" i="4" s="1"/>
  <c r="BY164" i="4"/>
  <c r="BZ164" i="4" s="1"/>
  <c r="BV164" i="4"/>
  <c r="BW164" i="4" s="1"/>
  <c r="BP164" i="4"/>
  <c r="BQ164" i="4" s="1"/>
  <c r="BM164" i="4"/>
  <c r="BN164" i="4" s="1"/>
  <c r="BG164" i="4"/>
  <c r="BH164" i="4" s="1"/>
  <c r="BD164" i="4"/>
  <c r="BE164" i="4" s="1"/>
  <c r="AX164" i="4"/>
  <c r="AY164" i="4" s="1"/>
  <c r="AU164" i="4"/>
  <c r="AV164" i="4" s="1"/>
  <c r="AO164" i="4"/>
  <c r="AP164" i="4" s="1"/>
  <c r="AL164" i="4"/>
  <c r="AM164" i="4" s="1"/>
  <c r="AF164" i="4"/>
  <c r="AG164" i="4" s="1"/>
  <c r="AC164" i="4"/>
  <c r="AD164" i="4" s="1"/>
  <c r="W164" i="4"/>
  <c r="X164" i="4" s="1"/>
  <c r="T164" i="4"/>
  <c r="U164" i="4" s="1"/>
  <c r="N164" i="4"/>
  <c r="O164" i="4" s="1"/>
  <c r="L164" i="4"/>
  <c r="K164" i="4"/>
  <c r="BY163" i="4"/>
  <c r="BZ163" i="4" s="1"/>
  <c r="BV163" i="4"/>
  <c r="BW163" i="4" s="1"/>
  <c r="BP163" i="4"/>
  <c r="BQ163" i="4" s="1"/>
  <c r="BM163" i="4"/>
  <c r="BN163" i="4" s="1"/>
  <c r="BG163" i="4"/>
  <c r="BH163" i="4" s="1"/>
  <c r="BD163" i="4"/>
  <c r="BE163" i="4" s="1"/>
  <c r="AX163" i="4"/>
  <c r="AY163" i="4" s="1"/>
  <c r="AU163" i="4"/>
  <c r="AV163" i="4" s="1"/>
  <c r="AO163" i="4"/>
  <c r="AP163" i="4" s="1"/>
  <c r="AL163" i="4"/>
  <c r="AM163" i="4" s="1"/>
  <c r="AF163" i="4"/>
  <c r="AG163" i="4" s="1"/>
  <c r="AC163" i="4"/>
  <c r="AD163" i="4" s="1"/>
  <c r="W163" i="4"/>
  <c r="X163" i="4" s="1"/>
  <c r="T163" i="4"/>
  <c r="U163" i="4" s="1"/>
  <c r="N163" i="4"/>
  <c r="O163" i="4" s="1"/>
  <c r="K163" i="4"/>
  <c r="L163" i="4" s="1"/>
  <c r="BY162" i="4"/>
  <c r="BZ162" i="4" s="1"/>
  <c r="BV162" i="4"/>
  <c r="BW162" i="4" s="1"/>
  <c r="BP162" i="4"/>
  <c r="BQ162" i="4" s="1"/>
  <c r="BM162" i="4"/>
  <c r="BN162" i="4" s="1"/>
  <c r="BG162" i="4"/>
  <c r="BH162" i="4" s="1"/>
  <c r="BD162" i="4"/>
  <c r="BE162" i="4" s="1"/>
  <c r="AX162" i="4"/>
  <c r="AY162" i="4" s="1"/>
  <c r="AU162" i="4"/>
  <c r="AV162" i="4" s="1"/>
  <c r="AO162" i="4"/>
  <c r="AP162" i="4" s="1"/>
  <c r="AL162" i="4"/>
  <c r="AM162" i="4" s="1"/>
  <c r="AF162" i="4"/>
  <c r="AG162" i="4" s="1"/>
  <c r="AC162" i="4"/>
  <c r="AD162" i="4" s="1"/>
  <c r="W162" i="4"/>
  <c r="X162" i="4" s="1"/>
  <c r="T162" i="4"/>
  <c r="U162" i="4" s="1"/>
  <c r="N162" i="4"/>
  <c r="O162" i="4" s="1"/>
  <c r="K162" i="4"/>
  <c r="L162" i="4" s="1"/>
  <c r="BY161" i="4"/>
  <c r="BZ161" i="4" s="1"/>
  <c r="BV161" i="4"/>
  <c r="BW161" i="4" s="1"/>
  <c r="BP161" i="4"/>
  <c r="BQ161" i="4" s="1"/>
  <c r="BN161" i="4"/>
  <c r="BM161" i="4"/>
  <c r="BG161" i="4"/>
  <c r="BH161" i="4" s="1"/>
  <c r="BD161" i="4"/>
  <c r="BE161" i="4" s="1"/>
  <c r="AX161" i="4"/>
  <c r="AY161" i="4" s="1"/>
  <c r="AU161" i="4"/>
  <c r="AV161" i="4" s="1"/>
  <c r="AO161" i="4"/>
  <c r="AP161" i="4" s="1"/>
  <c r="AL161" i="4"/>
  <c r="AM161" i="4" s="1"/>
  <c r="AG161" i="4"/>
  <c r="AF161" i="4"/>
  <c r="AC161" i="4"/>
  <c r="AD161" i="4" s="1"/>
  <c r="W161" i="4"/>
  <c r="X161" i="4" s="1"/>
  <c r="T161" i="4"/>
  <c r="U161" i="4" s="1"/>
  <c r="N161" i="4"/>
  <c r="O161" i="4" s="1"/>
  <c r="K161" i="4"/>
  <c r="L161" i="4" s="1"/>
  <c r="BY160" i="4"/>
  <c r="BZ160" i="4" s="1"/>
  <c r="BV160" i="4"/>
  <c r="BW160" i="4" s="1"/>
  <c r="BP160" i="4"/>
  <c r="BQ160" i="4" s="1"/>
  <c r="BM160" i="4"/>
  <c r="BN160" i="4" s="1"/>
  <c r="BG160" i="4"/>
  <c r="BH160" i="4" s="1"/>
  <c r="BD160" i="4"/>
  <c r="BE160" i="4" s="1"/>
  <c r="AX160" i="4"/>
  <c r="AY160" i="4" s="1"/>
  <c r="AU160" i="4"/>
  <c r="AV160" i="4" s="1"/>
  <c r="AO160" i="4"/>
  <c r="AP160" i="4" s="1"/>
  <c r="AL160" i="4"/>
  <c r="AM160" i="4" s="1"/>
  <c r="AF160" i="4"/>
  <c r="AG160" i="4" s="1"/>
  <c r="AC160" i="4"/>
  <c r="AD160" i="4" s="1"/>
  <c r="W160" i="4"/>
  <c r="X160" i="4" s="1"/>
  <c r="T160" i="4"/>
  <c r="U160" i="4" s="1"/>
  <c r="N160" i="4"/>
  <c r="O160" i="4" s="1"/>
  <c r="K160" i="4"/>
  <c r="L160" i="4" s="1"/>
  <c r="BY159" i="4"/>
  <c r="BZ159" i="4" s="1"/>
  <c r="BV159" i="4"/>
  <c r="BW159" i="4" s="1"/>
  <c r="BP159" i="4"/>
  <c r="BQ159" i="4" s="1"/>
  <c r="BM159" i="4"/>
  <c r="BN159" i="4" s="1"/>
  <c r="BG159" i="4"/>
  <c r="BH159" i="4" s="1"/>
  <c r="BD159" i="4"/>
  <c r="BE159" i="4" s="1"/>
  <c r="AX159" i="4"/>
  <c r="AY159" i="4" s="1"/>
  <c r="AU159" i="4"/>
  <c r="AV159" i="4" s="1"/>
  <c r="AO159" i="4"/>
  <c r="AP159" i="4" s="1"/>
  <c r="AL159" i="4"/>
  <c r="AM159" i="4" s="1"/>
  <c r="AF159" i="4"/>
  <c r="AG159" i="4" s="1"/>
  <c r="AC159" i="4"/>
  <c r="AD159" i="4" s="1"/>
  <c r="W159" i="4"/>
  <c r="X159" i="4" s="1"/>
  <c r="T159" i="4"/>
  <c r="U159" i="4" s="1"/>
  <c r="N159" i="4"/>
  <c r="O159" i="4" s="1"/>
  <c r="K159" i="4"/>
  <c r="L159" i="4" s="1"/>
  <c r="BY158" i="4"/>
  <c r="BZ158" i="4" s="1"/>
  <c r="BV158" i="4"/>
  <c r="BW158" i="4" s="1"/>
  <c r="BP158" i="4"/>
  <c r="BQ158" i="4" s="1"/>
  <c r="BM158" i="4"/>
  <c r="BN158" i="4" s="1"/>
  <c r="BH158" i="4"/>
  <c r="BG158" i="4"/>
  <c r="BD158" i="4"/>
  <c r="BE158" i="4" s="1"/>
  <c r="AX158" i="4"/>
  <c r="AY158" i="4" s="1"/>
  <c r="AU158" i="4"/>
  <c r="AV158" i="4" s="1"/>
  <c r="AO158" i="4"/>
  <c r="AP158" i="4" s="1"/>
  <c r="AL158" i="4"/>
  <c r="AM158" i="4" s="1"/>
  <c r="AF158" i="4"/>
  <c r="AG158" i="4" s="1"/>
  <c r="AC158" i="4"/>
  <c r="AD158" i="4" s="1"/>
  <c r="W158" i="4"/>
  <c r="X158" i="4" s="1"/>
  <c r="T158" i="4"/>
  <c r="U158" i="4" s="1"/>
  <c r="N158" i="4"/>
  <c r="O158" i="4" s="1"/>
  <c r="K158" i="4"/>
  <c r="L158" i="4" s="1"/>
  <c r="BY157" i="4"/>
  <c r="BZ157" i="4" s="1"/>
  <c r="BV157" i="4"/>
  <c r="BW157" i="4" s="1"/>
  <c r="BP157" i="4"/>
  <c r="BQ157" i="4" s="1"/>
  <c r="BM157" i="4"/>
  <c r="BN157" i="4" s="1"/>
  <c r="BG157" i="4"/>
  <c r="BH157" i="4" s="1"/>
  <c r="BD157" i="4"/>
  <c r="BE157" i="4" s="1"/>
  <c r="AX157" i="4"/>
  <c r="AY157" i="4" s="1"/>
  <c r="AU157" i="4"/>
  <c r="AV157" i="4" s="1"/>
  <c r="AO157" i="4"/>
  <c r="AP157" i="4" s="1"/>
  <c r="AL157" i="4"/>
  <c r="AM157" i="4" s="1"/>
  <c r="AF157" i="4"/>
  <c r="AG157" i="4" s="1"/>
  <c r="AC157" i="4"/>
  <c r="AD157" i="4" s="1"/>
  <c r="W157" i="4"/>
  <c r="X157" i="4" s="1"/>
  <c r="T157" i="4"/>
  <c r="U157" i="4" s="1"/>
  <c r="O157" i="4"/>
  <c r="N157" i="4"/>
  <c r="L157" i="4"/>
  <c r="K157" i="4"/>
  <c r="BY156" i="4"/>
  <c r="BZ156" i="4" s="1"/>
  <c r="BV156" i="4"/>
  <c r="BW156" i="4" s="1"/>
  <c r="BP156" i="4"/>
  <c r="BQ156" i="4" s="1"/>
  <c r="BM156" i="4"/>
  <c r="BN156" i="4" s="1"/>
  <c r="BG156" i="4"/>
  <c r="BH156" i="4" s="1"/>
  <c r="BD156" i="4"/>
  <c r="BE156" i="4" s="1"/>
  <c r="AX156" i="4"/>
  <c r="AY156" i="4" s="1"/>
  <c r="AU156" i="4"/>
  <c r="AV156" i="4" s="1"/>
  <c r="AO156" i="4"/>
  <c r="AP156" i="4" s="1"/>
  <c r="AL156" i="4"/>
  <c r="AM156" i="4" s="1"/>
  <c r="AF156" i="4"/>
  <c r="AG156" i="4" s="1"/>
  <c r="AC156" i="4"/>
  <c r="AD156" i="4" s="1"/>
  <c r="W156" i="4"/>
  <c r="X156" i="4" s="1"/>
  <c r="T156" i="4"/>
  <c r="U156" i="4" s="1"/>
  <c r="N156" i="4"/>
  <c r="O156" i="4" s="1"/>
  <c r="K156" i="4"/>
  <c r="L156" i="4" s="1"/>
  <c r="BY155" i="4"/>
  <c r="BZ155" i="4" s="1"/>
  <c r="BV155" i="4"/>
  <c r="BW155" i="4" s="1"/>
  <c r="BP155" i="4"/>
  <c r="BQ155" i="4" s="1"/>
  <c r="BM155" i="4"/>
  <c r="BN155" i="4" s="1"/>
  <c r="BG155" i="4"/>
  <c r="BH155" i="4" s="1"/>
  <c r="BD155" i="4"/>
  <c r="BE155" i="4" s="1"/>
  <c r="AX155" i="4"/>
  <c r="AY155" i="4" s="1"/>
  <c r="AU155" i="4"/>
  <c r="AV155" i="4" s="1"/>
  <c r="AO155" i="4"/>
  <c r="AP155" i="4" s="1"/>
  <c r="AL155" i="4"/>
  <c r="AM155" i="4" s="1"/>
  <c r="AF155" i="4"/>
  <c r="AG155" i="4" s="1"/>
  <c r="AC155" i="4"/>
  <c r="AD155" i="4" s="1"/>
  <c r="W155" i="4"/>
  <c r="X155" i="4" s="1"/>
  <c r="T155" i="4"/>
  <c r="U155" i="4" s="1"/>
  <c r="N155" i="4"/>
  <c r="O155" i="4" s="1"/>
  <c r="K155" i="4"/>
  <c r="L155" i="4" s="1"/>
  <c r="BY154" i="4"/>
  <c r="BZ154" i="4" s="1"/>
  <c r="BV154" i="4"/>
  <c r="BW154" i="4" s="1"/>
  <c r="BP154" i="4"/>
  <c r="BQ154" i="4" s="1"/>
  <c r="BM154" i="4"/>
  <c r="BN154" i="4" s="1"/>
  <c r="BG154" i="4"/>
  <c r="BH154" i="4" s="1"/>
  <c r="BE154" i="4"/>
  <c r="BD154" i="4"/>
  <c r="AX154" i="4"/>
  <c r="AY154" i="4" s="1"/>
  <c r="AU154" i="4"/>
  <c r="AV154" i="4" s="1"/>
  <c r="AO154" i="4"/>
  <c r="AP154" i="4" s="1"/>
  <c r="AM154" i="4"/>
  <c r="AL154" i="4"/>
  <c r="AF154" i="4"/>
  <c r="AG154" i="4" s="1"/>
  <c r="AC154" i="4"/>
  <c r="AD154" i="4" s="1"/>
  <c r="W154" i="4"/>
  <c r="X154" i="4" s="1"/>
  <c r="T154" i="4"/>
  <c r="U154" i="4" s="1"/>
  <c r="N154" i="4"/>
  <c r="O154" i="4" s="1"/>
  <c r="K154" i="4"/>
  <c r="L154" i="4" s="1"/>
  <c r="BY153" i="4"/>
  <c r="BZ153" i="4" s="1"/>
  <c r="BV153" i="4"/>
  <c r="BW153" i="4" s="1"/>
  <c r="BP153" i="4"/>
  <c r="BQ153" i="4" s="1"/>
  <c r="BM153" i="4"/>
  <c r="BN153" i="4" s="1"/>
  <c r="BG153" i="4"/>
  <c r="BH153" i="4" s="1"/>
  <c r="BE153" i="4"/>
  <c r="BD153" i="4"/>
  <c r="AY153" i="4"/>
  <c r="AX153" i="4"/>
  <c r="AU153" i="4"/>
  <c r="AV153" i="4" s="1"/>
  <c r="AO153" i="4"/>
  <c r="AP153" i="4" s="1"/>
  <c r="AL153" i="4"/>
  <c r="AM153" i="4" s="1"/>
  <c r="AF153" i="4"/>
  <c r="AG153" i="4" s="1"/>
  <c r="AC153" i="4"/>
  <c r="AD153" i="4" s="1"/>
  <c r="W153" i="4"/>
  <c r="X153" i="4" s="1"/>
  <c r="T153" i="4"/>
  <c r="U153" i="4" s="1"/>
  <c r="N153" i="4"/>
  <c r="O153" i="4" s="1"/>
  <c r="L153" i="4"/>
  <c r="K153" i="4"/>
  <c r="BY152" i="4"/>
  <c r="BZ152" i="4" s="1"/>
  <c r="BV152" i="4"/>
  <c r="BW152" i="4" s="1"/>
  <c r="BP152" i="4"/>
  <c r="BQ152" i="4" s="1"/>
  <c r="BM152" i="4"/>
  <c r="BN152" i="4" s="1"/>
  <c r="BG152" i="4"/>
  <c r="BH152" i="4" s="1"/>
  <c r="BD152" i="4"/>
  <c r="BE152" i="4" s="1"/>
  <c r="AX152" i="4"/>
  <c r="AY152" i="4" s="1"/>
  <c r="AU152" i="4"/>
  <c r="AV152" i="4" s="1"/>
  <c r="AO152" i="4"/>
  <c r="AP152" i="4" s="1"/>
  <c r="AL152" i="4"/>
  <c r="AM152" i="4" s="1"/>
  <c r="AF152" i="4"/>
  <c r="AG152" i="4" s="1"/>
  <c r="AC152" i="4"/>
  <c r="AD152" i="4" s="1"/>
  <c r="W152" i="4"/>
  <c r="X152" i="4" s="1"/>
  <c r="U152" i="4"/>
  <c r="T152" i="4"/>
  <c r="O152" i="4"/>
  <c r="N152" i="4"/>
  <c r="K152" i="4"/>
  <c r="L152" i="4" s="1"/>
  <c r="BY151" i="4"/>
  <c r="BZ151" i="4" s="1"/>
  <c r="BV151" i="4"/>
  <c r="BW151" i="4" s="1"/>
  <c r="BP151" i="4"/>
  <c r="BQ151" i="4" s="1"/>
  <c r="BM151" i="4"/>
  <c r="BN151" i="4" s="1"/>
  <c r="BG151" i="4"/>
  <c r="BH151" i="4" s="1"/>
  <c r="BE151" i="4"/>
  <c r="BD151" i="4"/>
  <c r="AY151" i="4"/>
  <c r="AX151" i="4"/>
  <c r="AU151" i="4"/>
  <c r="AV151" i="4" s="1"/>
  <c r="AO151" i="4"/>
  <c r="AP151" i="4" s="1"/>
  <c r="AL151" i="4"/>
  <c r="AM151" i="4" s="1"/>
  <c r="AF151" i="4"/>
  <c r="AG151" i="4" s="1"/>
  <c r="AC151" i="4"/>
  <c r="AD151" i="4" s="1"/>
  <c r="W151" i="4"/>
  <c r="X151" i="4" s="1"/>
  <c r="T151" i="4"/>
  <c r="U151" i="4" s="1"/>
  <c r="N151" i="4"/>
  <c r="O151" i="4" s="1"/>
  <c r="K151" i="4"/>
  <c r="L151" i="4" s="1"/>
  <c r="BY150" i="4"/>
  <c r="BZ150" i="4" s="1"/>
  <c r="BW150" i="4"/>
  <c r="BV150" i="4"/>
  <c r="BP150" i="4"/>
  <c r="BQ150" i="4" s="1"/>
  <c r="BM150" i="4"/>
  <c r="BN150" i="4" s="1"/>
  <c r="BG150" i="4"/>
  <c r="BH150" i="4" s="1"/>
  <c r="BD150" i="4"/>
  <c r="BE150" i="4" s="1"/>
  <c r="AX150" i="4"/>
  <c r="AY150" i="4" s="1"/>
  <c r="AU150" i="4"/>
  <c r="AV150" i="4" s="1"/>
  <c r="AO150" i="4"/>
  <c r="AP150" i="4" s="1"/>
  <c r="AM150" i="4"/>
  <c r="AL150" i="4"/>
  <c r="AF150" i="4"/>
  <c r="AG150" i="4" s="1"/>
  <c r="AC150" i="4"/>
  <c r="AD150" i="4" s="1"/>
  <c r="W150" i="4"/>
  <c r="X150" i="4" s="1"/>
  <c r="T150" i="4"/>
  <c r="U150" i="4" s="1"/>
  <c r="N150" i="4"/>
  <c r="O150" i="4" s="1"/>
  <c r="K150" i="4"/>
  <c r="L150" i="4" s="1"/>
  <c r="BY149" i="4"/>
  <c r="BZ149" i="4" s="1"/>
  <c r="BV149" i="4"/>
  <c r="BW149" i="4" s="1"/>
  <c r="BQ149" i="4"/>
  <c r="BP149" i="4"/>
  <c r="BM149" i="4"/>
  <c r="BN149" i="4" s="1"/>
  <c r="BG149" i="4"/>
  <c r="BH149" i="4" s="1"/>
  <c r="BE149" i="4"/>
  <c r="BD149" i="4"/>
  <c r="AX149" i="4"/>
  <c r="AY149" i="4" s="1"/>
  <c r="AV149" i="4"/>
  <c r="AU149" i="4"/>
  <c r="AO149" i="4"/>
  <c r="AP149" i="4" s="1"/>
  <c r="AL149" i="4"/>
  <c r="AM149" i="4" s="1"/>
  <c r="AF149" i="4"/>
  <c r="AG149" i="4" s="1"/>
  <c r="AC149" i="4"/>
  <c r="AD149" i="4" s="1"/>
  <c r="W149" i="4"/>
  <c r="X149" i="4" s="1"/>
  <c r="T149" i="4"/>
  <c r="U149" i="4" s="1"/>
  <c r="O149" i="4"/>
  <c r="N149" i="4"/>
  <c r="L149" i="4"/>
  <c r="K149" i="4"/>
  <c r="BY148" i="4"/>
  <c r="BZ148" i="4" s="1"/>
  <c r="BV148" i="4"/>
  <c r="BW148" i="4" s="1"/>
  <c r="BP148" i="4"/>
  <c r="BQ148" i="4" s="1"/>
  <c r="BM148" i="4"/>
  <c r="BN148" i="4" s="1"/>
  <c r="BG148" i="4"/>
  <c r="BH148" i="4" s="1"/>
  <c r="BD148" i="4"/>
  <c r="BE148" i="4" s="1"/>
  <c r="AX148" i="4"/>
  <c r="AY148" i="4" s="1"/>
  <c r="AU148" i="4"/>
  <c r="AV148" i="4" s="1"/>
  <c r="AO148" i="4"/>
  <c r="AP148" i="4" s="1"/>
  <c r="AL148" i="4"/>
  <c r="AM148" i="4" s="1"/>
  <c r="AF148" i="4"/>
  <c r="AG148" i="4" s="1"/>
  <c r="AC148" i="4"/>
  <c r="AD148" i="4" s="1"/>
  <c r="W148" i="4"/>
  <c r="X148" i="4" s="1"/>
  <c r="T148" i="4"/>
  <c r="U148" i="4" s="1"/>
  <c r="N148" i="4"/>
  <c r="O148" i="4" s="1"/>
  <c r="K148" i="4"/>
  <c r="L148" i="4" s="1"/>
  <c r="BY147" i="4"/>
  <c r="BZ147" i="4" s="1"/>
  <c r="BV147" i="4"/>
  <c r="BW147" i="4" s="1"/>
  <c r="BP147" i="4"/>
  <c r="BQ147" i="4" s="1"/>
  <c r="BN147" i="4"/>
  <c r="BM147" i="4"/>
  <c r="BG147" i="4"/>
  <c r="BH147" i="4" s="1"/>
  <c r="BD147" i="4"/>
  <c r="BE147" i="4" s="1"/>
  <c r="AX147" i="4"/>
  <c r="AY147" i="4" s="1"/>
  <c r="AU147" i="4"/>
  <c r="AV147" i="4" s="1"/>
  <c r="AO147" i="4"/>
  <c r="AP147" i="4" s="1"/>
  <c r="AL147" i="4"/>
  <c r="AM147" i="4" s="1"/>
  <c r="AF147" i="4"/>
  <c r="AG147" i="4" s="1"/>
  <c r="AC147" i="4"/>
  <c r="AD147" i="4" s="1"/>
  <c r="W147" i="4"/>
  <c r="X147" i="4" s="1"/>
  <c r="T147" i="4"/>
  <c r="U147" i="4" s="1"/>
  <c r="O147" i="4"/>
  <c r="N147" i="4"/>
  <c r="K147" i="4"/>
  <c r="L147" i="4" s="1"/>
  <c r="BY146" i="4"/>
  <c r="BZ146" i="4" s="1"/>
  <c r="BV146" i="4"/>
  <c r="BW146" i="4" s="1"/>
  <c r="BP146" i="4"/>
  <c r="BQ146" i="4" s="1"/>
  <c r="BM146" i="4"/>
  <c r="BN146" i="4" s="1"/>
  <c r="BG146" i="4"/>
  <c r="BH146" i="4" s="1"/>
  <c r="BE146" i="4"/>
  <c r="BD146" i="4"/>
  <c r="AX146" i="4"/>
  <c r="AY146" i="4" s="1"/>
  <c r="AU146" i="4"/>
  <c r="AV146" i="4" s="1"/>
  <c r="AO146" i="4"/>
  <c r="AP146" i="4" s="1"/>
  <c r="AL146" i="4"/>
  <c r="AM146" i="4" s="1"/>
  <c r="AF146" i="4"/>
  <c r="AG146" i="4" s="1"/>
  <c r="AC146" i="4"/>
  <c r="AD146" i="4" s="1"/>
  <c r="W146" i="4"/>
  <c r="X146" i="4" s="1"/>
  <c r="T146" i="4"/>
  <c r="U146" i="4" s="1"/>
  <c r="O146" i="4"/>
  <c r="N146" i="4"/>
  <c r="K146" i="4"/>
  <c r="L146" i="4" s="1"/>
  <c r="BC7" i="4"/>
  <c r="BC8" i="4"/>
  <c r="BC9" i="4"/>
  <c r="BC10" i="4"/>
  <c r="BC11" i="4"/>
  <c r="BC12" i="4"/>
  <c r="BC13" i="4"/>
  <c r="BC14" i="4"/>
  <c r="BC15" i="4"/>
  <c r="BC16" i="4"/>
  <c r="BC17" i="4"/>
  <c r="BC18" i="4"/>
  <c r="BC19" i="4"/>
  <c r="BC20" i="4"/>
  <c r="BC21" i="4"/>
  <c r="BC22" i="4"/>
  <c r="BC23" i="4"/>
  <c r="BC24" i="4"/>
  <c r="BC25" i="4"/>
  <c r="BC26" i="4"/>
  <c r="BC27" i="4"/>
  <c r="BC28" i="4"/>
  <c r="BC29" i="4"/>
  <c r="BC30" i="4"/>
  <c r="BC31" i="4"/>
  <c r="BC32" i="4"/>
  <c r="BC33" i="4"/>
  <c r="BC34" i="4"/>
  <c r="BC35" i="4"/>
  <c r="BC36" i="4"/>
  <c r="BC37" i="4"/>
  <c r="BC38" i="4"/>
  <c r="BC39" i="4"/>
  <c r="BC40" i="4"/>
  <c r="BC6" i="4"/>
  <c r="BH7" i="4"/>
  <c r="BH8" i="4"/>
  <c r="BH9" i="4"/>
  <c r="BH10" i="4"/>
  <c r="BH11" i="4"/>
  <c r="BH12" i="4"/>
  <c r="BH13" i="4"/>
  <c r="BH14" i="4"/>
  <c r="BH15" i="4"/>
  <c r="BH16" i="4"/>
  <c r="BH17" i="4"/>
  <c r="BH18" i="4"/>
  <c r="BH19" i="4"/>
  <c r="BH20" i="4"/>
  <c r="BH21" i="4"/>
  <c r="BH22" i="4"/>
  <c r="BH23" i="4"/>
  <c r="BH24" i="4"/>
  <c r="BH25" i="4"/>
  <c r="BH26" i="4"/>
  <c r="BH27" i="4"/>
  <c r="BH28" i="4"/>
  <c r="BH29" i="4"/>
  <c r="BH30" i="4"/>
  <c r="BH31" i="4"/>
  <c r="BH32" i="4"/>
  <c r="BH33" i="4"/>
  <c r="BH34" i="4"/>
  <c r="BH35" i="4"/>
  <c r="BH36" i="4"/>
  <c r="BH37" i="4"/>
  <c r="BH38" i="4"/>
  <c r="BH39" i="4"/>
  <c r="BH40" i="4"/>
  <c r="BH41" i="4"/>
  <c r="BH6" i="4"/>
  <c r="BM7" i="4"/>
  <c r="BM8" i="4"/>
  <c r="BM9" i="4"/>
  <c r="BM10" i="4"/>
  <c r="BM11" i="4"/>
  <c r="BM12" i="4"/>
  <c r="BM13" i="4"/>
  <c r="BM14" i="4"/>
  <c r="BM15" i="4"/>
  <c r="BM16" i="4"/>
  <c r="BM17" i="4"/>
  <c r="BM18" i="4"/>
  <c r="BM19" i="4"/>
  <c r="BM20" i="4"/>
  <c r="BM21" i="4"/>
  <c r="BM22" i="4"/>
  <c r="BM23" i="4"/>
  <c r="BM24" i="4"/>
  <c r="BM25" i="4"/>
  <c r="BM26" i="4"/>
  <c r="BM27" i="4"/>
  <c r="BM28" i="4"/>
  <c r="BM29" i="4"/>
  <c r="BM30" i="4"/>
  <c r="BM31" i="4"/>
  <c r="BM32" i="4"/>
  <c r="BM33" i="4"/>
  <c r="BM34" i="4"/>
  <c r="BM35" i="4"/>
  <c r="BM36" i="4"/>
  <c r="BM37" i="4"/>
  <c r="BM38" i="4"/>
  <c r="BM39" i="4"/>
  <c r="BM40" i="4"/>
  <c r="BM41" i="4"/>
  <c r="BM6" i="4"/>
  <c r="BR7" i="4"/>
  <c r="BR8" i="4"/>
  <c r="BR9" i="4"/>
  <c r="BR10" i="4"/>
  <c r="BR11" i="4"/>
  <c r="BR12" i="4"/>
  <c r="BR13" i="4"/>
  <c r="BR14" i="4"/>
  <c r="BR15" i="4"/>
  <c r="BR16" i="4"/>
  <c r="BR17" i="4"/>
  <c r="BR18" i="4"/>
  <c r="BR19" i="4"/>
  <c r="BR20" i="4"/>
  <c r="BR21" i="4"/>
  <c r="BR22" i="4"/>
  <c r="BR23" i="4"/>
  <c r="BR24" i="4"/>
  <c r="BR25" i="4"/>
  <c r="BR26" i="4"/>
  <c r="BR27" i="4"/>
  <c r="BR28" i="4"/>
  <c r="BR29" i="4"/>
  <c r="BR30" i="4"/>
  <c r="BR31" i="4"/>
  <c r="BR32" i="4"/>
  <c r="BR33" i="4"/>
  <c r="BR34" i="4"/>
  <c r="BR35" i="4"/>
  <c r="BR36" i="4"/>
  <c r="BR37" i="4"/>
  <c r="BR38" i="4"/>
  <c r="BR39" i="4"/>
  <c r="BR40" i="4"/>
  <c r="BR6" i="4"/>
  <c r="BW7" i="4"/>
  <c r="BW8" i="4"/>
  <c r="BW9" i="4"/>
  <c r="BW10" i="4"/>
  <c r="BW11" i="4"/>
  <c r="BW12" i="4"/>
  <c r="BW13" i="4"/>
  <c r="BW14" i="4"/>
  <c r="BW15" i="4"/>
  <c r="BW16" i="4"/>
  <c r="BW17" i="4"/>
  <c r="BW18" i="4"/>
  <c r="BW19" i="4"/>
  <c r="BW20" i="4"/>
  <c r="BW21" i="4"/>
  <c r="BW22" i="4"/>
  <c r="BW23" i="4"/>
  <c r="BW24" i="4"/>
  <c r="BW25" i="4"/>
  <c r="BW26" i="4"/>
  <c r="BW27" i="4"/>
  <c r="BW28" i="4"/>
  <c r="BW29" i="4"/>
  <c r="BW30" i="4"/>
  <c r="BW31" i="4"/>
  <c r="BW32" i="4"/>
  <c r="BW33" i="4"/>
  <c r="BW34" i="4"/>
  <c r="BW35" i="4"/>
  <c r="BW36" i="4"/>
  <c r="BW37" i="4"/>
  <c r="BW38" i="4"/>
  <c r="BW39" i="4"/>
  <c r="BW40" i="4"/>
  <c r="BW6" i="4"/>
  <c r="CB7" i="4"/>
  <c r="CB8" i="4"/>
  <c r="CB9" i="4"/>
  <c r="CB10" i="4"/>
  <c r="CB11" i="4"/>
  <c r="CB12" i="4"/>
  <c r="CB13" i="4"/>
  <c r="CB14" i="4"/>
  <c r="CB15" i="4"/>
  <c r="CB16" i="4"/>
  <c r="CB17" i="4"/>
  <c r="CB18" i="4"/>
  <c r="CB19" i="4"/>
  <c r="CB20" i="4"/>
  <c r="CB21" i="4"/>
  <c r="CB22" i="4"/>
  <c r="CB23" i="4"/>
  <c r="CB24" i="4"/>
  <c r="CB25" i="4"/>
  <c r="CB26" i="4"/>
  <c r="CB27" i="4"/>
  <c r="CB28" i="4"/>
  <c r="CB29" i="4"/>
  <c r="CB30" i="4"/>
  <c r="CB31" i="4"/>
  <c r="CB32" i="4"/>
  <c r="CB33" i="4"/>
  <c r="CB34" i="4"/>
  <c r="CB35" i="4"/>
  <c r="CB36" i="4"/>
  <c r="CB37" i="4"/>
  <c r="CB38" i="4"/>
  <c r="CB39" i="4"/>
  <c r="CB40" i="4"/>
  <c r="CB6" i="4"/>
  <c r="CP7" i="4"/>
  <c r="CP8" i="4"/>
  <c r="CP9" i="4"/>
  <c r="CP10" i="4"/>
  <c r="CP11" i="4"/>
  <c r="CP12" i="4"/>
  <c r="CP13" i="4"/>
  <c r="CP14" i="4"/>
  <c r="CP15" i="4"/>
  <c r="CP16" i="4"/>
  <c r="CP17" i="4"/>
  <c r="CP18" i="4"/>
  <c r="CP19" i="4"/>
  <c r="CP20" i="4"/>
  <c r="CP21" i="4"/>
  <c r="CP22" i="4"/>
  <c r="CP23" i="4"/>
  <c r="CP24" i="4"/>
  <c r="CP25" i="4"/>
  <c r="CP26" i="4"/>
  <c r="CP27" i="4"/>
  <c r="CP28" i="4"/>
  <c r="CP29" i="4"/>
  <c r="CP30" i="4"/>
  <c r="CP31" i="4"/>
  <c r="CP32" i="4"/>
  <c r="CP33" i="4"/>
  <c r="CP34" i="4"/>
  <c r="CP35" i="4"/>
  <c r="CP36" i="4"/>
  <c r="CP37" i="4"/>
  <c r="CP38" i="4"/>
  <c r="CP39" i="4"/>
  <c r="CP40" i="4"/>
  <c r="CP6" i="4"/>
  <c r="CU7" i="4"/>
  <c r="CU8" i="4"/>
  <c r="CU9" i="4"/>
  <c r="CU10" i="4"/>
  <c r="CU11" i="4"/>
  <c r="CU12" i="4"/>
  <c r="CU13" i="4"/>
  <c r="CU14" i="4"/>
  <c r="CU15" i="4"/>
  <c r="CU16" i="4"/>
  <c r="CU17" i="4"/>
  <c r="CU18" i="4"/>
  <c r="CU19" i="4"/>
  <c r="CU20" i="4"/>
  <c r="CU21" i="4"/>
  <c r="CU22" i="4"/>
  <c r="CU23" i="4"/>
  <c r="CU24" i="4"/>
  <c r="CU25" i="4"/>
  <c r="CU26" i="4"/>
  <c r="CU27" i="4"/>
  <c r="CU28" i="4"/>
  <c r="CU29" i="4"/>
  <c r="CU30" i="4"/>
  <c r="CU31" i="4"/>
  <c r="CU32" i="4"/>
  <c r="CU33" i="4"/>
  <c r="CU34" i="4"/>
  <c r="CU35" i="4"/>
  <c r="CU36" i="4"/>
  <c r="CU37" i="4"/>
  <c r="CU38" i="4"/>
  <c r="CU39" i="4"/>
  <c r="CU40" i="4"/>
  <c r="CU6" i="4"/>
  <c r="CZ7" i="4"/>
  <c r="CZ8" i="4"/>
  <c r="CZ9" i="4"/>
  <c r="CZ10" i="4"/>
  <c r="CZ11" i="4"/>
  <c r="CZ12" i="4"/>
  <c r="CZ13" i="4"/>
  <c r="CZ14" i="4"/>
  <c r="CZ15" i="4"/>
  <c r="CZ16" i="4"/>
  <c r="CZ17" i="4"/>
  <c r="CZ18" i="4"/>
  <c r="CZ19" i="4"/>
  <c r="CZ20" i="4"/>
  <c r="CZ21" i="4"/>
  <c r="CZ22" i="4"/>
  <c r="CZ23" i="4"/>
  <c r="CZ24" i="4"/>
  <c r="CZ25" i="4"/>
  <c r="CZ26" i="4"/>
  <c r="CZ27" i="4"/>
  <c r="CZ28" i="4"/>
  <c r="CZ29" i="4"/>
  <c r="CZ30" i="4"/>
  <c r="CZ31" i="4"/>
  <c r="CZ32" i="4"/>
  <c r="CZ33" i="4"/>
  <c r="CZ34" i="4"/>
  <c r="CZ35" i="4"/>
  <c r="CZ36" i="4"/>
  <c r="CZ37" i="4"/>
  <c r="CZ38" i="4"/>
  <c r="CZ39" i="4"/>
  <c r="CZ40" i="4"/>
  <c r="CZ6" i="4"/>
  <c r="DE7" i="4"/>
  <c r="DE8" i="4"/>
  <c r="DE9" i="4"/>
  <c r="DE10" i="4"/>
  <c r="DE11" i="4"/>
  <c r="DE12" i="4"/>
  <c r="DE13" i="4"/>
  <c r="DE14" i="4"/>
  <c r="DE15" i="4"/>
  <c r="DE16" i="4"/>
  <c r="DE17" i="4"/>
  <c r="DE18" i="4"/>
  <c r="DE19" i="4"/>
  <c r="DE20" i="4"/>
  <c r="DE21" i="4"/>
  <c r="DE22" i="4"/>
  <c r="DE23" i="4"/>
  <c r="DE24" i="4"/>
  <c r="DE25" i="4"/>
  <c r="DE26" i="4"/>
  <c r="DE27" i="4"/>
  <c r="DE28" i="4"/>
  <c r="DE29" i="4"/>
  <c r="DE30" i="4"/>
  <c r="DE31" i="4"/>
  <c r="DE32" i="4"/>
  <c r="DE33" i="4"/>
  <c r="DE34" i="4"/>
  <c r="DE35" i="4"/>
  <c r="DE36" i="4"/>
  <c r="DE37" i="4"/>
  <c r="DE38" i="4"/>
  <c r="DE39" i="4"/>
  <c r="DE40" i="4"/>
  <c r="DE6" i="4"/>
  <c r="DJ7" i="4"/>
  <c r="DJ8" i="4"/>
  <c r="DJ9" i="4"/>
  <c r="DJ10" i="4"/>
  <c r="DJ11" i="4"/>
  <c r="DJ12" i="4"/>
  <c r="DJ13" i="4"/>
  <c r="DJ14" i="4"/>
  <c r="DJ15" i="4"/>
  <c r="DJ16" i="4"/>
  <c r="DJ17" i="4"/>
  <c r="DJ18" i="4"/>
  <c r="DJ19" i="4"/>
  <c r="DJ20" i="4"/>
  <c r="DJ21" i="4"/>
  <c r="DJ22" i="4"/>
  <c r="DJ23" i="4"/>
  <c r="DJ24" i="4"/>
  <c r="DJ25" i="4"/>
  <c r="DJ26" i="4"/>
  <c r="DJ27" i="4"/>
  <c r="DJ28" i="4"/>
  <c r="DJ29" i="4"/>
  <c r="DJ30" i="4"/>
  <c r="DJ31" i="4"/>
  <c r="DJ32" i="4"/>
  <c r="DJ33" i="4"/>
  <c r="DJ34" i="4"/>
  <c r="DJ35" i="4"/>
  <c r="DJ36" i="4"/>
  <c r="DJ37" i="4"/>
  <c r="DJ38" i="4"/>
  <c r="DJ39" i="4"/>
  <c r="DJ40" i="4"/>
  <c r="DJ6" i="4"/>
  <c r="DO7" i="4"/>
  <c r="DO8" i="4"/>
  <c r="DO9" i="4"/>
  <c r="DO10" i="4"/>
  <c r="DO11" i="4"/>
  <c r="DO12" i="4"/>
  <c r="DO13" i="4"/>
  <c r="DO14" i="4"/>
  <c r="DO15" i="4"/>
  <c r="DO16" i="4"/>
  <c r="DO17" i="4"/>
  <c r="DO18" i="4"/>
  <c r="DO19" i="4"/>
  <c r="DO20" i="4"/>
  <c r="DO21" i="4"/>
  <c r="DO22" i="4"/>
  <c r="DO23" i="4"/>
  <c r="DO24" i="4"/>
  <c r="DO25" i="4"/>
  <c r="DO26" i="4"/>
  <c r="DO27" i="4"/>
  <c r="DO28" i="4"/>
  <c r="DO29" i="4"/>
  <c r="DO30" i="4"/>
  <c r="DO31" i="4"/>
  <c r="DO32" i="4"/>
  <c r="DO33" i="4"/>
  <c r="DO34" i="4"/>
  <c r="DO35" i="4"/>
  <c r="DO36" i="4"/>
  <c r="DO37" i="4"/>
  <c r="DO38" i="4"/>
  <c r="DO39" i="4"/>
  <c r="DO40" i="4"/>
  <c r="DO6" i="4"/>
  <c r="DT7" i="4"/>
  <c r="DT8" i="4"/>
  <c r="DT9" i="4"/>
  <c r="DT10" i="4"/>
  <c r="DT11" i="4"/>
  <c r="DT12" i="4"/>
  <c r="DT13" i="4"/>
  <c r="DT14" i="4"/>
  <c r="DT15" i="4"/>
  <c r="DT16" i="4"/>
  <c r="DT17" i="4"/>
  <c r="DT18" i="4"/>
  <c r="DT19" i="4"/>
  <c r="DT20" i="4"/>
  <c r="DT21" i="4"/>
  <c r="DT22" i="4"/>
  <c r="DT23" i="4"/>
  <c r="DT24" i="4"/>
  <c r="DT25" i="4"/>
  <c r="DT26" i="4"/>
  <c r="DT27" i="4"/>
  <c r="DT28" i="4"/>
  <c r="DT29" i="4"/>
  <c r="DT30" i="4"/>
  <c r="DT31" i="4"/>
  <c r="DT32" i="4"/>
  <c r="DT33" i="4"/>
  <c r="DT34" i="4"/>
  <c r="DT35" i="4"/>
  <c r="DT36" i="4"/>
  <c r="DT37" i="4"/>
  <c r="DT38" i="4"/>
  <c r="DT39" i="4"/>
  <c r="DT40" i="4"/>
  <c r="DT6" i="4"/>
  <c r="I66" i="3"/>
  <c r="H66" i="3"/>
  <c r="G66" i="3"/>
  <c r="F66" i="3"/>
  <c r="E66" i="3"/>
  <c r="D66" i="3"/>
  <c r="D63" i="3"/>
  <c r="D64" i="3" s="1"/>
  <c r="D65" i="3" s="1"/>
  <c r="I65" i="3"/>
  <c r="F65" i="3"/>
  <c r="G65" i="3"/>
  <c r="H65" i="3"/>
  <c r="F64" i="3"/>
  <c r="G64" i="3"/>
  <c r="H64" i="3"/>
  <c r="I64" i="3"/>
  <c r="I63" i="3"/>
  <c r="H63" i="3"/>
  <c r="G63" i="3"/>
  <c r="F63" i="3"/>
  <c r="C65" i="3"/>
  <c r="E65" i="3"/>
  <c r="C64" i="3"/>
  <c r="E64" i="3"/>
  <c r="E63" i="3"/>
  <c r="C63" i="3"/>
  <c r="B65" i="3"/>
  <c r="B64" i="3"/>
  <c r="B63" i="3"/>
  <c r="O58" i="3"/>
  <c r="P58" i="3"/>
  <c r="Q58" i="3"/>
  <c r="R58" i="3"/>
  <c r="S58" i="3"/>
  <c r="T58" i="3"/>
  <c r="U58" i="3"/>
  <c r="V58" i="3"/>
  <c r="W58" i="3"/>
  <c r="X58" i="3"/>
  <c r="Y58" i="3"/>
  <c r="C58" i="3"/>
  <c r="D58" i="3"/>
  <c r="E58" i="3"/>
  <c r="G58" i="3"/>
  <c r="H58" i="3"/>
  <c r="I58" i="3"/>
  <c r="J58" i="3"/>
  <c r="K58" i="3"/>
  <c r="L58" i="3"/>
  <c r="M58" i="3"/>
  <c r="N58" i="3"/>
  <c r="H57" i="3"/>
  <c r="I57" i="3"/>
  <c r="J57" i="3"/>
  <c r="K57" i="3"/>
  <c r="L57" i="3"/>
  <c r="M57" i="3"/>
  <c r="N57" i="3"/>
  <c r="O57" i="3"/>
  <c r="P57" i="3"/>
  <c r="Q57" i="3"/>
  <c r="R57" i="3"/>
  <c r="S57" i="3"/>
  <c r="T57" i="3"/>
  <c r="U57" i="3"/>
  <c r="V57" i="3"/>
  <c r="W57" i="3"/>
  <c r="X57" i="3"/>
  <c r="Y57" i="3"/>
  <c r="Y56" i="3"/>
  <c r="X56" i="3"/>
  <c r="W56" i="3"/>
  <c r="U56" i="3"/>
  <c r="V56" i="3"/>
  <c r="T56" i="3"/>
  <c r="S56" i="3"/>
  <c r="BD8" i="3"/>
  <c r="BD9" i="3"/>
  <c r="BD10" i="3"/>
  <c r="BD11" i="3"/>
  <c r="BD12" i="3"/>
  <c r="BD13" i="3"/>
  <c r="BD14" i="3"/>
  <c r="BD15" i="3"/>
  <c r="BD16" i="3"/>
  <c r="BD17" i="3"/>
  <c r="BD18" i="3"/>
  <c r="BD19" i="3"/>
  <c r="BD20" i="3"/>
  <c r="BD21" i="3"/>
  <c r="BD22" i="3"/>
  <c r="BD23" i="3"/>
  <c r="BD24" i="3"/>
  <c r="BD25" i="3"/>
  <c r="BD26" i="3"/>
  <c r="BD27" i="3"/>
  <c r="BD28" i="3"/>
  <c r="BD29" i="3"/>
  <c r="BD30" i="3"/>
  <c r="BD31" i="3"/>
  <c r="BD32" i="3"/>
  <c r="BD33" i="3"/>
  <c r="BD34" i="3"/>
  <c r="BD35" i="3"/>
  <c r="BD36" i="3"/>
  <c r="BD37" i="3"/>
  <c r="BD38" i="3"/>
  <c r="BD39" i="3"/>
  <c r="BD7" i="3"/>
  <c r="R56" i="3"/>
  <c r="Q56" i="3"/>
  <c r="P56" i="3"/>
  <c r="O56" i="3"/>
  <c r="N56" i="3"/>
  <c r="M56" i="3"/>
  <c r="L56" i="3"/>
  <c r="K56" i="3"/>
  <c r="J56" i="3"/>
  <c r="I56" i="3"/>
  <c r="H56" i="3"/>
  <c r="D57" i="3"/>
  <c r="E57" i="3"/>
  <c r="F57" i="3"/>
  <c r="G57" i="3"/>
  <c r="G56" i="3"/>
  <c r="F56" i="3"/>
  <c r="E56" i="3"/>
  <c r="D56" i="3"/>
  <c r="C56" i="3"/>
  <c r="AZ10" i="2"/>
  <c r="BV8" i="3"/>
  <c r="BV9" i="3"/>
  <c r="BV10" i="3"/>
  <c r="BV11" i="3"/>
  <c r="BV12" i="3"/>
  <c r="BV13" i="3"/>
  <c r="BV14" i="3"/>
  <c r="BV15" i="3"/>
  <c r="BV16" i="3"/>
  <c r="BV17" i="3"/>
  <c r="BV18" i="3"/>
  <c r="BV19" i="3"/>
  <c r="BV20" i="3"/>
  <c r="BV21" i="3"/>
  <c r="BV22" i="3"/>
  <c r="BV23" i="3"/>
  <c r="BV24" i="3"/>
  <c r="BV25" i="3"/>
  <c r="BV26" i="3"/>
  <c r="BV27" i="3"/>
  <c r="BV28" i="3"/>
  <c r="BV29" i="3"/>
  <c r="BV30" i="3"/>
  <c r="BV31" i="3"/>
  <c r="BV32" i="3"/>
  <c r="BV33" i="3"/>
  <c r="BV34" i="3"/>
  <c r="BV35" i="3"/>
  <c r="BV36" i="3"/>
  <c r="BV37" i="3"/>
  <c r="BV38" i="3"/>
  <c r="BV39" i="3"/>
  <c r="BV7" i="3"/>
  <c r="BM8" i="3"/>
  <c r="BM9" i="3"/>
  <c r="BM10" i="3"/>
  <c r="BM11" i="3"/>
  <c r="BM12" i="3"/>
  <c r="BM13" i="3"/>
  <c r="BM14" i="3"/>
  <c r="BM15" i="3"/>
  <c r="BM16" i="3"/>
  <c r="BM17" i="3"/>
  <c r="BM18" i="3"/>
  <c r="BM19" i="3"/>
  <c r="BM20" i="3"/>
  <c r="BM21" i="3"/>
  <c r="BM22" i="3"/>
  <c r="BM23" i="3"/>
  <c r="BM24" i="3"/>
  <c r="BM25" i="3"/>
  <c r="BM26" i="3"/>
  <c r="BM27" i="3"/>
  <c r="BM28" i="3"/>
  <c r="BM29" i="3"/>
  <c r="BM30" i="3"/>
  <c r="BM31" i="3"/>
  <c r="BM32" i="3"/>
  <c r="BM33" i="3"/>
  <c r="BM34" i="3"/>
  <c r="BM35" i="3"/>
  <c r="BM36" i="3"/>
  <c r="BM37" i="3"/>
  <c r="BM38" i="3"/>
  <c r="BM39" i="3"/>
  <c r="BM7" i="3"/>
  <c r="AU8" i="3"/>
  <c r="AU9" i="3"/>
  <c r="AU10" i="3"/>
  <c r="AU11" i="3"/>
  <c r="AU12" i="3"/>
  <c r="AU13" i="3"/>
  <c r="AU14" i="3"/>
  <c r="AU15" i="3"/>
  <c r="AU16" i="3"/>
  <c r="AU17" i="3"/>
  <c r="AU18" i="3"/>
  <c r="AU19" i="3"/>
  <c r="AU20" i="3"/>
  <c r="AU21" i="3"/>
  <c r="AU22" i="3"/>
  <c r="AU23" i="3"/>
  <c r="AU24" i="3"/>
  <c r="AU25" i="3"/>
  <c r="AU26" i="3"/>
  <c r="AU27" i="3"/>
  <c r="AU28" i="3"/>
  <c r="AU29" i="3"/>
  <c r="AU30" i="3"/>
  <c r="AU31" i="3"/>
  <c r="AU32" i="3"/>
  <c r="AU33" i="3"/>
  <c r="AU34" i="3"/>
  <c r="AU35" i="3"/>
  <c r="AU36" i="3"/>
  <c r="AU37" i="3"/>
  <c r="AU38" i="3"/>
  <c r="AU39" i="3"/>
  <c r="AU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35" i="3"/>
  <c r="AL36" i="3"/>
  <c r="AL37" i="3"/>
  <c r="AL38" i="3"/>
  <c r="AL39" i="3"/>
  <c r="AL7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7" i="3"/>
  <c r="BU8" i="3"/>
  <c r="BU9" i="3"/>
  <c r="BU10" i="3"/>
  <c r="BU11" i="3"/>
  <c r="BU12" i="3"/>
  <c r="BU13" i="3"/>
  <c r="BU14" i="3"/>
  <c r="BU15" i="3"/>
  <c r="BU16" i="3"/>
  <c r="BU17" i="3"/>
  <c r="BU18" i="3"/>
  <c r="BU19" i="3"/>
  <c r="BU20" i="3"/>
  <c r="BU21" i="3"/>
  <c r="BU22" i="3"/>
  <c r="BU23" i="3"/>
  <c r="BU24" i="3"/>
  <c r="BU25" i="3"/>
  <c r="BU26" i="3"/>
  <c r="BU27" i="3"/>
  <c r="BU28" i="3"/>
  <c r="BU29" i="3"/>
  <c r="BU30" i="3"/>
  <c r="BU31" i="3"/>
  <c r="BU32" i="3"/>
  <c r="BU33" i="3"/>
  <c r="BU34" i="3"/>
  <c r="BU35" i="3"/>
  <c r="BU36" i="3"/>
  <c r="BU37" i="3"/>
  <c r="BU38" i="3"/>
  <c r="BU39" i="3"/>
  <c r="BU7" i="3"/>
  <c r="BL8" i="3"/>
  <c r="BL9" i="3"/>
  <c r="BL10" i="3"/>
  <c r="BL11" i="3"/>
  <c r="BL12" i="3"/>
  <c r="BL13" i="3"/>
  <c r="BL14" i="3"/>
  <c r="BL15" i="3"/>
  <c r="BL16" i="3"/>
  <c r="BL17" i="3"/>
  <c r="BL18" i="3"/>
  <c r="BL19" i="3"/>
  <c r="BL20" i="3"/>
  <c r="BL21" i="3"/>
  <c r="BL22" i="3"/>
  <c r="BL23" i="3"/>
  <c r="BL24" i="3"/>
  <c r="BL25" i="3"/>
  <c r="BL26" i="3"/>
  <c r="BL27" i="3"/>
  <c r="BL28" i="3"/>
  <c r="BL29" i="3"/>
  <c r="BL30" i="3"/>
  <c r="BL31" i="3"/>
  <c r="BL32" i="3"/>
  <c r="BL33" i="3"/>
  <c r="BL34" i="3"/>
  <c r="BL35" i="3"/>
  <c r="BL36" i="3"/>
  <c r="BL37" i="3"/>
  <c r="BL38" i="3"/>
  <c r="BL39" i="3"/>
  <c r="BL7" i="3"/>
  <c r="BC8" i="3"/>
  <c r="BC9" i="3"/>
  <c r="BC10" i="3"/>
  <c r="BC11" i="3"/>
  <c r="BC12" i="3"/>
  <c r="BC13" i="3"/>
  <c r="BC14" i="3"/>
  <c r="BC15" i="3"/>
  <c r="BC16" i="3"/>
  <c r="BC17" i="3"/>
  <c r="BC18" i="3"/>
  <c r="BC19" i="3"/>
  <c r="BC20" i="3"/>
  <c r="BC21" i="3"/>
  <c r="BC22" i="3"/>
  <c r="BC23" i="3"/>
  <c r="BC24" i="3"/>
  <c r="BC25" i="3"/>
  <c r="BC26" i="3"/>
  <c r="BC27" i="3"/>
  <c r="BC28" i="3"/>
  <c r="BC29" i="3"/>
  <c r="BC30" i="3"/>
  <c r="BC31" i="3"/>
  <c r="BC32" i="3"/>
  <c r="BC33" i="3"/>
  <c r="BC34" i="3"/>
  <c r="BC35" i="3"/>
  <c r="BC36" i="3"/>
  <c r="BC37" i="3"/>
  <c r="BC38" i="3"/>
  <c r="BC39" i="3"/>
  <c r="BC7" i="3"/>
  <c r="AT8" i="3"/>
  <c r="AT9" i="3"/>
  <c r="AT10" i="3"/>
  <c r="AT11" i="3"/>
  <c r="AT12" i="3"/>
  <c r="AT13" i="3"/>
  <c r="AT14" i="3"/>
  <c r="AT15" i="3"/>
  <c r="AT16" i="3"/>
  <c r="AT17" i="3"/>
  <c r="AT18" i="3"/>
  <c r="AT19" i="3"/>
  <c r="AT20" i="3"/>
  <c r="AT21" i="3"/>
  <c r="AT22" i="3"/>
  <c r="AT23" i="3"/>
  <c r="AT24" i="3"/>
  <c r="AT25" i="3"/>
  <c r="AT26" i="3"/>
  <c r="AT27" i="3"/>
  <c r="AT28" i="3"/>
  <c r="AT29" i="3"/>
  <c r="AT30" i="3"/>
  <c r="AT31" i="3"/>
  <c r="AT32" i="3"/>
  <c r="AT33" i="3"/>
  <c r="AT34" i="3"/>
  <c r="AT35" i="3"/>
  <c r="AT36" i="3"/>
  <c r="AT37" i="3"/>
  <c r="AT38" i="3"/>
  <c r="AT39" i="3"/>
  <c r="AT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2" i="3"/>
  <c r="AK33" i="3"/>
  <c r="AK34" i="3"/>
  <c r="AK35" i="3"/>
  <c r="AK36" i="3"/>
  <c r="AK37" i="3"/>
  <c r="AK38" i="3"/>
  <c r="AK39" i="3"/>
  <c r="AK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7" i="3"/>
  <c r="BS8" i="3"/>
  <c r="BS9" i="3"/>
  <c r="BS10" i="3"/>
  <c r="BS11" i="3"/>
  <c r="BS12" i="3"/>
  <c r="BS13" i="3"/>
  <c r="BS14" i="3"/>
  <c r="BS15" i="3"/>
  <c r="BS16" i="3"/>
  <c r="BS17" i="3"/>
  <c r="BS18" i="3"/>
  <c r="BS19" i="3"/>
  <c r="BS20" i="3"/>
  <c r="BS21" i="3"/>
  <c r="BS22" i="3"/>
  <c r="BS23" i="3"/>
  <c r="BS24" i="3"/>
  <c r="BS25" i="3"/>
  <c r="BS26" i="3"/>
  <c r="BS27" i="3"/>
  <c r="BS28" i="3"/>
  <c r="BS29" i="3"/>
  <c r="BS30" i="3"/>
  <c r="BS31" i="3"/>
  <c r="BS32" i="3"/>
  <c r="BS33" i="3"/>
  <c r="BS34" i="3"/>
  <c r="BS35" i="3"/>
  <c r="BS36" i="3"/>
  <c r="BS37" i="3"/>
  <c r="BS38" i="3"/>
  <c r="BS39" i="3"/>
  <c r="BS7" i="3"/>
  <c r="BR8" i="3"/>
  <c r="BR9" i="3"/>
  <c r="BR10" i="3"/>
  <c r="BR11" i="3"/>
  <c r="BR12" i="3"/>
  <c r="BR13" i="3"/>
  <c r="BR14" i="3"/>
  <c r="BR15" i="3"/>
  <c r="BR16" i="3"/>
  <c r="BR17" i="3"/>
  <c r="BR18" i="3"/>
  <c r="BR19" i="3"/>
  <c r="BR20" i="3"/>
  <c r="BR21" i="3"/>
  <c r="BR22" i="3"/>
  <c r="BR23" i="3"/>
  <c r="BR24" i="3"/>
  <c r="BR25" i="3"/>
  <c r="BR26" i="3"/>
  <c r="BR27" i="3"/>
  <c r="BR28" i="3"/>
  <c r="BR29" i="3"/>
  <c r="BR30" i="3"/>
  <c r="BR31" i="3"/>
  <c r="BR32" i="3"/>
  <c r="BR33" i="3"/>
  <c r="BR34" i="3"/>
  <c r="BR35" i="3"/>
  <c r="BR36" i="3"/>
  <c r="BR37" i="3"/>
  <c r="BR38" i="3"/>
  <c r="BR39" i="3"/>
  <c r="BR7" i="3"/>
  <c r="BJ8" i="3"/>
  <c r="BJ9" i="3"/>
  <c r="BJ10" i="3"/>
  <c r="BJ11" i="3"/>
  <c r="BJ12" i="3"/>
  <c r="BJ13" i="3"/>
  <c r="BJ14" i="3"/>
  <c r="BJ15" i="3"/>
  <c r="BJ16" i="3"/>
  <c r="BJ17" i="3"/>
  <c r="BJ18" i="3"/>
  <c r="BJ19" i="3"/>
  <c r="BJ20" i="3"/>
  <c r="BJ21" i="3"/>
  <c r="BJ22" i="3"/>
  <c r="BJ23" i="3"/>
  <c r="BJ24" i="3"/>
  <c r="BJ25" i="3"/>
  <c r="BJ26" i="3"/>
  <c r="BJ27" i="3"/>
  <c r="BJ28" i="3"/>
  <c r="BJ29" i="3"/>
  <c r="BJ30" i="3"/>
  <c r="BJ31" i="3"/>
  <c r="BJ32" i="3"/>
  <c r="BJ33" i="3"/>
  <c r="BJ34" i="3"/>
  <c r="BJ35" i="3"/>
  <c r="BJ36" i="3"/>
  <c r="BJ37" i="3"/>
  <c r="BJ38" i="3"/>
  <c r="BJ39" i="3"/>
  <c r="BJ7" i="3"/>
  <c r="BI8" i="3"/>
  <c r="BI9" i="3"/>
  <c r="BI10" i="3"/>
  <c r="BI11" i="3"/>
  <c r="BI12" i="3"/>
  <c r="BI13" i="3"/>
  <c r="BI14" i="3"/>
  <c r="BI15" i="3"/>
  <c r="BI16" i="3"/>
  <c r="BI17" i="3"/>
  <c r="BI18" i="3"/>
  <c r="BI19" i="3"/>
  <c r="BI20" i="3"/>
  <c r="BI21" i="3"/>
  <c r="BI22" i="3"/>
  <c r="BI23" i="3"/>
  <c r="BI24" i="3"/>
  <c r="BI25" i="3"/>
  <c r="BI26" i="3"/>
  <c r="BI27" i="3"/>
  <c r="BI28" i="3"/>
  <c r="BI29" i="3"/>
  <c r="BI30" i="3"/>
  <c r="BI31" i="3"/>
  <c r="BI32" i="3"/>
  <c r="BI33" i="3"/>
  <c r="BI34" i="3"/>
  <c r="BI35" i="3"/>
  <c r="BI36" i="3"/>
  <c r="BI37" i="3"/>
  <c r="BI38" i="3"/>
  <c r="BI39" i="3"/>
  <c r="BI7" i="3"/>
  <c r="BA8" i="3"/>
  <c r="BA9" i="3"/>
  <c r="BA10" i="3"/>
  <c r="BA11" i="3"/>
  <c r="BA12" i="3"/>
  <c r="BA13" i="3"/>
  <c r="BA14" i="3"/>
  <c r="BA15" i="3"/>
  <c r="BA16" i="3"/>
  <c r="BA17" i="3"/>
  <c r="BA18" i="3"/>
  <c r="BA19" i="3"/>
  <c r="BA20" i="3"/>
  <c r="BA21" i="3"/>
  <c r="BA22" i="3"/>
  <c r="BA23" i="3"/>
  <c r="BA24" i="3"/>
  <c r="BA25" i="3"/>
  <c r="BA26" i="3"/>
  <c r="BA27" i="3"/>
  <c r="BA28" i="3"/>
  <c r="BA29" i="3"/>
  <c r="BA30" i="3"/>
  <c r="BA31" i="3"/>
  <c r="BA32" i="3"/>
  <c r="BA33" i="3"/>
  <c r="BA34" i="3"/>
  <c r="BA35" i="3"/>
  <c r="BA36" i="3"/>
  <c r="BA37" i="3"/>
  <c r="BA38" i="3"/>
  <c r="BA39" i="3"/>
  <c r="BA7" i="3"/>
  <c r="AZ8" i="3"/>
  <c r="AZ9" i="3"/>
  <c r="AZ10" i="3"/>
  <c r="AZ11" i="3"/>
  <c r="AZ12" i="3"/>
  <c r="AZ13" i="3"/>
  <c r="AZ14" i="3"/>
  <c r="AZ15" i="3"/>
  <c r="AZ16" i="3"/>
  <c r="AZ17" i="3"/>
  <c r="AZ18" i="3"/>
  <c r="AZ19" i="3"/>
  <c r="AZ20" i="3"/>
  <c r="AZ21" i="3"/>
  <c r="AZ22" i="3"/>
  <c r="AZ23" i="3"/>
  <c r="AZ24" i="3"/>
  <c r="AZ25" i="3"/>
  <c r="AZ26" i="3"/>
  <c r="AZ27" i="3"/>
  <c r="AZ28" i="3"/>
  <c r="AZ29" i="3"/>
  <c r="AZ30" i="3"/>
  <c r="AZ31" i="3"/>
  <c r="AZ32" i="3"/>
  <c r="AZ33" i="3"/>
  <c r="AZ34" i="3"/>
  <c r="AZ35" i="3"/>
  <c r="AZ36" i="3"/>
  <c r="AZ37" i="3"/>
  <c r="AZ38" i="3"/>
  <c r="AZ39" i="3"/>
  <c r="AZ7" i="3"/>
  <c r="AR8" i="3"/>
  <c r="AR9" i="3"/>
  <c r="AR10" i="3"/>
  <c r="AR11" i="3"/>
  <c r="AR12" i="3"/>
  <c r="AR13" i="3"/>
  <c r="AR14" i="3"/>
  <c r="AR15" i="3"/>
  <c r="AR16" i="3"/>
  <c r="AR17" i="3"/>
  <c r="AR18" i="3"/>
  <c r="AR19" i="3"/>
  <c r="AR20" i="3"/>
  <c r="AR21" i="3"/>
  <c r="AR22" i="3"/>
  <c r="AR23" i="3"/>
  <c r="AR24" i="3"/>
  <c r="AR25" i="3"/>
  <c r="AR26" i="3"/>
  <c r="AR27" i="3"/>
  <c r="AR28" i="3"/>
  <c r="AR29" i="3"/>
  <c r="AR30" i="3"/>
  <c r="AR31" i="3"/>
  <c r="AR32" i="3"/>
  <c r="AR33" i="3"/>
  <c r="AR34" i="3"/>
  <c r="AR35" i="3"/>
  <c r="AR36" i="3"/>
  <c r="AR37" i="3"/>
  <c r="AR38" i="3"/>
  <c r="AR39" i="3"/>
  <c r="AR7" i="3"/>
  <c r="AQ8" i="3"/>
  <c r="AQ9" i="3"/>
  <c r="AQ10" i="3"/>
  <c r="AQ11" i="3"/>
  <c r="AQ12" i="3"/>
  <c r="AQ13" i="3"/>
  <c r="AQ14" i="3"/>
  <c r="AQ15" i="3"/>
  <c r="AQ16" i="3"/>
  <c r="AQ17" i="3"/>
  <c r="AQ18" i="3"/>
  <c r="AQ19" i="3"/>
  <c r="AQ20" i="3"/>
  <c r="AQ21" i="3"/>
  <c r="AQ22" i="3"/>
  <c r="AQ23" i="3"/>
  <c r="AQ24" i="3"/>
  <c r="AQ25" i="3"/>
  <c r="AQ26" i="3"/>
  <c r="AQ27" i="3"/>
  <c r="AQ28" i="3"/>
  <c r="AQ29" i="3"/>
  <c r="AQ30" i="3"/>
  <c r="AQ31" i="3"/>
  <c r="AQ32" i="3"/>
  <c r="AQ33" i="3"/>
  <c r="AQ34" i="3"/>
  <c r="AQ35" i="3"/>
  <c r="AQ36" i="3"/>
  <c r="AQ37" i="3"/>
  <c r="AQ38" i="3"/>
  <c r="AQ39" i="3"/>
  <c r="AQ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7" i="3"/>
  <c r="AH8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2" i="3"/>
  <c r="AH33" i="3"/>
  <c r="AH34" i="3"/>
  <c r="AH35" i="3"/>
  <c r="AH36" i="3"/>
  <c r="AH37" i="3"/>
  <c r="AH38" i="3"/>
  <c r="AH39" i="3"/>
  <c r="AH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7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7" i="3"/>
  <c r="H17" i="3"/>
  <c r="H18" i="3"/>
  <c r="H19" i="3"/>
  <c r="H20" i="3"/>
  <c r="H25" i="3"/>
  <c r="H26" i="3"/>
  <c r="H27" i="3"/>
  <c r="H28" i="3"/>
  <c r="H33" i="3"/>
  <c r="H34" i="3"/>
  <c r="H35" i="3"/>
  <c r="H36" i="3"/>
  <c r="H9" i="3"/>
  <c r="H10" i="3"/>
  <c r="H11" i="3"/>
  <c r="H12" i="3"/>
  <c r="AW10" i="2"/>
  <c r="AQ7" i="2"/>
  <c r="G8" i="3"/>
  <c r="H8" i="3" s="1"/>
  <c r="G9" i="3"/>
  <c r="G10" i="3"/>
  <c r="G11" i="3"/>
  <c r="G12" i="3"/>
  <c r="G13" i="3"/>
  <c r="H13" i="3" s="1"/>
  <c r="G14" i="3"/>
  <c r="H14" i="3" s="1"/>
  <c r="G15" i="3"/>
  <c r="H15" i="3" s="1"/>
  <c r="G16" i="3"/>
  <c r="H16" i="3" s="1"/>
  <c r="G17" i="3"/>
  <c r="G18" i="3"/>
  <c r="G19" i="3"/>
  <c r="G20" i="3"/>
  <c r="G21" i="3"/>
  <c r="H21" i="3" s="1"/>
  <c r="G22" i="3"/>
  <c r="H22" i="3" s="1"/>
  <c r="G23" i="3"/>
  <c r="H23" i="3" s="1"/>
  <c r="G24" i="3"/>
  <c r="H24" i="3" s="1"/>
  <c r="G25" i="3"/>
  <c r="G26" i="3"/>
  <c r="G27" i="3"/>
  <c r="G28" i="3"/>
  <c r="G29" i="3"/>
  <c r="H29" i="3" s="1"/>
  <c r="G30" i="3"/>
  <c r="H30" i="3" s="1"/>
  <c r="G31" i="3"/>
  <c r="H31" i="3" s="1"/>
  <c r="G32" i="3"/>
  <c r="H32" i="3" s="1"/>
  <c r="G33" i="3"/>
  <c r="G34" i="3"/>
  <c r="G35" i="3"/>
  <c r="G36" i="3"/>
  <c r="G37" i="3"/>
  <c r="H37" i="3" s="1"/>
  <c r="G38" i="3"/>
  <c r="H38" i="3" s="1"/>
  <c r="G39" i="3"/>
  <c r="H39" i="3" s="1"/>
  <c r="G7" i="3"/>
  <c r="H7" i="3" s="1"/>
  <c r="AP83" i="2"/>
  <c r="AP82" i="2"/>
  <c r="AP84" i="2"/>
  <c r="AP85" i="2"/>
  <c r="AP86" i="2"/>
  <c r="AP87" i="2"/>
  <c r="AP88" i="2"/>
  <c r="AP89" i="2"/>
  <c r="AP90" i="2"/>
  <c r="AP91" i="2"/>
  <c r="AP80" i="2"/>
  <c r="AP79" i="2"/>
  <c r="AP81" i="2"/>
  <c r="BO7" i="2"/>
  <c r="BO8" i="2"/>
  <c r="BO9" i="2"/>
  <c r="BO10" i="2"/>
  <c r="BO11" i="2"/>
  <c r="BO12" i="2"/>
  <c r="BO13" i="2"/>
  <c r="BO14" i="2"/>
  <c r="BO15" i="2"/>
  <c r="BO16" i="2"/>
  <c r="BO17" i="2"/>
  <c r="BO18" i="2"/>
  <c r="BO19" i="2"/>
  <c r="BO20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38" i="2"/>
  <c r="BO39" i="2"/>
  <c r="BO40" i="2"/>
  <c r="BO6" i="2"/>
  <c r="BL7" i="2"/>
  <c r="BL8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38" i="2"/>
  <c r="BL39" i="2"/>
  <c r="BL40" i="2"/>
  <c r="BL41" i="2"/>
  <c r="BL42" i="2"/>
  <c r="BL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38" i="2"/>
  <c r="BI39" i="2"/>
  <c r="BI40" i="2"/>
  <c r="BI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38" i="2"/>
  <c r="BF39" i="2"/>
  <c r="BF40" i="2"/>
  <c r="BF6" i="2"/>
  <c r="BC7" i="2"/>
  <c r="BC8" i="2"/>
  <c r="BC9" i="2"/>
  <c r="BC10" i="2"/>
  <c r="BC11" i="2"/>
  <c r="BC12" i="2"/>
  <c r="BC13" i="2"/>
  <c r="BC14" i="2"/>
  <c r="BC15" i="2"/>
  <c r="BC16" i="2"/>
  <c r="BC17" i="2"/>
  <c r="BC18" i="2"/>
  <c r="BC19" i="2"/>
  <c r="BC20" i="2"/>
  <c r="BC21" i="2"/>
  <c r="BC22" i="2"/>
  <c r="BC23" i="2"/>
  <c r="BC24" i="2"/>
  <c r="BC25" i="2"/>
  <c r="BC26" i="2"/>
  <c r="BC27" i="2"/>
  <c r="BC28" i="2"/>
  <c r="BC29" i="2"/>
  <c r="BC30" i="2"/>
  <c r="BC31" i="2"/>
  <c r="BC32" i="2"/>
  <c r="BC33" i="2"/>
  <c r="BC34" i="2"/>
  <c r="BC35" i="2"/>
  <c r="BC36" i="2"/>
  <c r="BC37" i="2"/>
  <c r="BC38" i="2"/>
  <c r="BC39" i="2"/>
  <c r="BC40" i="2"/>
  <c r="BC6" i="2"/>
  <c r="AZ7" i="2"/>
  <c r="AZ8" i="2"/>
  <c r="AZ9" i="2"/>
  <c r="AZ11" i="2"/>
  <c r="AZ12" i="2"/>
  <c r="AZ13" i="2"/>
  <c r="AZ14" i="2"/>
  <c r="AZ15" i="2"/>
  <c r="AZ16" i="2"/>
  <c r="AZ17" i="2"/>
  <c r="AZ18" i="2"/>
  <c r="AZ19" i="2"/>
  <c r="AZ20" i="2"/>
  <c r="AZ21" i="2"/>
  <c r="AZ22" i="2"/>
  <c r="AZ23" i="2"/>
  <c r="AZ24" i="2"/>
  <c r="AZ25" i="2"/>
  <c r="AZ26" i="2"/>
  <c r="AZ27" i="2"/>
  <c r="AZ28" i="2"/>
  <c r="AZ29" i="2"/>
  <c r="AZ30" i="2"/>
  <c r="AZ31" i="2"/>
  <c r="AZ32" i="2"/>
  <c r="AZ33" i="2"/>
  <c r="AZ34" i="2"/>
  <c r="AZ35" i="2"/>
  <c r="AZ36" i="2"/>
  <c r="AZ37" i="2"/>
  <c r="AZ38" i="2"/>
  <c r="AZ39" i="2"/>
  <c r="AZ40" i="2"/>
  <c r="AZ41" i="2"/>
  <c r="AZ6" i="2"/>
  <c r="AW7" i="2"/>
  <c r="AW8" i="2"/>
  <c r="AW9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W40" i="2"/>
  <c r="AW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40" i="2"/>
  <c r="AT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38" i="2"/>
  <c r="AN39" i="2"/>
  <c r="AN40" i="2"/>
  <c r="AN6" i="2"/>
  <c r="AQ9" i="2"/>
  <c r="AQ10" i="2"/>
  <c r="AQ11" i="2"/>
  <c r="AQ12" i="2"/>
  <c r="AQ13" i="2"/>
  <c r="AQ14" i="2"/>
  <c r="AQ15" i="2"/>
  <c r="AQ16" i="2"/>
  <c r="AQ17" i="2"/>
  <c r="AQ18" i="2"/>
  <c r="AQ19" i="2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38" i="2"/>
  <c r="AQ39" i="2"/>
  <c r="AQ40" i="2"/>
  <c r="AQ6" i="2"/>
  <c r="BN7" i="2"/>
  <c r="BN8" i="2"/>
  <c r="BN9" i="2"/>
  <c r="BN10" i="2"/>
  <c r="BN11" i="2"/>
  <c r="BN12" i="2"/>
  <c r="BN13" i="2"/>
  <c r="BN14" i="2"/>
  <c r="BN15" i="2"/>
  <c r="BN16" i="2"/>
  <c r="BN17" i="2"/>
  <c r="BN18" i="2"/>
  <c r="BN19" i="2"/>
  <c r="BN20" i="2"/>
  <c r="BN21" i="2"/>
  <c r="BN22" i="2"/>
  <c r="BN23" i="2"/>
  <c r="BN24" i="2"/>
  <c r="BN25" i="2"/>
  <c r="BN26" i="2"/>
  <c r="BN27" i="2"/>
  <c r="BN28" i="2"/>
  <c r="BN29" i="2"/>
  <c r="BN30" i="2"/>
  <c r="BN31" i="2"/>
  <c r="BN32" i="2"/>
  <c r="BN33" i="2"/>
  <c r="BN34" i="2"/>
  <c r="BN35" i="2"/>
  <c r="BN36" i="2"/>
  <c r="BN37" i="2"/>
  <c r="BN38" i="2"/>
  <c r="BN39" i="2"/>
  <c r="BN40" i="2"/>
  <c r="BN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K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38" i="2"/>
  <c r="BK39" i="2"/>
  <c r="BK40" i="2"/>
  <c r="BK6" i="2"/>
  <c r="BH7" i="2"/>
  <c r="BH8" i="2"/>
  <c r="BH9" i="2"/>
  <c r="BH10" i="2"/>
  <c r="BH11" i="2"/>
  <c r="BH12" i="2"/>
  <c r="BH13" i="2"/>
  <c r="BH14" i="2"/>
  <c r="BH15" i="2"/>
  <c r="BH16" i="2"/>
  <c r="BH17" i="2"/>
  <c r="BH18" i="2"/>
  <c r="BH19" i="2"/>
  <c r="BH20" i="2"/>
  <c r="BH21" i="2"/>
  <c r="BH22" i="2"/>
  <c r="BH23" i="2"/>
  <c r="BH24" i="2"/>
  <c r="BH25" i="2"/>
  <c r="BH26" i="2"/>
  <c r="BH27" i="2"/>
  <c r="BH28" i="2"/>
  <c r="BH29" i="2"/>
  <c r="BH30" i="2"/>
  <c r="BH31" i="2"/>
  <c r="BH32" i="2"/>
  <c r="BH33" i="2"/>
  <c r="BH34" i="2"/>
  <c r="BH35" i="2"/>
  <c r="BH36" i="2"/>
  <c r="BH37" i="2"/>
  <c r="BH38" i="2"/>
  <c r="BH39" i="2"/>
  <c r="BH40" i="2"/>
  <c r="BH6" i="2"/>
  <c r="BE7" i="2"/>
  <c r="BE8" i="2"/>
  <c r="BE9" i="2"/>
  <c r="BE10" i="2"/>
  <c r="BE11" i="2"/>
  <c r="BE12" i="2"/>
  <c r="BE13" i="2"/>
  <c r="BE14" i="2"/>
  <c r="BE15" i="2"/>
  <c r="BE16" i="2"/>
  <c r="BE17" i="2"/>
  <c r="BE18" i="2"/>
  <c r="BE19" i="2"/>
  <c r="BE20" i="2"/>
  <c r="BE21" i="2"/>
  <c r="BE22" i="2"/>
  <c r="BE23" i="2"/>
  <c r="BE24" i="2"/>
  <c r="BE25" i="2"/>
  <c r="BE26" i="2"/>
  <c r="BE27" i="2"/>
  <c r="BE28" i="2"/>
  <c r="BE29" i="2"/>
  <c r="BE30" i="2"/>
  <c r="BE31" i="2"/>
  <c r="BE32" i="2"/>
  <c r="BE33" i="2"/>
  <c r="BE34" i="2"/>
  <c r="BE35" i="2"/>
  <c r="BE36" i="2"/>
  <c r="BE37" i="2"/>
  <c r="BE38" i="2"/>
  <c r="BE39" i="2"/>
  <c r="BE40" i="2"/>
  <c r="BE6" i="2"/>
  <c r="BB7" i="2"/>
  <c r="BB8" i="2"/>
  <c r="BB9" i="2"/>
  <c r="BB10" i="2"/>
  <c r="BB11" i="2"/>
  <c r="BB12" i="2"/>
  <c r="BB13" i="2"/>
  <c r="BB14" i="2"/>
  <c r="BB15" i="2"/>
  <c r="BB16" i="2"/>
  <c r="BB17" i="2"/>
  <c r="BB18" i="2"/>
  <c r="BB19" i="2"/>
  <c r="BB20" i="2"/>
  <c r="BB21" i="2"/>
  <c r="BB22" i="2"/>
  <c r="BB23" i="2"/>
  <c r="BB24" i="2"/>
  <c r="BB25" i="2"/>
  <c r="BB26" i="2"/>
  <c r="BB27" i="2"/>
  <c r="BB28" i="2"/>
  <c r="BB29" i="2"/>
  <c r="BB30" i="2"/>
  <c r="BB31" i="2"/>
  <c r="BB32" i="2"/>
  <c r="BB33" i="2"/>
  <c r="BB34" i="2"/>
  <c r="BB35" i="2"/>
  <c r="BB36" i="2"/>
  <c r="BB37" i="2"/>
  <c r="BB38" i="2"/>
  <c r="BB39" i="2"/>
  <c r="BB40" i="2"/>
  <c r="BB6" i="2"/>
  <c r="AY7" i="2"/>
  <c r="AY8" i="2"/>
  <c r="AY9" i="2"/>
  <c r="AY10" i="2"/>
  <c r="AY11" i="2"/>
  <c r="AY12" i="2"/>
  <c r="AY13" i="2"/>
  <c r="AY14" i="2"/>
  <c r="AY15" i="2"/>
  <c r="AY16" i="2"/>
  <c r="AY17" i="2"/>
  <c r="AY18" i="2"/>
  <c r="AY19" i="2"/>
  <c r="AY20" i="2"/>
  <c r="AY21" i="2"/>
  <c r="AY22" i="2"/>
  <c r="AY23" i="2"/>
  <c r="AY24" i="2"/>
  <c r="AY25" i="2"/>
  <c r="AY26" i="2"/>
  <c r="AY27" i="2"/>
  <c r="AY28" i="2"/>
  <c r="AY29" i="2"/>
  <c r="AY30" i="2"/>
  <c r="AY31" i="2"/>
  <c r="AY32" i="2"/>
  <c r="AY33" i="2"/>
  <c r="AY34" i="2"/>
  <c r="AY35" i="2"/>
  <c r="AY36" i="2"/>
  <c r="AY37" i="2"/>
  <c r="AY38" i="2"/>
  <c r="AY39" i="2"/>
  <c r="AY40" i="2"/>
  <c r="AY6" i="2"/>
  <c r="AP7" i="2"/>
  <c r="AP8" i="2"/>
  <c r="AP9" i="2"/>
  <c r="AP10" i="2"/>
  <c r="AP11" i="2"/>
  <c r="AP12" i="2"/>
  <c r="AP13" i="2"/>
  <c r="AP14" i="2"/>
  <c r="AP15" i="2"/>
  <c r="AP16" i="2"/>
  <c r="AP17" i="2"/>
  <c r="AP18" i="2"/>
  <c r="AP19" i="2"/>
  <c r="AP20" i="2"/>
  <c r="AP21" i="2"/>
  <c r="AP22" i="2"/>
  <c r="AP23" i="2"/>
  <c r="AP24" i="2"/>
  <c r="AP25" i="2"/>
  <c r="AP26" i="2"/>
  <c r="AP27" i="2"/>
  <c r="AP28" i="2"/>
  <c r="AP29" i="2"/>
  <c r="AP30" i="2"/>
  <c r="AP31" i="2"/>
  <c r="AP32" i="2"/>
  <c r="AP33" i="2"/>
  <c r="AP34" i="2"/>
  <c r="AP35" i="2"/>
  <c r="AP36" i="2"/>
  <c r="AP37" i="2"/>
  <c r="AP38" i="2"/>
  <c r="AP39" i="2"/>
  <c r="AP40" i="2"/>
  <c r="AP6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S38" i="2"/>
  <c r="AS39" i="2"/>
  <c r="AS40" i="2"/>
  <c r="AS7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38" i="2"/>
  <c r="AV39" i="2"/>
  <c r="AV40" i="2"/>
  <c r="AV6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24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86" i="1"/>
  <c r="B67" i="3" l="1"/>
  <c r="G99" i="6"/>
  <c r="C12" i="6" s="1"/>
  <c r="F12" i="6" s="1"/>
  <c r="G12" i="6" s="1"/>
  <c r="C20" i="6"/>
  <c r="F20" i="6" s="1"/>
  <c r="G20" i="6" s="1"/>
  <c r="C28" i="6"/>
  <c r="F28" i="6" s="1"/>
  <c r="G28" i="6" s="1"/>
  <c r="C36" i="6"/>
  <c r="F36" i="6" s="1"/>
  <c r="G36" i="6" s="1"/>
  <c r="C13" i="6"/>
  <c r="F13" i="6" s="1"/>
  <c r="G13" i="6" s="1"/>
  <c r="C21" i="6"/>
  <c r="F21" i="6" s="1"/>
  <c r="G21" i="6" s="1"/>
  <c r="C29" i="6"/>
  <c r="F29" i="6" s="1"/>
  <c r="G29" i="6" s="1"/>
  <c r="C37" i="6"/>
  <c r="F37" i="6" s="1"/>
  <c r="G37" i="6" s="1"/>
  <c r="C15" i="6"/>
  <c r="F15" i="6" s="1"/>
  <c r="G15" i="6" s="1"/>
  <c r="C23" i="6"/>
  <c r="F23" i="6" s="1"/>
  <c r="G23" i="6" s="1"/>
  <c r="C31" i="6"/>
  <c r="F31" i="6" s="1"/>
  <c r="G31" i="6" s="1"/>
  <c r="C39" i="6"/>
  <c r="F39" i="6" s="1"/>
  <c r="G39" i="6" s="1"/>
  <c r="C8" i="6"/>
  <c r="F8" i="6" s="1"/>
  <c r="G8" i="6" s="1"/>
  <c r="C16" i="6"/>
  <c r="F16" i="6" s="1"/>
  <c r="G16" i="6" s="1"/>
  <c r="C24" i="6"/>
  <c r="F24" i="6" s="1"/>
  <c r="G24" i="6" s="1"/>
  <c r="C40" i="6"/>
  <c r="F40" i="6" s="1"/>
  <c r="G40" i="6" s="1"/>
  <c r="C9" i="6"/>
  <c r="F9" i="6" s="1"/>
  <c r="G9" i="6" s="1"/>
  <c r="C17" i="6"/>
  <c r="F17" i="6" s="1"/>
  <c r="G17" i="6" s="1"/>
  <c r="C25" i="6"/>
  <c r="F25" i="6" s="1"/>
  <c r="G25" i="6" s="1"/>
  <c r="C33" i="6"/>
  <c r="F33" i="6" s="1"/>
  <c r="G33" i="6" s="1"/>
  <c r="C6" i="6"/>
  <c r="F6" i="6" s="1"/>
  <c r="G6" i="6" s="1"/>
  <c r="C10" i="6"/>
  <c r="F10" i="6" s="1"/>
  <c r="G10" i="6" s="1"/>
  <c r="C26" i="6"/>
  <c r="F26" i="6" s="1"/>
  <c r="G26" i="6" s="1"/>
  <c r="C34" i="6"/>
  <c r="F34" i="6" s="1"/>
  <c r="G34" i="6" s="1"/>
  <c r="C11" i="6"/>
  <c r="F11" i="6" s="1"/>
  <c r="G11" i="6" s="1"/>
  <c r="C19" i="6"/>
  <c r="F19" i="6" s="1"/>
  <c r="G19" i="6" s="1"/>
  <c r="C27" i="6"/>
  <c r="F27" i="6" s="1"/>
  <c r="G27" i="6" s="1"/>
  <c r="C35" i="6"/>
  <c r="F35" i="6" s="1"/>
  <c r="G35" i="6" s="1"/>
  <c r="C14" i="6"/>
  <c r="F14" i="6" s="1"/>
  <c r="G14" i="6" s="1"/>
  <c r="C22" i="6"/>
  <c r="F22" i="6" s="1"/>
  <c r="G22" i="6" s="1"/>
  <c r="C30" i="6"/>
  <c r="F30" i="6" s="1"/>
  <c r="G30" i="6" s="1"/>
  <c r="C38" i="6"/>
  <c r="F38" i="6" s="1"/>
  <c r="G38" i="6" s="1"/>
  <c r="AZ35" i="5"/>
  <c r="BA35" i="5" s="1"/>
  <c r="AZ27" i="5"/>
  <c r="BA27" i="5" s="1"/>
  <c r="AZ19" i="5"/>
  <c r="BA19" i="5" s="1"/>
  <c r="AZ11" i="5"/>
  <c r="BA11" i="5" s="1"/>
  <c r="AU27" i="5"/>
  <c r="AU35" i="5"/>
  <c r="AU11" i="5"/>
  <c r="AZ38" i="5"/>
  <c r="BA38" i="5" s="1"/>
  <c r="AZ30" i="5"/>
  <c r="BA30" i="5" s="1"/>
  <c r="AZ22" i="5"/>
  <c r="BA22" i="5" s="1"/>
  <c r="AZ14" i="5"/>
  <c r="BA14" i="5" s="1"/>
  <c r="AZ6" i="5"/>
  <c r="BA6" i="5" s="1"/>
  <c r="AU19" i="5"/>
  <c r="AZ37" i="5"/>
  <c r="BA37" i="5" s="1"/>
  <c r="AZ21" i="5"/>
  <c r="BA21" i="5" s="1"/>
  <c r="AZ36" i="5"/>
  <c r="BA36" i="5" s="1"/>
  <c r="AZ28" i="5"/>
  <c r="BA28" i="5" s="1"/>
  <c r="AZ12" i="5"/>
  <c r="BA12" i="5" s="1"/>
  <c r="C18" i="6" l="1"/>
  <c r="F18" i="6" s="1"/>
  <c r="G18" i="6" s="1"/>
  <c r="C32" i="6"/>
  <c r="F32" i="6" s="1"/>
  <c r="G32" i="6" s="1"/>
  <c r="C7" i="6"/>
  <c r="F7" i="6" s="1"/>
  <c r="G7" i="6" s="1"/>
  <c r="A2" i="5"/>
  <c r="A2" i="5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<sst xmlns="http://schemas.openxmlformats.org/spreadsheetml/2006/main" count="1421" uniqueCount="340">
  <si>
    <t>Method name: OD_GFP_Kinetic_35cycle (8 hr) (Modified)</t>
  </si>
  <si>
    <t/>
  </si>
  <si>
    <t>Application: SparkControl</t>
  </si>
  <si>
    <t>V3.2</t>
  </si>
  <si>
    <t>Device: Spark 10M</t>
  </si>
  <si>
    <t>Serial number: 1511007600</t>
  </si>
  <si>
    <t>Firmware:</t>
  </si>
  <si>
    <t>ABS:V4.2.10|ABS_MEX:V5.0.4|MTP:V11.0.2|FLUOR:V5.0.8|FLUOR_MEM:V5.0.4|FLUOR_MEX:V5.0.4</t>
  </si>
  <si>
    <t>Date:</t>
  </si>
  <si>
    <t>2025-10-04</t>
  </si>
  <si>
    <t>Time:</t>
  </si>
  <si>
    <t>12:24 AM</t>
  </si>
  <si>
    <t>System</t>
  </si>
  <si>
    <t>USER-HP</t>
  </si>
  <si>
    <t>User</t>
  </si>
  <si>
    <t>User-HP\User</t>
  </si>
  <si>
    <t>Plate</t>
  </si>
  <si>
    <t>[GRE96ft] - Greiner 96 Flat Transparent Cat. No.: 655101/655161/655192</t>
  </si>
  <si>
    <t>Lid lifter</t>
  </si>
  <si>
    <t>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</si>
  <si>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</si>
  <si>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</si>
  <si>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</si>
  <si>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</si>
  <si>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</si>
  <si>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</si>
  <si>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Kinetic</t>
  </si>
  <si>
    <t>Shaking</t>
  </si>
  <si>
    <t>Absorbance</t>
  </si>
  <si>
    <t>absorbance</t>
  </si>
  <si>
    <t>Fluorescence Top Reading</t>
  </si>
  <si>
    <t>GFP</t>
  </si>
  <si>
    <t>Name</t>
  </si>
  <si>
    <t>GRE96ft</t>
  </si>
  <si>
    <t>Plate layout</t>
  </si>
  <si>
    <t>Plate area</t>
  </si>
  <si>
    <t>D2-F10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</si>
  <si>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</si>
  <si>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</si>
  <si>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</si>
  <si>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</si>
  <si>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</si>
  <si>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</si>
  <si>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</si>
  <si>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</si>
  <si>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</si>
  <si>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</si>
  <si>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</si>
  <si>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</si>
  <si>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</si>
  <si>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</si>
  <si>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None</t>
  </si>
  <si>
    <t>B</t>
  </si>
  <si>
    <t>C</t>
  </si>
  <si>
    <t>D</t>
  </si>
  <si>
    <t>E</t>
  </si>
  <si>
    <t>F</t>
  </si>
  <si>
    <t>G</t>
  </si>
  <si>
    <t>H</t>
  </si>
  <si>
    <t>Start Time</t>
  </si>
  <si>
    <t>2025-10-03 16:04:34</t>
  </si>
  <si>
    <t>Temperature control</t>
  </si>
  <si>
    <t>On</t>
  </si>
  <si>
    <t>Target temperature [°C]</t>
  </si>
  <si>
    <t>End Time</t>
  </si>
  <si>
    <t>Mode</t>
  </si>
  <si>
    <t>Kinetic cycles</t>
  </si>
  <si>
    <t>Interval time</t>
  </si>
  <si>
    <t>Not defined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</si>
  <si>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</si>
  <si>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</si>
  <si>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</si>
  <si>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</si>
  <si>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</si>
  <si>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Measurement wavelength [nm]</t>
  </si>
  <si>
    <t>Number of flashes</t>
  </si>
  <si>
    <t>Settle time [ms]</t>
  </si>
  <si>
    <t>Part of Plate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</si>
  <si>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</si>
  <si>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</si>
  <si>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</si>
  <si>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</si>
  <si>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</si>
  <si>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</si>
  <si>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</si>
  <si>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</si>
  <si>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</si>
  <si>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</t>
  </si>
  <si>
    <t>Integration time [µs]</t>
  </si>
  <si>
    <t>Lag time [µs]</t>
  </si>
  <si>
    <t>Z-Position [μm]</t>
  </si>
  <si>
    <t>Z-Position mode</t>
  </si>
  <si>
    <t>Manual</t>
  </si>
  <si>
    <t>2025-10-03 16:04:38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</si>
  <si>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</si>
  <si>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</si>
  <si>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</si>
  <si>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</si>
  <si>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</si>
  <si>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</si>
  <si>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</si>
  <si>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</si>
  <si>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</si>
  <si>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</si>
  <si>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</si>
  <si>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</si>
  <si>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</si>
  <si>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</si>
  <si>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</si>
  <si>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</si>
  <si>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</si>
  <si>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</si>
  <si>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</si>
  <si>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</si>
  <si>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</si>
  <si>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</si>
  <si>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</si>
  <si>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</si>
  <si>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</si>
  <si>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</si>
  <si>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</si>
  <si>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</si>
  <si>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</si>
  <si>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</si>
  <si>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</si>
  <si>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</si>
  <si>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</si>
  <si>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</si>
  <si>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</si>
  <si>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</si>
  <si>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</si>
  <si>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</si>
  <si>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</si>
  <si>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</si>
  <si>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</si>
  <si>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</si>
  <si>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</si>
  <si>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</si>
  <si>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</si>
  <si>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</si>
  <si>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</si>
  <si>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</si>
  <si>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</si>
  <si>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</si>
  <si>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</si>
  <si>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</si>
  <si>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</si>
  <si>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</si>
  <si>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</si>
  <si>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</si>
  <si>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</si>
  <si>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</si>
  <si>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</si>
  <si>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</si>
  <si>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</si>
  <si>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</si>
  <si>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</si>
  <si>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</si>
  <si>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</si>
  <si>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</si>
  <si>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</si>
  <si>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</si>
  <si>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</si>
  <si>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</si>
  <si>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</si>
  <si>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</si>
  <si>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</si>
  <si>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</si>
  <si>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</si>
  <si>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</si>
  <si>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</si>
  <si>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</si>
  <si>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</si>
  <si>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</si>
  <si>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</si>
  <si>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</si>
  <si>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</si>
  <si>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</si>
  <si>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</si>
  <si>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</si>
  <si>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</si>
  <si>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</si>
  <si>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</si>
  <si>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</si>
  <si>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</si>
  <si>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</si>
  <si>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</si>
  <si>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</si>
  <si>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</si>
  <si>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</si>
  <si>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</si>
  <si>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</si>
  <si>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</si>
  <si>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</si>
  <si>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</si>
  <si>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</si>
  <si>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</si>
  <si>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</si>
  <si>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</si>
  <si>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</si>
  <si>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</si>
  <si>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</si>
  <si>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</si>
  <si>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</si>
  <si>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</si>
  <si>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</si>
  <si>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</si>
  <si>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</si>
  <si>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</si>
  <si>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</si>
  <si>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</si>
  <si>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</si>
  <si>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</si>
  <si>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</si>
  <si>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</si>
  <si>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</si>
  <si>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2025-10-04 00:24:00</t>
  </si>
  <si>
    <t>Error</t>
  </si>
  <si>
    <t>An error occurred during the method execution: 'The given command "CHECK STEPLOSS MODULE=MTP", executed with sequence number 132, led to the error "Error 1000 occured at 29975250. Steploss error for motor Z, abs(-70) &gt; 55, ".'.</t>
  </si>
  <si>
    <t>Normalize</t>
  </si>
  <si>
    <t>Log</t>
  </si>
  <si>
    <t>V1</t>
  </si>
  <si>
    <t>Growth_rate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</si>
  <si>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</si>
  <si>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</si>
  <si>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</si>
  <si>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</si>
  <si>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</si>
  <si>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</si>
  <si>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</si>
  <si>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</si>
  <si>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</si>
  <si>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</si>
  <si>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Doubling_time</t>
  </si>
  <si>
    <t>time</t>
  </si>
  <si>
    <t>V1,1</t>
  </si>
  <si>
    <t>V1,2</t>
  </si>
  <si>
    <t>rep2</t>
  </si>
  <si>
    <t>low_GFP</t>
  </si>
  <si>
    <t>R1,1</t>
  </si>
  <si>
    <t>R1,2</t>
  </si>
  <si>
    <t>R1,3</t>
  </si>
  <si>
    <t>growth_rate</t>
  </si>
  <si>
    <t>doubeling_time</t>
  </si>
  <si>
    <t>v1,2</t>
  </si>
  <si>
    <t>v2</t>
  </si>
  <si>
    <t>v2,1</t>
  </si>
  <si>
    <t>v2,2</t>
  </si>
  <si>
    <t>v3</t>
  </si>
  <si>
    <t>v3,1</t>
  </si>
  <si>
    <t>v4</t>
  </si>
  <si>
    <t>v4,1</t>
  </si>
  <si>
    <t>v4,2</t>
  </si>
  <si>
    <t>V5,1</t>
  </si>
  <si>
    <t>V5,2</t>
  </si>
  <si>
    <t>min</t>
  </si>
  <si>
    <t>Noramilze</t>
  </si>
  <si>
    <t>OD_Normalized</t>
  </si>
  <si>
    <t>Normalize_GFP</t>
  </si>
  <si>
    <t>OD</t>
  </si>
  <si>
    <t>High_GFP</t>
  </si>
  <si>
    <t>high</t>
  </si>
  <si>
    <t>low</t>
  </si>
  <si>
    <t>Rep_2</t>
  </si>
  <si>
    <t>OD_</t>
  </si>
  <si>
    <t>Expression</t>
  </si>
  <si>
    <t>OD_normalized</t>
  </si>
  <si>
    <t>Average</t>
  </si>
  <si>
    <t>high_GFP</t>
  </si>
  <si>
    <t>low_GPF_1</t>
  </si>
  <si>
    <t>low_GPF_2</t>
  </si>
  <si>
    <t>low_GPF_3</t>
  </si>
  <si>
    <t>high_GFP_1</t>
  </si>
  <si>
    <t>high_GFP_2</t>
  </si>
  <si>
    <t>high_GFP_3</t>
  </si>
  <si>
    <t>V6,1</t>
  </si>
  <si>
    <t>rep_1</t>
  </si>
  <si>
    <t>rep_2</t>
  </si>
  <si>
    <t>rep-3</t>
  </si>
  <si>
    <t>PTK03</t>
  </si>
  <si>
    <t>PYC08</t>
  </si>
  <si>
    <t>V2,1</t>
  </si>
  <si>
    <t>V2,2</t>
  </si>
  <si>
    <t>3,1</t>
  </si>
  <si>
    <t>V3,2</t>
  </si>
  <si>
    <t>V4,1</t>
  </si>
  <si>
    <t>V4,2</t>
  </si>
  <si>
    <t>V6,2</t>
  </si>
  <si>
    <t>Low_1,1</t>
  </si>
  <si>
    <t>Low1,2</t>
  </si>
  <si>
    <t>High_1,1</t>
  </si>
  <si>
    <t>High_1.2</t>
  </si>
  <si>
    <t>GPF</t>
  </si>
  <si>
    <t>v5,1</t>
  </si>
  <si>
    <t>v6,1</t>
  </si>
  <si>
    <t>v7,1</t>
  </si>
  <si>
    <t>low_GFP,1</t>
  </si>
  <si>
    <t>high_GFP,1</t>
  </si>
  <si>
    <t>v3,2</t>
  </si>
  <si>
    <t>v5,2</t>
  </si>
  <si>
    <t>v6,2</t>
  </si>
  <si>
    <t>v7,2</t>
  </si>
  <si>
    <t>Low_GFP</t>
  </si>
  <si>
    <t>GFP_Normalize</t>
  </si>
  <si>
    <t>STD_growth</t>
  </si>
  <si>
    <t>STD_doubling_minutes</t>
  </si>
  <si>
    <t>Rep3</t>
  </si>
  <si>
    <t>C_GFP_expression</t>
  </si>
  <si>
    <t>Rep_1</t>
  </si>
  <si>
    <t>Rep_3</t>
  </si>
  <si>
    <t>Blank</t>
  </si>
  <si>
    <t>A</t>
    <phoneticPr fontId="4" type="noConversion"/>
  </si>
  <si>
    <t>B</t>
    <phoneticPr fontId="4" type="noConversion"/>
  </si>
  <si>
    <t>pAH01</t>
  </si>
  <si>
    <t>pAH02</t>
  </si>
  <si>
    <t>pAH03</t>
  </si>
  <si>
    <t>pAH04</t>
  </si>
  <si>
    <t>pAH05</t>
  </si>
  <si>
    <t>pAH06</t>
  </si>
  <si>
    <t>pAH07</t>
  </si>
  <si>
    <t>pTK03</t>
  </si>
  <si>
    <t>pYC08</t>
  </si>
  <si>
    <t>C</t>
    <phoneticPr fontId="4" type="noConversion"/>
  </si>
  <si>
    <t>D</t>
    <phoneticPr fontId="4" type="noConversion"/>
  </si>
  <si>
    <t>E</t>
    <phoneticPr fontId="4" type="noConversion"/>
  </si>
  <si>
    <t>F</t>
    <phoneticPr fontId="4" type="noConversion"/>
  </si>
  <si>
    <t>G</t>
    <phoneticPr fontId="4" type="noConversion"/>
  </si>
  <si>
    <t>H</t>
    <phoneticPr fontId="4" type="noConversion"/>
  </si>
  <si>
    <t>A</t>
    <phoneticPr fontId="0" type="noConversion"/>
  </si>
  <si>
    <t>B</t>
    <phoneticPr fontId="0" type="noConversion"/>
  </si>
  <si>
    <t>C</t>
    <phoneticPr fontId="0" type="noConversion"/>
  </si>
  <si>
    <t>D</t>
    <phoneticPr fontId="0" type="noConversion"/>
  </si>
  <si>
    <t>E</t>
    <phoneticPr fontId="0" type="noConversion"/>
  </si>
  <si>
    <t>F</t>
    <phoneticPr fontId="0" type="noConversion"/>
  </si>
  <si>
    <t>G</t>
    <phoneticPr fontId="0" type="noConversion"/>
  </si>
  <si>
    <t>H</t>
    <phoneticPr fontId="0" type="noConversion"/>
  </si>
  <si>
    <t>pTK04</t>
  </si>
  <si>
    <t>pYC09</t>
  </si>
  <si>
    <t>pTK05</t>
  </si>
  <si>
    <t>pYC10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</si>
</sst>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6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8"/>
      <name val="Calibri"/>
      <family val="2"/>
    </font>
    <font>
      <sz val="11"/>
      <color theme="5" tint="-0.249977111117893"/>
      <name val="Calibri"/>
      <family val="2"/>
    </font>
    <font>
      <sz val="11"/>
      <color theme="3" tint="0.499984740745262"/>
      <name val="Calibri"/>
      <family val="2"/>
    </font>
    <font>
      <sz val="11"/>
      <color rgb="FFFFC000"/>
      <name val="Calibri"/>
      <family val="2"/>
    </font>
    <font>
      <sz val="11"/>
      <color theme="6" tint="0.39997558519241921"/>
      <name val="Calibri"/>
      <family val="2"/>
    </font>
    <font>
      <sz val="11"/>
      <color theme="5" tint="0.79998168889431442"/>
      <name val="Calibri"/>
      <family val="2"/>
    </font>
    <font>
      <sz val="11"/>
      <color theme="3" tint="9.9978637043366805E-2"/>
      <name val="Calibri"/>
      <family val="2"/>
    </font>
    <font>
      <sz val="11"/>
      <color theme="1"/>
      <name val="Aptos Narrow"/>
      <family val="2"/>
      <scheme val="minor"/>
    </font>
    <font>
      <sz val="11"/>
      <color theme="1"/>
      <name val="Consolas"/>
      <family val="3"/>
    </font>
    <font>
      <sz val="11"/>
      <color theme="0" tint="-0.14999847407452621"/>
      <name val="Consolas"/>
      <family val="3"/>
    </font>
  </fonts>
  <fills count="21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0000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theme="1"/>
      </left>
      <right style="thin">
        <color theme="1" tint="0.499984740745262"/>
      </right>
      <top style="medium">
        <color theme="1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/>
      </top>
      <bottom/>
      <diagonal/>
    </border>
    <border>
      <left style="thin">
        <color theme="1" tint="0.499984740745262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/>
      <top style="thin">
        <color theme="1" tint="0.499984740745262"/>
      </top>
      <bottom style="medium">
        <color theme="1"/>
      </bottom>
      <diagonal/>
    </border>
  </borders>
  <cellStyleXfs count="2">
    <xf numFmtId="0" fontId="0" fillId="0" borderId="0"/>
    <xf numFmtId="0" fontId="13" fillId="0" borderId="0"/>
  </cellStyleXfs>
  <cellXfs count="17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2" fillId="4" borderId="0" xfId="0" applyFont="1" applyFill="1"/>
    <xf numFmtId="0" fontId="3" fillId="0" borderId="0" xfId="0" applyFont="1"/>
    <xf numFmtId="0" fontId="5" fillId="0" borderId="0" xfId="0" applyFont="1"/>
    <xf numFmtId="0" fontId="7" fillId="0" borderId="0" xfId="0" applyFont="1"/>
    <xf numFmtId="0" fontId="7" fillId="3" borderId="0" xfId="0" applyFont="1" applyFill="1"/>
    <xf numFmtId="0" fontId="8" fillId="0" borderId="0" xfId="0" applyFont="1"/>
    <xf numFmtId="0" fontId="4" fillId="0" borderId="0" xfId="0" applyFont="1"/>
    <xf numFmtId="0" fontId="8" fillId="3" borderId="0" xfId="0" applyFont="1" applyFill="1"/>
    <xf numFmtId="0" fontId="10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3" fillId="0" borderId="4" xfId="0" applyFont="1" applyBorder="1"/>
    <xf numFmtId="0" fontId="0" fillId="5" borderId="0" xfId="0" applyFill="1"/>
    <xf numFmtId="0" fontId="0" fillId="6" borderId="0" xfId="0" applyFill="1"/>
    <xf numFmtId="0" fontId="0" fillId="7" borderId="0" xfId="0" applyFill="1"/>
    <xf numFmtId="0" fontId="7" fillId="8" borderId="0" xfId="0" applyFont="1" applyFill="1"/>
    <xf numFmtId="0" fontId="0" fillId="8" borderId="0" xfId="0" applyFill="1"/>
    <xf numFmtId="0" fontId="1" fillId="8" borderId="0" xfId="0" applyFont="1" applyFill="1"/>
    <xf numFmtId="0" fontId="3" fillId="8" borderId="0" xfId="0" applyFont="1" applyFill="1"/>
    <xf numFmtId="0" fontId="4" fillId="8" borderId="0" xfId="0" applyFont="1" applyFill="1"/>
    <xf numFmtId="0" fontId="8" fillId="8" borderId="0" xfId="0" applyFont="1" applyFill="1"/>
    <xf numFmtId="0" fontId="7" fillId="9" borderId="0" xfId="0" applyFont="1" applyFill="1"/>
    <xf numFmtId="0" fontId="0" fillId="9" borderId="0" xfId="0" applyFill="1"/>
    <xf numFmtId="0" fontId="1" fillId="9" borderId="0" xfId="0" applyFont="1" applyFill="1"/>
    <xf numFmtId="0" fontId="3" fillId="9" borderId="0" xfId="0" applyFont="1" applyFill="1"/>
    <xf numFmtId="0" fontId="4" fillId="9" borderId="0" xfId="0" applyFont="1" applyFill="1"/>
    <xf numFmtId="0" fontId="8" fillId="9" borderId="0" xfId="0" applyFont="1" applyFill="1"/>
    <xf numFmtId="0" fontId="7" fillId="10" borderId="0" xfId="0" applyFont="1" applyFill="1"/>
    <xf numFmtId="0" fontId="0" fillId="10" borderId="0" xfId="0" applyFill="1"/>
    <xf numFmtId="0" fontId="1" fillId="10" borderId="0" xfId="0" applyFont="1" applyFill="1"/>
    <xf numFmtId="0" fontId="4" fillId="10" borderId="0" xfId="0" applyFont="1" applyFill="1"/>
    <xf numFmtId="0" fontId="8" fillId="10" borderId="0" xfId="0" applyFont="1" applyFill="1"/>
    <xf numFmtId="0" fontId="7" fillId="11" borderId="0" xfId="0" applyFont="1" applyFill="1"/>
    <xf numFmtId="0" fontId="0" fillId="11" borderId="0" xfId="0" applyFill="1"/>
    <xf numFmtId="0" fontId="1" fillId="11" borderId="0" xfId="0" applyFont="1" applyFill="1"/>
    <xf numFmtId="0" fontId="8" fillId="11" borderId="0" xfId="0" applyFont="1" applyFill="1"/>
    <xf numFmtId="0" fontId="7" fillId="12" borderId="0" xfId="0" applyFont="1" applyFill="1"/>
    <xf numFmtId="0" fontId="0" fillId="12" borderId="0" xfId="0" applyFill="1"/>
    <xf numFmtId="0" fontId="1" fillId="12" borderId="0" xfId="0" applyFont="1" applyFill="1"/>
    <xf numFmtId="0" fontId="8" fillId="12" borderId="0" xfId="0" applyFont="1" applyFill="1"/>
    <xf numFmtId="0" fontId="7" fillId="13" borderId="0" xfId="0" applyFont="1" applyFill="1"/>
    <xf numFmtId="0" fontId="0" fillId="13" borderId="0" xfId="0" applyFill="1"/>
    <xf numFmtId="0" fontId="1" fillId="13" borderId="0" xfId="0" applyFont="1" applyFill="1"/>
    <xf numFmtId="0" fontId="8" fillId="13" borderId="0" xfId="0" applyFont="1" applyFill="1"/>
    <xf numFmtId="0" fontId="3" fillId="13" borderId="0" xfId="0" applyFont="1" applyFill="1"/>
    <xf numFmtId="0" fontId="0" fillId="9" borderId="10" xfId="0" applyFill="1" applyBorder="1" applyAlignment="1">
      <alignment horizontal="center"/>
    </xf>
    <xf numFmtId="0" fontId="9" fillId="9" borderId="0" xfId="0" applyFont="1" applyFill="1"/>
    <xf numFmtId="0" fontId="0" fillId="14" borderId="10" xfId="0" applyFill="1" applyBorder="1" applyAlignment="1">
      <alignment horizontal="center"/>
    </xf>
    <xf numFmtId="0" fontId="9" fillId="14" borderId="0" xfId="0" applyFont="1" applyFill="1"/>
    <xf numFmtId="0" fontId="1" fillId="14" borderId="0" xfId="0" applyFont="1" applyFill="1"/>
    <xf numFmtId="0" fontId="0" fillId="14" borderId="0" xfId="0" applyFill="1"/>
    <xf numFmtId="0" fontId="7" fillId="14" borderId="0" xfId="0" applyFont="1" applyFill="1"/>
    <xf numFmtId="0" fontId="4" fillId="14" borderId="0" xfId="0" applyFont="1" applyFill="1"/>
    <xf numFmtId="0" fontId="8" fillId="14" borderId="0" xfId="0" applyFont="1" applyFill="1"/>
    <xf numFmtId="0" fontId="10" fillId="9" borderId="0" xfId="0" applyFont="1" applyFill="1"/>
    <xf numFmtId="0" fontId="10" fillId="14" borderId="0" xfId="0" applyFont="1" applyFill="1"/>
    <xf numFmtId="0" fontId="0" fillId="14" borderId="12" xfId="0" applyFill="1" applyBorder="1"/>
    <xf numFmtId="0" fontId="3" fillId="15" borderId="0" xfId="0" applyFont="1" applyFill="1"/>
    <xf numFmtId="0" fontId="0" fillId="15" borderId="0" xfId="0" applyFill="1"/>
    <xf numFmtId="0" fontId="1" fillId="15" borderId="0" xfId="0" applyFont="1" applyFill="1"/>
    <xf numFmtId="0" fontId="7" fillId="15" borderId="0" xfId="0" applyFont="1" applyFill="1"/>
    <xf numFmtId="0" fontId="4" fillId="15" borderId="0" xfId="0" applyFont="1" applyFill="1"/>
    <xf numFmtId="0" fontId="8" fillId="15" borderId="0" xfId="0" applyFont="1" applyFill="1"/>
    <xf numFmtId="0" fontId="3" fillId="10" borderId="0" xfId="0" applyFont="1" applyFill="1"/>
    <xf numFmtId="0" fontId="0" fillId="14" borderId="5" xfId="0" applyFill="1" applyBorder="1"/>
    <xf numFmtId="0" fontId="1" fillId="14" borderId="5" xfId="0" applyFont="1" applyFill="1" applyBorder="1"/>
    <xf numFmtId="0" fontId="3" fillId="14" borderId="0" xfId="0" applyFont="1" applyFill="1"/>
    <xf numFmtId="0" fontId="0" fillId="16" borderId="0" xfId="0" applyFill="1"/>
    <xf numFmtId="0" fontId="1" fillId="16" borderId="0" xfId="0" applyFont="1" applyFill="1"/>
    <xf numFmtId="0" fontId="0" fillId="13" borderId="0" xfId="0" applyFill="1" applyAlignment="1">
      <alignment horizontal="center"/>
    </xf>
    <xf numFmtId="0" fontId="0" fillId="17" borderId="8" xfId="0" applyFill="1" applyBorder="1"/>
    <xf numFmtId="0" fontId="8" fillId="17" borderId="8" xfId="0" applyFont="1" applyFill="1" applyBorder="1"/>
    <xf numFmtId="0" fontId="5" fillId="9" borderId="0" xfId="0" applyFont="1" applyFill="1"/>
    <xf numFmtId="0" fontId="5" fillId="14" borderId="0" xfId="0" applyFont="1" applyFill="1"/>
    <xf numFmtId="0" fontId="5" fillId="10" borderId="0" xfId="0" applyFont="1" applyFill="1"/>
    <xf numFmtId="0" fontId="3" fillId="13" borderId="13" xfId="0" applyFont="1" applyFill="1" applyBorder="1"/>
    <xf numFmtId="0" fontId="1" fillId="0" borderId="13" xfId="0" applyFont="1" applyBorder="1"/>
    <xf numFmtId="0" fontId="5" fillId="0" borderId="13" xfId="0" applyFont="1" applyBorder="1"/>
    <xf numFmtId="0" fontId="5" fillId="15" borderId="0" xfId="0" applyFont="1" applyFill="1"/>
    <xf numFmtId="0" fontId="5" fillId="16" borderId="0" xfId="0" applyFont="1" applyFill="1"/>
    <xf numFmtId="0" fontId="0" fillId="0" borderId="8" xfId="0" applyBorder="1"/>
    <xf numFmtId="0" fontId="4" fillId="18" borderId="8" xfId="0" applyFont="1" applyFill="1" applyBorder="1"/>
    <xf numFmtId="0" fontId="3" fillId="18" borderId="8" xfId="0" applyFont="1" applyFill="1" applyBorder="1"/>
    <xf numFmtId="0" fontId="4" fillId="10" borderId="8" xfId="0" applyFont="1" applyFill="1" applyBorder="1"/>
    <xf numFmtId="0" fontId="11" fillId="0" borderId="0" xfId="0" applyFont="1"/>
    <xf numFmtId="0" fontId="12" fillId="8" borderId="0" xfId="0" applyFont="1" applyFill="1"/>
    <xf numFmtId="164" fontId="14" fillId="19" borderId="14" xfId="1" applyNumberFormat="1" applyFont="1" applyFill="1" applyBorder="1" applyAlignment="1">
      <alignment horizontal="center" vertical="center"/>
    </xf>
    <xf numFmtId="164" fontId="14" fillId="19" borderId="15" xfId="1" applyNumberFormat="1" applyFont="1" applyFill="1" applyBorder="1" applyAlignment="1">
      <alignment horizontal="center" vertical="center"/>
    </xf>
    <xf numFmtId="164" fontId="14" fillId="19" borderId="16" xfId="1" applyNumberFormat="1" applyFont="1" applyFill="1" applyBorder="1" applyAlignment="1">
      <alignment horizontal="center" vertical="center"/>
    </xf>
    <xf numFmtId="164" fontId="14" fillId="19" borderId="17" xfId="1" applyNumberFormat="1" applyFont="1" applyFill="1" applyBorder="1" applyAlignment="1">
      <alignment horizontal="center" vertical="center"/>
    </xf>
    <xf numFmtId="164" fontId="14" fillId="19" borderId="8" xfId="1" applyNumberFormat="1" applyFont="1" applyFill="1" applyBorder="1" applyAlignment="1">
      <alignment horizontal="center" vertical="center"/>
    </xf>
    <xf numFmtId="164" fontId="14" fillId="19" borderId="18" xfId="1" applyNumberFormat="1" applyFont="1" applyFill="1" applyBorder="1" applyAlignment="1">
      <alignment horizontal="center" vertical="center"/>
    </xf>
    <xf numFmtId="164" fontId="14" fillId="0" borderId="8" xfId="1" applyNumberFormat="1" applyFont="1" applyBorder="1" applyAlignment="1">
      <alignment horizontal="center" vertical="center"/>
    </xf>
    <xf numFmtId="164" fontId="14" fillId="19" borderId="9" xfId="1" applyNumberFormat="1" applyFont="1" applyFill="1" applyBorder="1" applyAlignment="1">
      <alignment horizontal="center" vertical="center"/>
    </xf>
    <xf numFmtId="164" fontId="14" fillId="15" borderId="19" xfId="1" applyNumberFormat="1" applyFont="1" applyFill="1" applyBorder="1" applyAlignment="1">
      <alignment horizontal="center" vertical="center"/>
    </xf>
    <xf numFmtId="164" fontId="14" fillId="15" borderId="20" xfId="1" applyNumberFormat="1" applyFont="1" applyFill="1" applyBorder="1" applyAlignment="1">
      <alignment horizontal="center" vertical="center"/>
    </xf>
    <xf numFmtId="164" fontId="14" fillId="15" borderId="21" xfId="1" applyNumberFormat="1" applyFont="1" applyFill="1" applyBorder="1" applyAlignment="1">
      <alignment horizontal="center" vertical="center"/>
    </xf>
    <xf numFmtId="164" fontId="14" fillId="19" borderId="12" xfId="1" applyNumberFormat="1" applyFont="1" applyFill="1" applyBorder="1" applyAlignment="1">
      <alignment horizontal="center" vertical="center"/>
    </xf>
    <xf numFmtId="164" fontId="14" fillId="17" borderId="8" xfId="1" applyNumberFormat="1" applyFont="1" applyFill="1" applyBorder="1" applyAlignment="1">
      <alignment horizontal="center" vertical="center"/>
    </xf>
    <xf numFmtId="164" fontId="14" fillId="19" borderId="22" xfId="1" applyNumberFormat="1" applyFont="1" applyFill="1" applyBorder="1" applyAlignment="1">
      <alignment horizontal="center" vertical="center"/>
    </xf>
    <xf numFmtId="164" fontId="14" fillId="20" borderId="23" xfId="1" applyNumberFormat="1" applyFont="1" applyFill="1" applyBorder="1" applyAlignment="1">
      <alignment horizontal="center" vertical="center"/>
    </xf>
    <xf numFmtId="164" fontId="14" fillId="20" borderId="24" xfId="1" applyNumberFormat="1" applyFont="1" applyFill="1" applyBorder="1" applyAlignment="1">
      <alignment horizontal="center" vertical="center"/>
    </xf>
    <xf numFmtId="164" fontId="14" fillId="20" borderId="20" xfId="1" applyNumberFormat="1" applyFont="1" applyFill="1" applyBorder="1" applyAlignment="1">
      <alignment horizontal="center" vertical="center"/>
    </xf>
    <xf numFmtId="164" fontId="14" fillId="20" borderId="21" xfId="1" applyNumberFormat="1" applyFont="1" applyFill="1" applyBorder="1" applyAlignment="1">
      <alignment horizontal="center" vertical="center"/>
    </xf>
    <xf numFmtId="164" fontId="14" fillId="20" borderId="25" xfId="1" applyNumberFormat="1" applyFont="1" applyFill="1" applyBorder="1" applyAlignment="1">
      <alignment horizontal="center" vertical="center"/>
    </xf>
    <xf numFmtId="164" fontId="14" fillId="20" borderId="8" xfId="1" applyNumberFormat="1" applyFont="1" applyFill="1" applyBorder="1" applyAlignment="1">
      <alignment horizontal="center" vertical="center"/>
    </xf>
    <xf numFmtId="164" fontId="14" fillId="20" borderId="26" xfId="1" applyNumberFormat="1" applyFont="1" applyFill="1" applyBorder="1" applyAlignment="1">
      <alignment horizontal="center" vertical="center"/>
    </xf>
    <xf numFmtId="164" fontId="14" fillId="20" borderId="27" xfId="1" applyNumberFormat="1" applyFont="1" applyFill="1" applyBorder="1" applyAlignment="1">
      <alignment horizontal="center" vertical="center"/>
    </xf>
    <xf numFmtId="164" fontId="14" fillId="19" borderId="28" xfId="1" applyNumberFormat="1" applyFont="1" applyFill="1" applyBorder="1" applyAlignment="1">
      <alignment horizontal="center" vertical="center"/>
    </xf>
    <xf numFmtId="164" fontId="14" fillId="19" borderId="29" xfId="1" applyNumberFormat="1" applyFont="1" applyFill="1" applyBorder="1" applyAlignment="1">
      <alignment horizontal="center" vertical="center"/>
    </xf>
    <xf numFmtId="0" fontId="7" fillId="13" borderId="0" xfId="0" applyFont="1" applyFill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7" fillId="9" borderId="1" xfId="0" applyFont="1" applyFill="1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0" fontId="7" fillId="9" borderId="3" xfId="0" applyFont="1" applyFill="1" applyBorder="1" applyAlignment="1">
      <alignment horizontal="center"/>
    </xf>
    <xf numFmtId="0" fontId="7" fillId="13" borderId="7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0" fillId="13" borderId="3" xfId="0" applyFill="1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0" fontId="3" fillId="10" borderId="3" xfId="0" applyFont="1" applyFill="1" applyBorder="1" applyAlignment="1">
      <alignment horizontal="center"/>
    </xf>
    <xf numFmtId="0" fontId="7" fillId="11" borderId="1" xfId="0" applyFont="1" applyFill="1" applyBorder="1" applyAlignment="1">
      <alignment horizontal="center"/>
    </xf>
    <xf numFmtId="0" fontId="3" fillId="11" borderId="2" xfId="0" applyFont="1" applyFill="1" applyBorder="1" applyAlignment="1">
      <alignment horizontal="center"/>
    </xf>
    <xf numFmtId="0" fontId="3" fillId="11" borderId="3" xfId="0" applyFont="1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7" fillId="12" borderId="1" xfId="0" applyFont="1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3" fillId="12" borderId="2" xfId="0" applyFont="1" applyFill="1" applyBorder="1" applyAlignment="1">
      <alignment horizontal="center"/>
    </xf>
    <xf numFmtId="0" fontId="3" fillId="12" borderId="3" xfId="0" applyFont="1" applyFill="1" applyBorder="1" applyAlignment="1">
      <alignment horizontal="center"/>
    </xf>
    <xf numFmtId="0" fontId="3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3" fillId="16" borderId="0" xfId="0" applyFont="1" applyFill="1" applyAlignment="1">
      <alignment horizontal="center"/>
    </xf>
    <xf numFmtId="0" fontId="0" fillId="16" borderId="0" xfId="0" applyFill="1" applyAlignment="1">
      <alignment horizontal="center"/>
    </xf>
    <xf numFmtId="0" fontId="3" fillId="13" borderId="13" xfId="0" applyFont="1" applyFill="1" applyBorder="1" applyAlignment="1">
      <alignment horizontal="center"/>
    </xf>
    <xf numFmtId="0" fontId="0" fillId="13" borderId="0" xfId="0" applyFill="1" applyAlignment="1">
      <alignment horizontal="center"/>
    </xf>
    <xf numFmtId="0" fontId="3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3" fillId="14" borderId="0" xfId="0" applyFont="1" applyFill="1" applyAlignment="1">
      <alignment horizontal="center"/>
    </xf>
    <xf numFmtId="0" fontId="0" fillId="14" borderId="0" xfId="0" applyFill="1" applyAlignment="1">
      <alignment horizontal="center"/>
    </xf>
    <xf numFmtId="0" fontId="3" fillId="15" borderId="0" xfId="0" applyFont="1" applyFill="1" applyAlignment="1">
      <alignment horizontal="center"/>
    </xf>
    <xf numFmtId="0" fontId="0" fillId="15" borderId="0" xfId="0" applyFill="1" applyAlignment="1">
      <alignment horizontal="center"/>
    </xf>
    <xf numFmtId="0" fontId="5" fillId="0" borderId="0" xfId="0" applyFont="1" applyAlignment="1">
      <alignment horizontal="center"/>
    </xf>
    <xf numFmtId="0" fontId="3" fillId="9" borderId="10" xfId="0" applyFont="1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3" fillId="14" borderId="10" xfId="0" applyFont="1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0" fontId="0" fillId="14" borderId="11" xfId="0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9" borderId="9" xfId="0" applyFont="1" applyFill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7" fillId="0" borderId="2" xfId="0" applyFont="1" applyBorder="1" applyAlignment="1">
      <alignment horizontal="center"/>
    </xf>
    <xf numFmtId="164" fontId="15" fillId="9" borderId="8" xfId="1" applyNumberFormat="1" applyFont="1" applyFill="1" applyBorder="1" applyAlignment="1">
      <alignment horizontal="center" vertical="center"/>
    </xf>
  </cellXfs>
  <cellStyles count="2">
    <cellStyle name="Normal" xfId="0" builtinId="0"/>
    <cellStyle name="一般 2" xfId="1" xr:uid="{A7537FEF-83FF-C448-859F-8FD5BDC9F30B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6179691125659431E-3"/>
                  <c:y val="-0.142447979050513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001"/>
                </a:p>
              </c:txPr>
            </c:trendlineLbl>
          </c:trendline>
          <c:xVal>
            <c:numRef>
              <c:f>OD!$D$3:$D$37</c:f>
              <c:numCache>
                <c:formatCode>General</c:formatCode>
                <c:ptCount val="35"/>
                <c:pt idx="0">
                  <c:v>0</c:v>
                </c:pt>
                <c:pt idx="1">
                  <c:v>0.23793277777777777</c:v>
                </c:pt>
                <c:pt idx="2">
                  <c:v>0.4757197222222222</c:v>
                </c:pt>
                <c:pt idx="3">
                  <c:v>0.7135488888888889</c:v>
                </c:pt>
                <c:pt idx="4">
                  <c:v>0.95137944444444444</c:v>
                </c:pt>
                <c:pt idx="5">
                  <c:v>1.1891449999999999</c:v>
                </c:pt>
                <c:pt idx="6">
                  <c:v>1.4269777777777777</c:v>
                </c:pt>
                <c:pt idx="7">
                  <c:v>1.6648077777777779</c:v>
                </c:pt>
                <c:pt idx="8">
                  <c:v>1.9025777777777777</c:v>
                </c:pt>
                <c:pt idx="9">
                  <c:v>2.1403772222222224</c:v>
                </c:pt>
                <c:pt idx="10">
                  <c:v>2.3782172222222222</c:v>
                </c:pt>
                <c:pt idx="11">
                  <c:v>2.6159794444444442</c:v>
                </c:pt>
                <c:pt idx="12">
                  <c:v>2.8537316666666666</c:v>
                </c:pt>
                <c:pt idx="13">
                  <c:v>3.0915727777777779</c:v>
                </c:pt>
                <c:pt idx="14">
                  <c:v>3.3293372222222222</c:v>
                </c:pt>
                <c:pt idx="15">
                  <c:v>3.5670933333333332</c:v>
                </c:pt>
                <c:pt idx="16">
                  <c:v>3.8049416666666671</c:v>
                </c:pt>
                <c:pt idx="17">
                  <c:v>4.0427038888888891</c:v>
                </c:pt>
                <c:pt idx="18">
                  <c:v>4.2804622222222228</c:v>
                </c:pt>
                <c:pt idx="19">
                  <c:v>4.5183066666666667</c:v>
                </c:pt>
                <c:pt idx="20">
                  <c:v>4.7560597222222221</c:v>
                </c:pt>
                <c:pt idx="21">
                  <c:v>4.9938205555555557</c:v>
                </c:pt>
                <c:pt idx="22">
                  <c:v>5.2316730555555555</c:v>
                </c:pt>
                <c:pt idx="23">
                  <c:v>5.4694311111111116</c:v>
                </c:pt>
                <c:pt idx="24">
                  <c:v>5.7071944444444451</c:v>
                </c:pt>
                <c:pt idx="25">
                  <c:v>5.9450247222222226</c:v>
                </c:pt>
                <c:pt idx="26">
                  <c:v>6.1827869444444445</c:v>
                </c:pt>
                <c:pt idx="27">
                  <c:v>6.4205563888888895</c:v>
                </c:pt>
                <c:pt idx="28">
                  <c:v>6.658389722222223</c:v>
                </c:pt>
                <c:pt idx="29">
                  <c:v>6.8961552777777779</c:v>
                </c:pt>
                <c:pt idx="30">
                  <c:v>7.1339474999999997</c:v>
                </c:pt>
                <c:pt idx="31">
                  <c:v>7.3717841666666661</c:v>
                </c:pt>
                <c:pt idx="32">
                  <c:v>7.609548055555555</c:v>
                </c:pt>
                <c:pt idx="33">
                  <c:v>7.8473716666666666</c:v>
                </c:pt>
                <c:pt idx="34">
                  <c:v>8.085210833333333</c:v>
                </c:pt>
              </c:numCache>
            </c:numRef>
          </c:xVal>
          <c:yVal>
            <c:numRef>
              <c:f>OD!$AP$6:$AP$40</c:f>
              <c:numCache>
                <c:formatCode>General</c:formatCode>
                <c:ptCount val="35"/>
                <c:pt idx="0">
                  <c:v>5.1999999999999963E-3</c:v>
                </c:pt>
                <c:pt idx="1">
                  <c:v>1.9999999999999185E-4</c:v>
                </c:pt>
                <c:pt idx="2">
                  <c:v>0</c:v>
                </c:pt>
                <c:pt idx="3">
                  <c:v>2.5000000000000022E-3</c:v>
                </c:pt>
                <c:pt idx="4">
                  <c:v>6.6999999999999976E-3</c:v>
                </c:pt>
                <c:pt idx="5">
                  <c:v>1.0899999999999993E-2</c:v>
                </c:pt>
                <c:pt idx="6">
                  <c:v>1.3499999999999998E-2</c:v>
                </c:pt>
                <c:pt idx="7">
                  <c:v>2.0500000000000004E-2</c:v>
                </c:pt>
                <c:pt idx="8">
                  <c:v>2.76E-2</c:v>
                </c:pt>
                <c:pt idx="9">
                  <c:v>3.9400000000000004E-2</c:v>
                </c:pt>
                <c:pt idx="10">
                  <c:v>5.0500000000000003E-2</c:v>
                </c:pt>
                <c:pt idx="11">
                  <c:v>8.0200000000000007E-2</c:v>
                </c:pt>
                <c:pt idx="12">
                  <c:v>0.11570000000000001</c:v>
                </c:pt>
                <c:pt idx="13">
                  <c:v>0.17969999999999997</c:v>
                </c:pt>
                <c:pt idx="14">
                  <c:v>0.20379999999999998</c:v>
                </c:pt>
                <c:pt idx="15">
                  <c:v>0.22009999999999996</c:v>
                </c:pt>
                <c:pt idx="16">
                  <c:v>0.26119999999999999</c:v>
                </c:pt>
                <c:pt idx="17">
                  <c:v>0.30690000000000001</c:v>
                </c:pt>
                <c:pt idx="18">
                  <c:v>0.32289999999999996</c:v>
                </c:pt>
                <c:pt idx="19">
                  <c:v>0.3367</c:v>
                </c:pt>
                <c:pt idx="20">
                  <c:v>0.3735</c:v>
                </c:pt>
                <c:pt idx="21">
                  <c:v>0.39329999999999998</c:v>
                </c:pt>
                <c:pt idx="22">
                  <c:v>0.39329999999999998</c:v>
                </c:pt>
                <c:pt idx="23">
                  <c:v>0.41309999999999997</c:v>
                </c:pt>
                <c:pt idx="24">
                  <c:v>0.4138</c:v>
                </c:pt>
                <c:pt idx="25">
                  <c:v>0.42329999999999995</c:v>
                </c:pt>
                <c:pt idx="26">
                  <c:v>0.43390000000000001</c:v>
                </c:pt>
                <c:pt idx="27">
                  <c:v>0.42480000000000001</c:v>
                </c:pt>
                <c:pt idx="28">
                  <c:v>0.42370000000000002</c:v>
                </c:pt>
                <c:pt idx="29">
                  <c:v>0.42219999999999996</c:v>
                </c:pt>
                <c:pt idx="30">
                  <c:v>0.41729999999999995</c:v>
                </c:pt>
                <c:pt idx="31">
                  <c:v>0.41660000000000003</c:v>
                </c:pt>
                <c:pt idx="32">
                  <c:v>0.40750000000000003</c:v>
                </c:pt>
                <c:pt idx="33">
                  <c:v>0.41460000000000002</c:v>
                </c:pt>
                <c:pt idx="34">
                  <c:v>0.39960000000000001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64-F04F-A51C-D20DF397EC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9651760"/>
        <c:axId val="1830765984"/>
      </c:scatterChart>
      <c:valAx>
        <c:axId val="1669651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830765984"/>
        <c:crosses val="autoZero"/>
        <c:crossBetween val="midCat"/>
      </c:valAx>
      <c:valAx>
        <c:axId val="183076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669651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xVal>
            <c:numRef>
              <c:f>OD!$D$7:$D$37</c:f>
              <c:numCache>
                <c:formatCode>General</c:formatCode>
                <c:ptCount val="31"/>
                <c:pt idx="0">
                  <c:v>0.95137944444444444</c:v>
                </c:pt>
                <c:pt idx="1">
                  <c:v>1.1891449999999999</c:v>
                </c:pt>
                <c:pt idx="2">
                  <c:v>1.4269777777777777</c:v>
                </c:pt>
                <c:pt idx="3">
                  <c:v>1.6648077777777779</c:v>
                </c:pt>
                <c:pt idx="4">
                  <c:v>1.9025777777777777</c:v>
                </c:pt>
                <c:pt idx="5">
                  <c:v>2.1403772222222224</c:v>
                </c:pt>
                <c:pt idx="6">
                  <c:v>2.3782172222222222</c:v>
                </c:pt>
                <c:pt idx="7">
                  <c:v>2.6159794444444442</c:v>
                </c:pt>
                <c:pt idx="8">
                  <c:v>2.8537316666666666</c:v>
                </c:pt>
                <c:pt idx="9">
                  <c:v>3.0915727777777779</c:v>
                </c:pt>
                <c:pt idx="10">
                  <c:v>3.3293372222222222</c:v>
                </c:pt>
                <c:pt idx="11">
                  <c:v>3.5670933333333332</c:v>
                </c:pt>
                <c:pt idx="12">
                  <c:v>3.8049416666666671</c:v>
                </c:pt>
                <c:pt idx="13">
                  <c:v>4.0427038888888891</c:v>
                </c:pt>
                <c:pt idx="14">
                  <c:v>4.2804622222222228</c:v>
                </c:pt>
                <c:pt idx="15">
                  <c:v>4.5183066666666667</c:v>
                </c:pt>
                <c:pt idx="16">
                  <c:v>4.7560597222222221</c:v>
                </c:pt>
                <c:pt idx="17">
                  <c:v>4.9938205555555557</c:v>
                </c:pt>
                <c:pt idx="18">
                  <c:v>5.2316730555555555</c:v>
                </c:pt>
                <c:pt idx="19">
                  <c:v>5.4694311111111116</c:v>
                </c:pt>
                <c:pt idx="20">
                  <c:v>5.7071944444444451</c:v>
                </c:pt>
                <c:pt idx="21">
                  <c:v>5.9450247222222226</c:v>
                </c:pt>
                <c:pt idx="22">
                  <c:v>6.1827869444444445</c:v>
                </c:pt>
                <c:pt idx="23">
                  <c:v>6.4205563888888895</c:v>
                </c:pt>
                <c:pt idx="24">
                  <c:v>6.658389722222223</c:v>
                </c:pt>
                <c:pt idx="25">
                  <c:v>6.8961552777777779</c:v>
                </c:pt>
                <c:pt idx="26">
                  <c:v>7.1339474999999997</c:v>
                </c:pt>
                <c:pt idx="27">
                  <c:v>7.3717841666666661</c:v>
                </c:pt>
                <c:pt idx="28">
                  <c:v>7.609548055555555</c:v>
                </c:pt>
                <c:pt idx="29">
                  <c:v>7.8473716666666666</c:v>
                </c:pt>
                <c:pt idx="30">
                  <c:v>8.085210833333333</c:v>
                </c:pt>
              </c:numCache>
            </c:numRef>
          </c:xVal>
          <c:yVal>
            <c:numRef>
              <c:f>OD!$AN$9:$AN$40</c:f>
              <c:numCache>
                <c:formatCode>General</c:formatCode>
                <c:ptCount val="32"/>
                <c:pt idx="0">
                  <c:v>-5.9914645471079808</c:v>
                </c:pt>
                <c:pt idx="1">
                  <c:v>-5.005647752585217</c:v>
                </c:pt>
                <c:pt idx="2">
                  <c:v>-4.5189924897470393</c:v>
                </c:pt>
                <c:pt idx="3">
                  <c:v>-4.3050655935377531</c:v>
                </c:pt>
                <c:pt idx="4">
                  <c:v>-3.8873303928377743</c:v>
                </c:pt>
                <c:pt idx="5">
                  <c:v>-3.5899395062590327</c:v>
                </c:pt>
                <c:pt idx="6">
                  <c:v>-3.2339894626782488</c:v>
                </c:pt>
                <c:pt idx="7">
                  <c:v>-2.985781942700823</c:v>
                </c:pt>
                <c:pt idx="8">
                  <c:v>-2.523231764109668</c:v>
                </c:pt>
                <c:pt idx="9">
                  <c:v>-2.1567546447825059</c:v>
                </c:pt>
                <c:pt idx="10">
                  <c:v>-1.7164664851926239</c:v>
                </c:pt>
                <c:pt idx="11">
                  <c:v>-1.5906161581935128</c:v>
                </c:pt>
                <c:pt idx="12">
                  <c:v>-1.5136732904497212</c:v>
                </c:pt>
                <c:pt idx="13">
                  <c:v>-1.3424688815798611</c:v>
                </c:pt>
                <c:pt idx="14">
                  <c:v>-1.1812333173564464</c:v>
                </c:pt>
                <c:pt idx="15">
                  <c:v>-1.1304126012179077</c:v>
                </c:pt>
                <c:pt idx="16">
                  <c:v>-1.0885629528151082</c:v>
                </c:pt>
                <c:pt idx="17">
                  <c:v>-0.98483727440926505</c:v>
                </c:pt>
                <c:pt idx="18">
                  <c:v>-0.93318259954437321</c:v>
                </c:pt>
                <c:pt idx="19">
                  <c:v>-0.93318259954437321</c:v>
                </c:pt>
                <c:pt idx="20">
                  <c:v>-0.88406558457941831</c:v>
                </c:pt>
                <c:pt idx="21">
                  <c:v>-0.88237251367069436</c:v>
                </c:pt>
                <c:pt idx="22">
                  <c:v>-0.85967413145525917</c:v>
                </c:pt>
                <c:pt idx="23">
                  <c:v>-0.83494118617783197</c:v>
                </c:pt>
                <c:pt idx="24">
                  <c:v>-0.85613680905440792</c:v>
                </c:pt>
                <c:pt idx="25">
                  <c:v>-0.8587296213496235</c:v>
                </c:pt>
                <c:pt idx="26">
                  <c:v>-0.86227614356791693</c:v>
                </c:pt>
                <c:pt idx="27">
                  <c:v>-0.87394989138463031</c:v>
                </c:pt>
                <c:pt idx="28">
                  <c:v>-0.87562875015526542</c:v>
                </c:pt>
                <c:pt idx="29">
                  <c:v>-0.8977143463012196</c:v>
                </c:pt>
                <c:pt idx="30">
                  <c:v>-0.88044107898045776</c:v>
                </c:pt>
                <c:pt idx="31">
                  <c:v>-0.91729123220773856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33-084A-BBD2-FFEC533CE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8535232"/>
        <c:axId val="1878536944"/>
      </c:scatterChart>
      <c:valAx>
        <c:axId val="1878535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878536944"/>
        <c:crosses val="autoZero"/>
        <c:crossBetween val="midCat"/>
      </c:valAx>
      <c:valAx>
        <c:axId val="187853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878535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OD!$D$5:$D$37</c:f>
              <c:numCache>
                <c:formatCode>General</c:formatCode>
                <c:ptCount val="33"/>
                <c:pt idx="0">
                  <c:v>0.4757197222222222</c:v>
                </c:pt>
                <c:pt idx="1">
                  <c:v>0.7135488888888889</c:v>
                </c:pt>
                <c:pt idx="2">
                  <c:v>0.95137944444444444</c:v>
                </c:pt>
                <c:pt idx="3">
                  <c:v>1.1891449999999999</c:v>
                </c:pt>
                <c:pt idx="4">
                  <c:v>1.4269777777777777</c:v>
                </c:pt>
                <c:pt idx="5">
                  <c:v>1.6648077777777779</c:v>
                </c:pt>
                <c:pt idx="6">
                  <c:v>1.9025777777777777</c:v>
                </c:pt>
                <c:pt idx="7">
                  <c:v>2.1403772222222224</c:v>
                </c:pt>
                <c:pt idx="8">
                  <c:v>2.3782172222222222</c:v>
                </c:pt>
                <c:pt idx="9">
                  <c:v>2.6159794444444442</c:v>
                </c:pt>
                <c:pt idx="10">
                  <c:v>2.8537316666666666</c:v>
                </c:pt>
                <c:pt idx="11">
                  <c:v>3.0915727777777779</c:v>
                </c:pt>
                <c:pt idx="12">
                  <c:v>3.3293372222222222</c:v>
                </c:pt>
                <c:pt idx="13">
                  <c:v>3.5670933333333332</c:v>
                </c:pt>
                <c:pt idx="14">
                  <c:v>3.8049416666666671</c:v>
                </c:pt>
                <c:pt idx="15">
                  <c:v>4.0427038888888891</c:v>
                </c:pt>
                <c:pt idx="16">
                  <c:v>4.2804622222222228</c:v>
                </c:pt>
                <c:pt idx="17">
                  <c:v>4.5183066666666667</c:v>
                </c:pt>
                <c:pt idx="18">
                  <c:v>4.7560597222222221</c:v>
                </c:pt>
                <c:pt idx="19">
                  <c:v>4.9938205555555557</c:v>
                </c:pt>
                <c:pt idx="20">
                  <c:v>5.2316730555555555</c:v>
                </c:pt>
                <c:pt idx="21">
                  <c:v>5.4694311111111116</c:v>
                </c:pt>
                <c:pt idx="22">
                  <c:v>5.7071944444444451</c:v>
                </c:pt>
                <c:pt idx="23">
                  <c:v>5.9450247222222226</c:v>
                </c:pt>
                <c:pt idx="24">
                  <c:v>6.1827869444444445</c:v>
                </c:pt>
                <c:pt idx="25">
                  <c:v>6.4205563888888895</c:v>
                </c:pt>
                <c:pt idx="26">
                  <c:v>6.658389722222223</c:v>
                </c:pt>
                <c:pt idx="27">
                  <c:v>6.8961552777777779</c:v>
                </c:pt>
                <c:pt idx="28">
                  <c:v>7.1339474999999997</c:v>
                </c:pt>
                <c:pt idx="29">
                  <c:v>7.3717841666666661</c:v>
                </c:pt>
                <c:pt idx="30">
                  <c:v>7.609548055555555</c:v>
                </c:pt>
                <c:pt idx="31">
                  <c:v>7.8473716666666666</c:v>
                </c:pt>
                <c:pt idx="32">
                  <c:v>8.085210833333333</c:v>
                </c:pt>
              </c:numCache>
            </c:numRef>
          </c:xVal>
          <c:yVal>
            <c:numRef>
              <c:f>OD!$AT$8:$AT$40</c:f>
              <c:numCache>
                <c:formatCode>General</c:formatCode>
                <c:ptCount val="33"/>
                <c:pt idx="0">
                  <c:v>-7.8240460108562981</c:v>
                </c:pt>
                <c:pt idx="1">
                  <c:v>-6.1658179342527575</c:v>
                </c:pt>
                <c:pt idx="2">
                  <c:v>-4.9908326668000758</c:v>
                </c:pt>
                <c:pt idx="3">
                  <c:v>-4.4481664371784264</c:v>
                </c:pt>
                <c:pt idx="4">
                  <c:v>-4.3351430487750315</c:v>
                </c:pt>
                <c:pt idx="5">
                  <c:v>-4.2063940660307235</c:v>
                </c:pt>
                <c:pt idx="6">
                  <c:v>-3.7214026458194964</c:v>
                </c:pt>
                <c:pt idx="7">
                  <c:v>-3.3991993789994819</c:v>
                </c:pt>
                <c:pt idx="8">
                  <c:v>-3.137295837875778</c:v>
                </c:pt>
                <c:pt idx="9">
                  <c:v>-2.6765515340428392</c:v>
                </c:pt>
                <c:pt idx="10">
                  <c:v>-2.3309845675157437</c:v>
                </c:pt>
                <c:pt idx="11">
                  <c:v>-1.9064971466984784</c:v>
                </c:pt>
                <c:pt idx="12">
                  <c:v>-1.6471397796181118</c:v>
                </c:pt>
                <c:pt idx="13">
                  <c:v>-1.659679128870847</c:v>
                </c:pt>
                <c:pt idx="14">
                  <c:v>-1.4623118475438066</c:v>
                </c:pt>
                <c:pt idx="15">
                  <c:v>-1.292804018032552</c:v>
                </c:pt>
                <c:pt idx="16">
                  <c:v>-1.2454894845288693</c:v>
                </c:pt>
                <c:pt idx="17">
                  <c:v>-1.1466477377066666</c:v>
                </c:pt>
                <c:pt idx="18">
                  <c:v>-1.0186003506987251</c:v>
                </c:pt>
                <c:pt idx="19">
                  <c:v>-0.98993727204245352</c:v>
                </c:pt>
                <c:pt idx="20">
                  <c:v>-0.95867644837059307</c:v>
                </c:pt>
                <c:pt idx="21">
                  <c:v>-0.91454226134003835</c:v>
                </c:pt>
                <c:pt idx="22">
                  <c:v>-0.89281837568901301</c:v>
                </c:pt>
                <c:pt idx="23">
                  <c:v>-0.84559930375162207</c:v>
                </c:pt>
                <c:pt idx="24">
                  <c:v>-0.83194958344040437</c:v>
                </c:pt>
                <c:pt idx="25">
                  <c:v>-0.82988370413341639</c:v>
                </c:pt>
                <c:pt idx="26">
                  <c:v>-0.83586348276154054</c:v>
                </c:pt>
                <c:pt idx="27">
                  <c:v>-0.83609418987987838</c:v>
                </c:pt>
                <c:pt idx="28">
                  <c:v>-0.83886683490935166</c:v>
                </c:pt>
                <c:pt idx="29">
                  <c:v>-0.81508885136518783</c:v>
                </c:pt>
                <c:pt idx="30">
                  <c:v>-0.86014672125611547</c:v>
                </c:pt>
                <c:pt idx="31">
                  <c:v>-0.81148036752181019</c:v>
                </c:pt>
                <c:pt idx="32">
                  <c:v>-0.84048776845865447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E8-E243-9BA2-B146957F9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8871264"/>
        <c:axId val="2018872976"/>
      </c:scatterChart>
      <c:valAx>
        <c:axId val="2018871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2018872976"/>
        <c:crosses val="autoZero"/>
        <c:crossBetween val="midCat"/>
      </c:valAx>
      <c:valAx>
        <c:axId val="201887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2018871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721036348602096E-2"/>
                  <c:y val="-8.161285624532917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001"/>
                </a:p>
              </c:txPr>
            </c:trendlineLbl>
          </c:trendline>
          <c:xVal>
            <c:numRef>
              <c:f>OD!$D$5:$D$37</c:f>
              <c:numCache>
                <c:formatCode>General</c:formatCode>
                <c:ptCount val="33"/>
                <c:pt idx="0">
                  <c:v>0.4757197222222222</c:v>
                </c:pt>
                <c:pt idx="1">
                  <c:v>0.7135488888888889</c:v>
                </c:pt>
                <c:pt idx="2">
                  <c:v>0.95137944444444444</c:v>
                </c:pt>
                <c:pt idx="3">
                  <c:v>1.1891449999999999</c:v>
                </c:pt>
                <c:pt idx="4">
                  <c:v>1.4269777777777777</c:v>
                </c:pt>
                <c:pt idx="5">
                  <c:v>1.6648077777777779</c:v>
                </c:pt>
                <c:pt idx="6">
                  <c:v>1.9025777777777777</c:v>
                </c:pt>
                <c:pt idx="7">
                  <c:v>2.1403772222222224</c:v>
                </c:pt>
                <c:pt idx="8">
                  <c:v>2.3782172222222222</c:v>
                </c:pt>
                <c:pt idx="9">
                  <c:v>2.6159794444444442</c:v>
                </c:pt>
                <c:pt idx="10">
                  <c:v>2.8537316666666666</c:v>
                </c:pt>
                <c:pt idx="11">
                  <c:v>3.0915727777777779</c:v>
                </c:pt>
                <c:pt idx="12">
                  <c:v>3.3293372222222222</c:v>
                </c:pt>
                <c:pt idx="13">
                  <c:v>3.5670933333333332</c:v>
                </c:pt>
                <c:pt idx="14">
                  <c:v>3.8049416666666671</c:v>
                </c:pt>
                <c:pt idx="15">
                  <c:v>4.0427038888888891</c:v>
                </c:pt>
                <c:pt idx="16">
                  <c:v>4.2804622222222228</c:v>
                </c:pt>
                <c:pt idx="17">
                  <c:v>4.5183066666666667</c:v>
                </c:pt>
                <c:pt idx="18">
                  <c:v>4.7560597222222221</c:v>
                </c:pt>
                <c:pt idx="19">
                  <c:v>4.9938205555555557</c:v>
                </c:pt>
                <c:pt idx="20">
                  <c:v>5.2316730555555555</c:v>
                </c:pt>
                <c:pt idx="21">
                  <c:v>5.4694311111111116</c:v>
                </c:pt>
                <c:pt idx="22">
                  <c:v>5.7071944444444451</c:v>
                </c:pt>
                <c:pt idx="23">
                  <c:v>5.9450247222222226</c:v>
                </c:pt>
                <c:pt idx="24">
                  <c:v>6.1827869444444445</c:v>
                </c:pt>
                <c:pt idx="25">
                  <c:v>6.4205563888888895</c:v>
                </c:pt>
                <c:pt idx="26">
                  <c:v>6.658389722222223</c:v>
                </c:pt>
                <c:pt idx="27">
                  <c:v>6.8961552777777779</c:v>
                </c:pt>
                <c:pt idx="28">
                  <c:v>7.1339474999999997</c:v>
                </c:pt>
                <c:pt idx="29">
                  <c:v>7.3717841666666661</c:v>
                </c:pt>
                <c:pt idx="30">
                  <c:v>7.609548055555555</c:v>
                </c:pt>
                <c:pt idx="31">
                  <c:v>7.8473716666666666</c:v>
                </c:pt>
                <c:pt idx="32">
                  <c:v>8.085210833333333</c:v>
                </c:pt>
              </c:numCache>
            </c:numRef>
          </c:xVal>
          <c:yVal>
            <c:numRef>
              <c:f>OD!$AU$8:$AU$40</c:f>
              <c:numCache>
                <c:formatCode>General</c:formatCode>
                <c:ptCount val="33"/>
                <c:pt idx="0">
                  <c:v>0.1057</c:v>
                </c:pt>
                <c:pt idx="1">
                  <c:v>0.10780000000000001</c:v>
                </c:pt>
                <c:pt idx="2">
                  <c:v>0.1125</c:v>
                </c:pt>
                <c:pt idx="3">
                  <c:v>0.11890000000000001</c:v>
                </c:pt>
                <c:pt idx="4">
                  <c:v>0.1205</c:v>
                </c:pt>
                <c:pt idx="5">
                  <c:v>0.1232</c:v>
                </c:pt>
                <c:pt idx="6">
                  <c:v>0.1321</c:v>
                </c:pt>
                <c:pt idx="7">
                  <c:v>0.14349999999999999</c:v>
                </c:pt>
                <c:pt idx="8">
                  <c:v>0.15229999999999999</c:v>
                </c:pt>
                <c:pt idx="9">
                  <c:v>0.17799999999999999</c:v>
                </c:pt>
                <c:pt idx="10">
                  <c:v>0.20910000000000001</c:v>
                </c:pt>
                <c:pt idx="11">
                  <c:v>0.25829999999999997</c:v>
                </c:pt>
                <c:pt idx="12">
                  <c:v>0.29859999999999998</c:v>
                </c:pt>
                <c:pt idx="13">
                  <c:v>0.29459999999999997</c:v>
                </c:pt>
                <c:pt idx="14">
                  <c:v>0.32679999999999998</c:v>
                </c:pt>
                <c:pt idx="15">
                  <c:v>0.36359999999999998</c:v>
                </c:pt>
                <c:pt idx="16">
                  <c:v>0.37769999999999998</c:v>
                </c:pt>
                <c:pt idx="17">
                  <c:v>0.40079999999999999</c:v>
                </c:pt>
                <c:pt idx="18">
                  <c:v>0.44230000000000003</c:v>
                </c:pt>
                <c:pt idx="19">
                  <c:v>0.46110000000000001</c:v>
                </c:pt>
                <c:pt idx="20">
                  <c:v>0.46289999999999998</c:v>
                </c:pt>
                <c:pt idx="21">
                  <c:v>0.48430000000000001</c:v>
                </c:pt>
                <c:pt idx="22">
                  <c:v>0.49890000000000001</c:v>
                </c:pt>
                <c:pt idx="23">
                  <c:v>0.5071</c:v>
                </c:pt>
                <c:pt idx="24">
                  <c:v>0.51949999999999996</c:v>
                </c:pt>
                <c:pt idx="25">
                  <c:v>0.53049999999999997</c:v>
                </c:pt>
                <c:pt idx="26">
                  <c:v>0.5262</c:v>
                </c:pt>
                <c:pt idx="27">
                  <c:v>0.52959999999999996</c:v>
                </c:pt>
                <c:pt idx="28">
                  <c:v>0.53190000000000004</c:v>
                </c:pt>
                <c:pt idx="29">
                  <c:v>0.52980000000000005</c:v>
                </c:pt>
                <c:pt idx="30">
                  <c:v>0.51739999999999997</c:v>
                </c:pt>
                <c:pt idx="31">
                  <c:v>0.54339999999999999</c:v>
                </c:pt>
                <c:pt idx="32">
                  <c:v>0.51559999999999995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FD-E343-A55D-79AFF8D7F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8841760"/>
        <c:axId val="1878843472"/>
      </c:scatterChart>
      <c:valAx>
        <c:axId val="1878841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878843472"/>
        <c:crosses val="autoZero"/>
        <c:crossBetween val="midCat"/>
      </c:valAx>
      <c:valAx>
        <c:axId val="187884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878841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001"/>
                </a:p>
              </c:txPr>
            </c:trendlineLbl>
          </c:trendline>
          <c:xVal>
            <c:numRef>
              <c:f>OD!$D$5:$D$37</c:f>
              <c:numCache>
                <c:formatCode>General</c:formatCode>
                <c:ptCount val="33"/>
                <c:pt idx="0">
                  <c:v>0.4757197222222222</c:v>
                </c:pt>
                <c:pt idx="1">
                  <c:v>0.7135488888888889</c:v>
                </c:pt>
                <c:pt idx="2">
                  <c:v>0.95137944444444444</c:v>
                </c:pt>
                <c:pt idx="3">
                  <c:v>1.1891449999999999</c:v>
                </c:pt>
                <c:pt idx="4">
                  <c:v>1.4269777777777777</c:v>
                </c:pt>
                <c:pt idx="5">
                  <c:v>1.6648077777777779</c:v>
                </c:pt>
                <c:pt idx="6">
                  <c:v>1.9025777777777777</c:v>
                </c:pt>
                <c:pt idx="7">
                  <c:v>2.1403772222222224</c:v>
                </c:pt>
                <c:pt idx="8">
                  <c:v>2.3782172222222222</c:v>
                </c:pt>
                <c:pt idx="9">
                  <c:v>2.6159794444444442</c:v>
                </c:pt>
                <c:pt idx="10">
                  <c:v>2.8537316666666666</c:v>
                </c:pt>
                <c:pt idx="11">
                  <c:v>3.0915727777777779</c:v>
                </c:pt>
                <c:pt idx="12">
                  <c:v>3.3293372222222222</c:v>
                </c:pt>
                <c:pt idx="13">
                  <c:v>3.5670933333333332</c:v>
                </c:pt>
                <c:pt idx="14">
                  <c:v>3.8049416666666671</c:v>
                </c:pt>
                <c:pt idx="15">
                  <c:v>4.0427038888888891</c:v>
                </c:pt>
                <c:pt idx="16">
                  <c:v>4.2804622222222228</c:v>
                </c:pt>
                <c:pt idx="17">
                  <c:v>4.5183066666666667</c:v>
                </c:pt>
                <c:pt idx="18">
                  <c:v>4.7560597222222221</c:v>
                </c:pt>
                <c:pt idx="19">
                  <c:v>4.9938205555555557</c:v>
                </c:pt>
                <c:pt idx="20">
                  <c:v>5.2316730555555555</c:v>
                </c:pt>
                <c:pt idx="21">
                  <c:v>5.4694311111111116</c:v>
                </c:pt>
                <c:pt idx="22">
                  <c:v>5.7071944444444451</c:v>
                </c:pt>
                <c:pt idx="23">
                  <c:v>5.9450247222222226</c:v>
                </c:pt>
                <c:pt idx="24">
                  <c:v>6.1827869444444445</c:v>
                </c:pt>
                <c:pt idx="25">
                  <c:v>6.4205563888888895</c:v>
                </c:pt>
                <c:pt idx="26">
                  <c:v>6.658389722222223</c:v>
                </c:pt>
                <c:pt idx="27">
                  <c:v>6.8961552777777779</c:v>
                </c:pt>
                <c:pt idx="28">
                  <c:v>7.1339474999999997</c:v>
                </c:pt>
                <c:pt idx="29">
                  <c:v>7.3717841666666661</c:v>
                </c:pt>
                <c:pt idx="30">
                  <c:v>7.609548055555555</c:v>
                </c:pt>
                <c:pt idx="31">
                  <c:v>7.8473716666666666</c:v>
                </c:pt>
                <c:pt idx="32">
                  <c:v>8.085210833333333</c:v>
                </c:pt>
              </c:numCache>
            </c:numRef>
          </c:xVal>
          <c:yVal>
            <c:numRef>
              <c:f>OD!$AV$8:$AV$40</c:f>
              <c:numCache>
                <c:formatCode>General</c:formatCode>
                <c:ptCount val="33"/>
                <c:pt idx="0">
                  <c:v>3.9999999999999758E-4</c:v>
                </c:pt>
                <c:pt idx="1">
                  <c:v>2.5000000000000022E-3</c:v>
                </c:pt>
                <c:pt idx="2">
                  <c:v>7.1999999999999981E-3</c:v>
                </c:pt>
                <c:pt idx="3">
                  <c:v>1.3600000000000001E-2</c:v>
                </c:pt>
                <c:pt idx="4">
                  <c:v>1.5199999999999991E-2</c:v>
                </c:pt>
                <c:pt idx="5">
                  <c:v>1.7899999999999999E-2</c:v>
                </c:pt>
                <c:pt idx="6">
                  <c:v>2.679999999999999E-2</c:v>
                </c:pt>
                <c:pt idx="7">
                  <c:v>3.8199999999999984E-2</c:v>
                </c:pt>
                <c:pt idx="8">
                  <c:v>4.6999999999999986E-2</c:v>
                </c:pt>
                <c:pt idx="9">
                  <c:v>7.2699999999999987E-2</c:v>
                </c:pt>
                <c:pt idx="10">
                  <c:v>0.1038</c:v>
                </c:pt>
                <c:pt idx="11">
                  <c:v>0.15299999999999997</c:v>
                </c:pt>
                <c:pt idx="12">
                  <c:v>0.19329999999999997</c:v>
                </c:pt>
                <c:pt idx="13">
                  <c:v>0.18929999999999997</c:v>
                </c:pt>
                <c:pt idx="14">
                  <c:v>0.22149999999999997</c:v>
                </c:pt>
                <c:pt idx="15">
                  <c:v>0.25829999999999997</c:v>
                </c:pt>
                <c:pt idx="16">
                  <c:v>0.27239999999999998</c:v>
                </c:pt>
                <c:pt idx="17">
                  <c:v>0.29549999999999998</c:v>
                </c:pt>
                <c:pt idx="18">
                  <c:v>0.33700000000000002</c:v>
                </c:pt>
                <c:pt idx="19">
                  <c:v>0.35580000000000001</c:v>
                </c:pt>
                <c:pt idx="20">
                  <c:v>0.35759999999999997</c:v>
                </c:pt>
                <c:pt idx="21">
                  <c:v>0.379</c:v>
                </c:pt>
                <c:pt idx="22">
                  <c:v>0.39360000000000001</c:v>
                </c:pt>
                <c:pt idx="23">
                  <c:v>0.40179999999999999</c:v>
                </c:pt>
                <c:pt idx="24">
                  <c:v>0.41419999999999996</c:v>
                </c:pt>
                <c:pt idx="25">
                  <c:v>0.42519999999999997</c:v>
                </c:pt>
                <c:pt idx="26">
                  <c:v>0.4209</c:v>
                </c:pt>
                <c:pt idx="27">
                  <c:v>0.42429999999999995</c:v>
                </c:pt>
                <c:pt idx="28">
                  <c:v>0.42660000000000003</c:v>
                </c:pt>
                <c:pt idx="29">
                  <c:v>0.42450000000000004</c:v>
                </c:pt>
                <c:pt idx="30">
                  <c:v>0.41209999999999997</c:v>
                </c:pt>
                <c:pt idx="31">
                  <c:v>0.43809999999999999</c:v>
                </c:pt>
                <c:pt idx="32">
                  <c:v>0.41029999999999994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F7-E94E-BC11-9AD44CC58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8972768"/>
        <c:axId val="1878974480"/>
      </c:scatterChart>
      <c:valAx>
        <c:axId val="1878972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878974480"/>
        <c:crosses val="autoZero"/>
        <c:crossBetween val="midCat"/>
      </c:valAx>
      <c:valAx>
        <c:axId val="187897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878972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OD!$D$5:$D$37</c:f>
              <c:numCache>
                <c:formatCode>General</c:formatCode>
                <c:ptCount val="33"/>
                <c:pt idx="0">
                  <c:v>0.4757197222222222</c:v>
                </c:pt>
                <c:pt idx="1">
                  <c:v>0.7135488888888889</c:v>
                </c:pt>
                <c:pt idx="2">
                  <c:v>0.95137944444444444</c:v>
                </c:pt>
                <c:pt idx="3">
                  <c:v>1.1891449999999999</c:v>
                </c:pt>
                <c:pt idx="4">
                  <c:v>1.4269777777777777</c:v>
                </c:pt>
                <c:pt idx="5">
                  <c:v>1.6648077777777779</c:v>
                </c:pt>
                <c:pt idx="6">
                  <c:v>1.9025777777777777</c:v>
                </c:pt>
                <c:pt idx="7">
                  <c:v>2.1403772222222224</c:v>
                </c:pt>
                <c:pt idx="8">
                  <c:v>2.3782172222222222</c:v>
                </c:pt>
                <c:pt idx="9">
                  <c:v>2.6159794444444442</c:v>
                </c:pt>
                <c:pt idx="10">
                  <c:v>2.8537316666666666</c:v>
                </c:pt>
                <c:pt idx="11">
                  <c:v>3.0915727777777779</c:v>
                </c:pt>
                <c:pt idx="12">
                  <c:v>3.3293372222222222</c:v>
                </c:pt>
                <c:pt idx="13">
                  <c:v>3.5670933333333332</c:v>
                </c:pt>
                <c:pt idx="14">
                  <c:v>3.8049416666666671</c:v>
                </c:pt>
                <c:pt idx="15">
                  <c:v>4.0427038888888891</c:v>
                </c:pt>
                <c:pt idx="16">
                  <c:v>4.2804622222222228</c:v>
                </c:pt>
                <c:pt idx="17">
                  <c:v>4.5183066666666667</c:v>
                </c:pt>
                <c:pt idx="18">
                  <c:v>4.7560597222222221</c:v>
                </c:pt>
                <c:pt idx="19">
                  <c:v>4.9938205555555557</c:v>
                </c:pt>
                <c:pt idx="20">
                  <c:v>5.2316730555555555</c:v>
                </c:pt>
                <c:pt idx="21">
                  <c:v>5.4694311111111116</c:v>
                </c:pt>
                <c:pt idx="22">
                  <c:v>5.7071944444444451</c:v>
                </c:pt>
                <c:pt idx="23">
                  <c:v>5.9450247222222226</c:v>
                </c:pt>
                <c:pt idx="24">
                  <c:v>6.1827869444444445</c:v>
                </c:pt>
                <c:pt idx="25">
                  <c:v>6.4205563888888895</c:v>
                </c:pt>
                <c:pt idx="26">
                  <c:v>6.658389722222223</c:v>
                </c:pt>
                <c:pt idx="27">
                  <c:v>6.8961552777777779</c:v>
                </c:pt>
                <c:pt idx="28">
                  <c:v>7.1339474999999997</c:v>
                </c:pt>
                <c:pt idx="29">
                  <c:v>7.3717841666666661</c:v>
                </c:pt>
                <c:pt idx="30">
                  <c:v>7.609548055555555</c:v>
                </c:pt>
                <c:pt idx="31">
                  <c:v>7.8473716666666666</c:v>
                </c:pt>
                <c:pt idx="32">
                  <c:v>8.085210833333333</c:v>
                </c:pt>
              </c:numCache>
            </c:numRef>
          </c:xVal>
          <c:yVal>
            <c:numRef>
              <c:f>OD!$AW$8:$AW$41</c:f>
              <c:numCache>
                <c:formatCode>General</c:formatCode>
                <c:ptCount val="34"/>
                <c:pt idx="0">
                  <c:v>-7.8240460108562981</c:v>
                </c:pt>
                <c:pt idx="1">
                  <c:v>-5.9914645471079808</c:v>
                </c:pt>
                <c:pt idx="2">
                  <c:v>-4.9336742529601274</c:v>
                </c:pt>
                <c:pt idx="3">
                  <c:v>-4.2976854862401304</c:v>
                </c:pt>
                <c:pt idx="4">
                  <c:v>-4.1864598511299072</c:v>
                </c:pt>
                <c:pt idx="5">
                  <c:v>-4.0229545661354278</c:v>
                </c:pt>
                <c:pt idx="6">
                  <c:v>-3.6193533914653262</c:v>
                </c:pt>
                <c:pt idx="7">
                  <c:v>-3.2649197633696079</c:v>
                </c:pt>
                <c:pt idx="8">
                  <c:v>-3.0576076772720788</c:v>
                </c:pt>
                <c:pt idx="9">
                  <c:v>-2.6214138944426635</c:v>
                </c:pt>
                <c:pt idx="10">
                  <c:v>-2.2652893082503489</c:v>
                </c:pt>
                <c:pt idx="11">
                  <c:v>-1.8773173575897018</c:v>
                </c:pt>
                <c:pt idx="12">
                  <c:v>-1.643511892767852</c:v>
                </c:pt>
                <c:pt idx="13">
                  <c:v>-1.66442222076686</c:v>
                </c:pt>
                <c:pt idx="14">
                  <c:v>-1.5073326894969468</c:v>
                </c:pt>
                <c:pt idx="15">
                  <c:v>-1.3536335788803424</c:v>
                </c:pt>
                <c:pt idx="16">
                  <c:v>-1.3004837047067799</c:v>
                </c:pt>
                <c:pt idx="17">
                  <c:v>-1.2190864421359842</c:v>
                </c:pt>
                <c:pt idx="18">
                  <c:v>-1.0876723486297752</c:v>
                </c:pt>
                <c:pt idx="19">
                  <c:v>-1.0333865037504022</c:v>
                </c:pt>
                <c:pt idx="20">
                  <c:v>-1.028340235682778</c:v>
                </c:pt>
                <c:pt idx="21">
                  <c:v>-0.97021907389971074</c:v>
                </c:pt>
                <c:pt idx="22">
                  <c:v>-0.93242011380403866</c:v>
                </c:pt>
                <c:pt idx="23">
                  <c:v>-0.91180082660130302</c:v>
                </c:pt>
                <c:pt idx="24">
                  <c:v>-0.88140633002065338</c:v>
                </c:pt>
                <c:pt idx="25">
                  <c:v>-0.85519563251434427</c:v>
                </c:pt>
                <c:pt idx="26">
                  <c:v>-0.86536000320561213</c:v>
                </c:pt>
                <c:pt idx="27">
                  <c:v>-0.857314526773858</c:v>
                </c:pt>
                <c:pt idx="28">
                  <c:v>-0.85190847294488681</c:v>
                </c:pt>
                <c:pt idx="29">
                  <c:v>-0.85684327323073495</c:v>
                </c:pt>
                <c:pt idx="30">
                  <c:v>-0.88648924063736545</c:v>
                </c:pt>
                <c:pt idx="31">
                  <c:v>-0.82530808416228429</c:v>
                </c:pt>
                <c:pt idx="32">
                  <c:v>-0.89086667953399679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A2-B740-8A2D-16320CE9A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9089472"/>
        <c:axId val="2136253680"/>
      </c:scatterChart>
      <c:valAx>
        <c:axId val="1639089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2136253680"/>
        <c:crosses val="autoZero"/>
        <c:crossBetween val="midCat"/>
      </c:valAx>
      <c:valAx>
        <c:axId val="213625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639089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OD!$D$6:$D$37</c:f>
              <c:numCache>
                <c:formatCode>General</c:formatCode>
                <c:ptCount val="32"/>
                <c:pt idx="0">
                  <c:v>0.7135488888888889</c:v>
                </c:pt>
                <c:pt idx="1">
                  <c:v>0.95137944444444444</c:v>
                </c:pt>
                <c:pt idx="2">
                  <c:v>1.1891449999999999</c:v>
                </c:pt>
                <c:pt idx="3">
                  <c:v>1.4269777777777777</c:v>
                </c:pt>
                <c:pt idx="4">
                  <c:v>1.6648077777777779</c:v>
                </c:pt>
                <c:pt idx="5">
                  <c:v>1.9025777777777777</c:v>
                </c:pt>
                <c:pt idx="6">
                  <c:v>2.1403772222222224</c:v>
                </c:pt>
                <c:pt idx="7">
                  <c:v>2.3782172222222222</c:v>
                </c:pt>
                <c:pt idx="8">
                  <c:v>2.6159794444444442</c:v>
                </c:pt>
                <c:pt idx="9">
                  <c:v>2.8537316666666666</c:v>
                </c:pt>
                <c:pt idx="10">
                  <c:v>3.0915727777777779</c:v>
                </c:pt>
                <c:pt idx="11">
                  <c:v>3.3293372222222222</c:v>
                </c:pt>
                <c:pt idx="12">
                  <c:v>3.5670933333333332</c:v>
                </c:pt>
                <c:pt idx="13">
                  <c:v>3.8049416666666671</c:v>
                </c:pt>
                <c:pt idx="14">
                  <c:v>4.0427038888888891</c:v>
                </c:pt>
                <c:pt idx="15">
                  <c:v>4.2804622222222228</c:v>
                </c:pt>
                <c:pt idx="16">
                  <c:v>4.5183066666666667</c:v>
                </c:pt>
                <c:pt idx="17">
                  <c:v>4.7560597222222221</c:v>
                </c:pt>
                <c:pt idx="18">
                  <c:v>4.9938205555555557</c:v>
                </c:pt>
                <c:pt idx="19">
                  <c:v>5.2316730555555555</c:v>
                </c:pt>
                <c:pt idx="20">
                  <c:v>5.4694311111111116</c:v>
                </c:pt>
                <c:pt idx="21">
                  <c:v>5.7071944444444451</c:v>
                </c:pt>
                <c:pt idx="22">
                  <c:v>5.9450247222222226</c:v>
                </c:pt>
                <c:pt idx="23">
                  <c:v>6.1827869444444445</c:v>
                </c:pt>
                <c:pt idx="24">
                  <c:v>6.4205563888888895</c:v>
                </c:pt>
                <c:pt idx="25">
                  <c:v>6.658389722222223</c:v>
                </c:pt>
                <c:pt idx="26">
                  <c:v>6.8961552777777779</c:v>
                </c:pt>
                <c:pt idx="27">
                  <c:v>7.1339474999999997</c:v>
                </c:pt>
                <c:pt idx="28">
                  <c:v>7.3717841666666661</c:v>
                </c:pt>
                <c:pt idx="29">
                  <c:v>7.609548055555555</c:v>
                </c:pt>
                <c:pt idx="30">
                  <c:v>7.8473716666666666</c:v>
                </c:pt>
                <c:pt idx="31">
                  <c:v>8.085210833333333</c:v>
                </c:pt>
              </c:numCache>
            </c:numRef>
          </c:xVal>
          <c:yVal>
            <c:numRef>
              <c:f>OD!$AY$8:$AY$40</c:f>
              <c:numCache>
                <c:formatCode>General</c:formatCode>
                <c:ptCount val="33"/>
                <c:pt idx="0">
                  <c:v>1.0000000000000286E-4</c:v>
                </c:pt>
                <c:pt idx="1">
                  <c:v>2.7000000000000079E-3</c:v>
                </c:pt>
                <c:pt idx="2">
                  <c:v>7.6000000000000095E-3</c:v>
                </c:pt>
                <c:pt idx="3">
                  <c:v>1.4600000000000002E-2</c:v>
                </c:pt>
                <c:pt idx="4">
                  <c:v>1.7500000000000002E-2</c:v>
                </c:pt>
                <c:pt idx="5">
                  <c:v>1.9600000000000006E-2</c:v>
                </c:pt>
                <c:pt idx="6">
                  <c:v>3.1699999999999992E-2</c:v>
                </c:pt>
                <c:pt idx="7">
                  <c:v>4.2700000000000002E-2</c:v>
                </c:pt>
                <c:pt idx="8">
                  <c:v>5.0200000000000009E-2</c:v>
                </c:pt>
                <c:pt idx="9">
                  <c:v>7.6100000000000015E-2</c:v>
                </c:pt>
                <c:pt idx="10">
                  <c:v>0.10529999999999999</c:v>
                </c:pt>
                <c:pt idx="11">
                  <c:v>0.15590000000000004</c:v>
                </c:pt>
                <c:pt idx="12">
                  <c:v>0.193</c:v>
                </c:pt>
                <c:pt idx="13">
                  <c:v>0.2006</c:v>
                </c:pt>
                <c:pt idx="14">
                  <c:v>0.22410000000000002</c:v>
                </c:pt>
                <c:pt idx="15">
                  <c:v>0.25780000000000003</c:v>
                </c:pt>
                <c:pt idx="16">
                  <c:v>0.27729999999999999</c:v>
                </c:pt>
                <c:pt idx="17">
                  <c:v>0.30249999999999999</c:v>
                </c:pt>
                <c:pt idx="18">
                  <c:v>0.34</c:v>
                </c:pt>
                <c:pt idx="19">
                  <c:v>0.35630000000000001</c:v>
                </c:pt>
                <c:pt idx="20">
                  <c:v>0.36030000000000001</c:v>
                </c:pt>
                <c:pt idx="21">
                  <c:v>0.38</c:v>
                </c:pt>
                <c:pt idx="22">
                  <c:v>0.3906</c:v>
                </c:pt>
                <c:pt idx="23">
                  <c:v>0.40410000000000001</c:v>
                </c:pt>
                <c:pt idx="24">
                  <c:v>0.41259999999999997</c:v>
                </c:pt>
                <c:pt idx="25">
                  <c:v>0.42610000000000003</c:v>
                </c:pt>
                <c:pt idx="26">
                  <c:v>0.42500000000000004</c:v>
                </c:pt>
                <c:pt idx="27">
                  <c:v>0.4234</c:v>
                </c:pt>
                <c:pt idx="28">
                  <c:v>0.4304</c:v>
                </c:pt>
                <c:pt idx="29">
                  <c:v>0.43159999999999998</c:v>
                </c:pt>
                <c:pt idx="30">
                  <c:v>0.42220000000000002</c:v>
                </c:pt>
                <c:pt idx="31">
                  <c:v>0.42890000000000006</c:v>
                </c:pt>
                <c:pt idx="32">
                  <c:v>0.42090000000000005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AE-1247-A066-70E10880D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9621328"/>
        <c:axId val="760085520"/>
      </c:scatterChart>
      <c:valAx>
        <c:axId val="759621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760085520"/>
        <c:crosses val="autoZero"/>
        <c:crossBetween val="midCat"/>
      </c:valAx>
      <c:valAx>
        <c:axId val="76008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759621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>
        <c:manualLayout>
          <c:layoutTarget val="inner"/>
          <c:xMode val="edge"/>
          <c:yMode val="edge"/>
          <c:x val="0.11727125869248881"/>
          <c:y val="0.26364490094090665"/>
          <c:w val="0.8436434704731518"/>
          <c:h val="0.70236072198394017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OD!$D$6:$D$37</c:f>
              <c:numCache>
                <c:formatCode>General</c:formatCode>
                <c:ptCount val="32"/>
                <c:pt idx="0">
                  <c:v>0.7135488888888889</c:v>
                </c:pt>
                <c:pt idx="1">
                  <c:v>0.95137944444444444</c:v>
                </c:pt>
                <c:pt idx="2">
                  <c:v>1.1891449999999999</c:v>
                </c:pt>
                <c:pt idx="3">
                  <c:v>1.4269777777777777</c:v>
                </c:pt>
                <c:pt idx="4">
                  <c:v>1.6648077777777779</c:v>
                </c:pt>
                <c:pt idx="5">
                  <c:v>1.9025777777777777</c:v>
                </c:pt>
                <c:pt idx="6">
                  <c:v>2.1403772222222224</c:v>
                </c:pt>
                <c:pt idx="7">
                  <c:v>2.3782172222222222</c:v>
                </c:pt>
                <c:pt idx="8">
                  <c:v>2.6159794444444442</c:v>
                </c:pt>
                <c:pt idx="9">
                  <c:v>2.8537316666666666</c:v>
                </c:pt>
                <c:pt idx="10">
                  <c:v>3.0915727777777779</c:v>
                </c:pt>
                <c:pt idx="11">
                  <c:v>3.3293372222222222</c:v>
                </c:pt>
                <c:pt idx="12">
                  <c:v>3.5670933333333332</c:v>
                </c:pt>
                <c:pt idx="13">
                  <c:v>3.8049416666666671</c:v>
                </c:pt>
                <c:pt idx="14">
                  <c:v>4.0427038888888891</c:v>
                </c:pt>
                <c:pt idx="15">
                  <c:v>4.2804622222222228</c:v>
                </c:pt>
                <c:pt idx="16">
                  <c:v>4.5183066666666667</c:v>
                </c:pt>
                <c:pt idx="17">
                  <c:v>4.7560597222222221</c:v>
                </c:pt>
                <c:pt idx="18">
                  <c:v>4.9938205555555557</c:v>
                </c:pt>
                <c:pt idx="19">
                  <c:v>5.2316730555555555</c:v>
                </c:pt>
                <c:pt idx="20">
                  <c:v>5.4694311111111116</c:v>
                </c:pt>
                <c:pt idx="21">
                  <c:v>5.7071944444444451</c:v>
                </c:pt>
                <c:pt idx="22">
                  <c:v>5.9450247222222226</c:v>
                </c:pt>
                <c:pt idx="23">
                  <c:v>6.1827869444444445</c:v>
                </c:pt>
                <c:pt idx="24">
                  <c:v>6.4205563888888895</c:v>
                </c:pt>
                <c:pt idx="25">
                  <c:v>6.658389722222223</c:v>
                </c:pt>
                <c:pt idx="26">
                  <c:v>6.8961552777777779</c:v>
                </c:pt>
                <c:pt idx="27">
                  <c:v>7.1339474999999997</c:v>
                </c:pt>
                <c:pt idx="28">
                  <c:v>7.3717841666666661</c:v>
                </c:pt>
                <c:pt idx="29">
                  <c:v>7.609548055555555</c:v>
                </c:pt>
                <c:pt idx="30">
                  <c:v>7.8473716666666666</c:v>
                </c:pt>
                <c:pt idx="31">
                  <c:v>8.085210833333333</c:v>
                </c:pt>
              </c:numCache>
            </c:numRef>
          </c:xVal>
          <c:yVal>
            <c:numRef>
              <c:f>OD!$AZ$8:$AZ$40</c:f>
              <c:numCache>
                <c:formatCode>General</c:formatCode>
                <c:ptCount val="33"/>
                <c:pt idx="0">
                  <c:v>-9.2103403719761534</c:v>
                </c:pt>
                <c:pt idx="1">
                  <c:v>-5.9145035059718509</c:v>
                </c:pt>
                <c:pt idx="2">
                  <c:v>-4.8796070316898508</c:v>
                </c:pt>
                <c:pt idx="3">
                  <c:v>-4.2267337502678464</c:v>
                </c:pt>
                <c:pt idx="4">
                  <c:v>-4.0455543980526683</c:v>
                </c:pt>
                <c:pt idx="5">
                  <c:v>-3.932225712745665</c:v>
                </c:pt>
                <c:pt idx="6">
                  <c:v>-3.4514385980989024</c:v>
                </c:pt>
                <c:pt idx="7">
                  <c:v>-3.1535563587475584</c:v>
                </c:pt>
                <c:pt idx="8">
                  <c:v>-2.9917402522844534</c:v>
                </c:pt>
                <c:pt idx="9">
                  <c:v>-2.5757070141144967</c:v>
                </c:pt>
                <c:pt idx="10">
                  <c:v>-2.2509418598422073</c:v>
                </c:pt>
                <c:pt idx="11">
                  <c:v>-1.8585405029184059</c:v>
                </c:pt>
                <c:pt idx="12">
                  <c:v>-1.6450650900772514</c:v>
                </c:pt>
                <c:pt idx="13">
                  <c:v>-1.6064424034543019</c:v>
                </c:pt>
                <c:pt idx="14">
                  <c:v>-1.4956628981752556</c:v>
                </c:pt>
                <c:pt idx="15">
                  <c:v>-1.3555711884770498</c:v>
                </c:pt>
                <c:pt idx="16">
                  <c:v>-1.2826553263604048</c:v>
                </c:pt>
                <c:pt idx="17">
                  <c:v>-1.195674001511241</c:v>
                </c:pt>
                <c:pt idx="18">
                  <c:v>-1.0788096613719298</c:v>
                </c:pt>
                <c:pt idx="19">
                  <c:v>-1.0319822063703468</c:v>
                </c:pt>
                <c:pt idx="20">
                  <c:v>-1.0208182612280894</c:v>
                </c:pt>
                <c:pt idx="21">
                  <c:v>-0.96758402626170559</c:v>
                </c:pt>
                <c:pt idx="22">
                  <c:v>-0.94007126053955847</c:v>
                </c:pt>
                <c:pt idx="23">
                  <c:v>-0.90609290689770905</c:v>
                </c:pt>
                <c:pt idx="24">
                  <c:v>-0.88527667834498569</c:v>
                </c:pt>
                <c:pt idx="25">
                  <c:v>-0.85308121847627061</c:v>
                </c:pt>
                <c:pt idx="26">
                  <c:v>-0.85566611005772009</c:v>
                </c:pt>
                <c:pt idx="27">
                  <c:v>-0.85943792028137223</c:v>
                </c:pt>
                <c:pt idx="28">
                  <c:v>-0.8430402701345624</c:v>
                </c:pt>
                <c:pt idx="29">
                  <c:v>-0.84025604559815747</c:v>
                </c:pt>
                <c:pt idx="30">
                  <c:v>-0.86227614356791682</c:v>
                </c:pt>
                <c:pt idx="31">
                  <c:v>-0.84653148745930218</c:v>
                </c:pt>
                <c:pt idx="32">
                  <c:v>-0.86536000320561202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A4-914A-B09D-0E5D45240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1458416"/>
        <c:axId val="1231605280"/>
      </c:scatterChart>
      <c:valAx>
        <c:axId val="1231458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231605280"/>
        <c:crosses val="autoZero"/>
        <c:crossBetween val="midCat"/>
      </c:valAx>
      <c:valAx>
        <c:axId val="123160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231458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>
        <c:manualLayout>
          <c:layoutTarget val="inner"/>
          <c:xMode val="edge"/>
          <c:yMode val="edge"/>
          <c:x val="0.13116616787420049"/>
          <c:y val="0.15435064851386268"/>
          <c:w val="0.7911401562271474"/>
          <c:h val="0.60918019213793728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OD!$D$6:$D$38</c:f>
              <c:numCache>
                <c:formatCode>General</c:formatCode>
                <c:ptCount val="33"/>
                <c:pt idx="0">
                  <c:v>0.7135488888888889</c:v>
                </c:pt>
                <c:pt idx="1">
                  <c:v>0.95137944444444444</c:v>
                </c:pt>
                <c:pt idx="2">
                  <c:v>1.1891449999999999</c:v>
                </c:pt>
                <c:pt idx="3">
                  <c:v>1.4269777777777777</c:v>
                </c:pt>
                <c:pt idx="4">
                  <c:v>1.6648077777777779</c:v>
                </c:pt>
                <c:pt idx="5">
                  <c:v>1.9025777777777777</c:v>
                </c:pt>
                <c:pt idx="6">
                  <c:v>2.1403772222222224</c:v>
                </c:pt>
                <c:pt idx="7">
                  <c:v>2.3782172222222222</c:v>
                </c:pt>
                <c:pt idx="8">
                  <c:v>2.6159794444444442</c:v>
                </c:pt>
                <c:pt idx="9">
                  <c:v>2.8537316666666666</c:v>
                </c:pt>
                <c:pt idx="10">
                  <c:v>3.0915727777777779</c:v>
                </c:pt>
                <c:pt idx="11">
                  <c:v>3.3293372222222222</c:v>
                </c:pt>
                <c:pt idx="12">
                  <c:v>3.5670933333333332</c:v>
                </c:pt>
                <c:pt idx="13">
                  <c:v>3.8049416666666671</c:v>
                </c:pt>
                <c:pt idx="14">
                  <c:v>4.0427038888888891</c:v>
                </c:pt>
                <c:pt idx="15">
                  <c:v>4.2804622222222228</c:v>
                </c:pt>
                <c:pt idx="16">
                  <c:v>4.5183066666666667</c:v>
                </c:pt>
                <c:pt idx="17">
                  <c:v>4.7560597222222221</c:v>
                </c:pt>
                <c:pt idx="18">
                  <c:v>4.9938205555555557</c:v>
                </c:pt>
                <c:pt idx="19">
                  <c:v>5.2316730555555555</c:v>
                </c:pt>
                <c:pt idx="20">
                  <c:v>5.4694311111111116</c:v>
                </c:pt>
                <c:pt idx="21">
                  <c:v>5.7071944444444451</c:v>
                </c:pt>
                <c:pt idx="22">
                  <c:v>5.9450247222222226</c:v>
                </c:pt>
                <c:pt idx="23">
                  <c:v>6.1827869444444445</c:v>
                </c:pt>
                <c:pt idx="24">
                  <c:v>6.4205563888888895</c:v>
                </c:pt>
                <c:pt idx="25">
                  <c:v>6.658389722222223</c:v>
                </c:pt>
                <c:pt idx="26">
                  <c:v>6.8961552777777779</c:v>
                </c:pt>
                <c:pt idx="27">
                  <c:v>7.1339474999999997</c:v>
                </c:pt>
                <c:pt idx="28">
                  <c:v>7.3717841666666661</c:v>
                </c:pt>
                <c:pt idx="29">
                  <c:v>7.609548055555555</c:v>
                </c:pt>
                <c:pt idx="30">
                  <c:v>7.8473716666666666</c:v>
                </c:pt>
                <c:pt idx="31">
                  <c:v>8.085210833333333</c:v>
                </c:pt>
              </c:numCache>
            </c:numRef>
          </c:xVal>
          <c:yVal>
            <c:numRef>
              <c:f>OD!$BB$8:$BB$42</c:f>
              <c:numCache>
                <c:formatCode>General</c:formatCode>
                <c:ptCount val="35"/>
                <c:pt idx="0">
                  <c:v>8.0000000000000904E-4</c:v>
                </c:pt>
                <c:pt idx="1">
                  <c:v>2.1000000000000046E-3</c:v>
                </c:pt>
                <c:pt idx="2">
                  <c:v>6.4000000000000029E-3</c:v>
                </c:pt>
                <c:pt idx="3">
                  <c:v>1.2200000000000003E-2</c:v>
                </c:pt>
                <c:pt idx="4">
                  <c:v>1.4300000000000007E-2</c:v>
                </c:pt>
                <c:pt idx="5">
                  <c:v>1.6899999999999998E-2</c:v>
                </c:pt>
                <c:pt idx="6">
                  <c:v>2.7499999999999997E-2</c:v>
                </c:pt>
                <c:pt idx="7">
                  <c:v>3.9300000000000002E-2</c:v>
                </c:pt>
                <c:pt idx="8">
                  <c:v>4.5300000000000007E-2</c:v>
                </c:pt>
                <c:pt idx="9">
                  <c:v>7.2300000000000003E-2</c:v>
                </c:pt>
                <c:pt idx="10">
                  <c:v>9.9500000000000005E-2</c:v>
                </c:pt>
                <c:pt idx="11">
                  <c:v>0.1537</c:v>
                </c:pt>
                <c:pt idx="12">
                  <c:v>0.19409999999999999</c:v>
                </c:pt>
                <c:pt idx="13">
                  <c:v>0.20119999999999999</c:v>
                </c:pt>
                <c:pt idx="14">
                  <c:v>0.21660000000000001</c:v>
                </c:pt>
                <c:pt idx="15">
                  <c:v>0.24640000000000001</c:v>
                </c:pt>
                <c:pt idx="16">
                  <c:v>0.26819999999999999</c:v>
                </c:pt>
                <c:pt idx="17">
                  <c:v>0.28189999999999998</c:v>
                </c:pt>
                <c:pt idx="18">
                  <c:v>0.31790000000000002</c:v>
                </c:pt>
                <c:pt idx="19">
                  <c:v>0.33800000000000002</c:v>
                </c:pt>
                <c:pt idx="20">
                  <c:v>0.34139999999999998</c:v>
                </c:pt>
                <c:pt idx="21">
                  <c:v>0.36059999999999998</c:v>
                </c:pt>
                <c:pt idx="22">
                  <c:v>0.37269999999999998</c:v>
                </c:pt>
                <c:pt idx="23">
                  <c:v>0.38679999999999998</c:v>
                </c:pt>
                <c:pt idx="24">
                  <c:v>0.3987</c:v>
                </c:pt>
                <c:pt idx="25">
                  <c:v>0.40479999999999999</c:v>
                </c:pt>
                <c:pt idx="26">
                  <c:v>0.40660000000000002</c:v>
                </c:pt>
                <c:pt idx="27">
                  <c:v>0.40419999999999995</c:v>
                </c:pt>
                <c:pt idx="28">
                  <c:v>0.40599999999999997</c:v>
                </c:pt>
                <c:pt idx="29">
                  <c:v>0.40679999999999999</c:v>
                </c:pt>
                <c:pt idx="30">
                  <c:v>0.40530000000000005</c:v>
                </c:pt>
                <c:pt idx="31">
                  <c:v>0.40340000000000004</c:v>
                </c:pt>
                <c:pt idx="32">
                  <c:v>0.39740000000000003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D1-4340-83A7-615463F30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8850288"/>
        <c:axId val="2099979856"/>
      </c:scatterChart>
      <c:valAx>
        <c:axId val="1878850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2099979856"/>
        <c:crosses val="autoZero"/>
        <c:crossBetween val="midCat"/>
      </c:valAx>
      <c:valAx>
        <c:axId val="209997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878850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OD!$BC$8:$BC$40</c:f>
              <c:numCache>
                <c:formatCode>General</c:formatCode>
                <c:ptCount val="33"/>
                <c:pt idx="0">
                  <c:v>-7.1308988302963359</c:v>
                </c:pt>
                <c:pt idx="1">
                  <c:v>-6.1658179342527575</c:v>
                </c:pt>
                <c:pt idx="2">
                  <c:v>-5.0514572886165103</c:v>
                </c:pt>
                <c:pt idx="3">
                  <c:v>-4.406319327242926</c:v>
                </c:pt>
                <c:pt idx="4">
                  <c:v>-4.2474957417162749</c:v>
                </c:pt>
                <c:pt idx="5">
                  <c:v>-4.0804416570531092</c:v>
                </c:pt>
                <c:pt idx="6">
                  <c:v>-3.5935692743096115</c:v>
                </c:pt>
                <c:pt idx="7">
                  <c:v>-3.2365307601069215</c:v>
                </c:pt>
                <c:pt idx="8">
                  <c:v>-3.0944482464931484</c:v>
                </c:pt>
                <c:pt idx="9">
                  <c:v>-2.6269311498174179</c:v>
                </c:pt>
                <c:pt idx="10">
                  <c:v>-2.3075976348175899</c:v>
                </c:pt>
                <c:pt idx="11">
                  <c:v>-1.8727526284375868</c:v>
                </c:pt>
                <c:pt idx="12">
                  <c:v>-1.6393817888071724</c:v>
                </c:pt>
                <c:pt idx="13">
                  <c:v>-1.6034558407565529</c:v>
                </c:pt>
                <c:pt idx="14">
                  <c:v>-1.5297029444152468</c:v>
                </c:pt>
                <c:pt idx="15">
                  <c:v>-1.4007990473227723</c:v>
                </c:pt>
                <c:pt idx="16">
                  <c:v>-1.316022308134559</c:v>
                </c:pt>
                <c:pt idx="17">
                  <c:v>-1.2662028808620702</c:v>
                </c:pt>
                <c:pt idx="18">
                  <c:v>-1.1460184110653799</c:v>
                </c:pt>
                <c:pt idx="19">
                  <c:v>-1.0847093834991182</c:v>
                </c:pt>
                <c:pt idx="20">
                  <c:v>-1.0747004686217969</c:v>
                </c:pt>
                <c:pt idx="21">
                  <c:v>-1.0199859682129202</c:v>
                </c:pt>
                <c:pt idx="22">
                  <c:v>-0.98698147249692436</c:v>
                </c:pt>
                <c:pt idx="23">
                  <c:v>-0.94984751540299783</c:v>
                </c:pt>
                <c:pt idx="24">
                  <c:v>-0.9195460245948277</c:v>
                </c:pt>
                <c:pt idx="25">
                  <c:v>-0.90436216100888123</c:v>
                </c:pt>
                <c:pt idx="26">
                  <c:v>-0.89992537778789072</c:v>
                </c:pt>
                <c:pt idx="27">
                  <c:v>-0.9058454740126165</c:v>
                </c:pt>
                <c:pt idx="28">
                  <c:v>-0.90140211938040449</c:v>
                </c:pt>
                <c:pt idx="29">
                  <c:v>-0.89943361480773221</c:v>
                </c:pt>
                <c:pt idx="30">
                  <c:v>-0.9031277453478741</c:v>
                </c:pt>
                <c:pt idx="31">
                  <c:v>-0.90782665346202551</c:v>
                </c:pt>
                <c:pt idx="32">
                  <c:v>-0.92281194886442053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B8-ED4B-9965-9E4ECD5636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487967"/>
        <c:axId val="1231908384"/>
      </c:scatterChart>
      <c:valAx>
        <c:axId val="527487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231908384"/>
        <c:crosses val="autoZero"/>
        <c:crossBetween val="midCat"/>
      </c:valAx>
      <c:valAx>
        <c:axId val="123190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527487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OD!$D$6:$D$38</c:f>
              <c:numCache>
                <c:formatCode>General</c:formatCode>
                <c:ptCount val="33"/>
                <c:pt idx="0">
                  <c:v>0.7135488888888889</c:v>
                </c:pt>
                <c:pt idx="1">
                  <c:v>0.95137944444444444</c:v>
                </c:pt>
                <c:pt idx="2">
                  <c:v>1.1891449999999999</c:v>
                </c:pt>
                <c:pt idx="3">
                  <c:v>1.4269777777777777</c:v>
                </c:pt>
                <c:pt idx="4">
                  <c:v>1.6648077777777779</c:v>
                </c:pt>
                <c:pt idx="5">
                  <c:v>1.9025777777777777</c:v>
                </c:pt>
                <c:pt idx="6">
                  <c:v>2.1403772222222224</c:v>
                </c:pt>
                <c:pt idx="7">
                  <c:v>2.3782172222222222</c:v>
                </c:pt>
                <c:pt idx="8">
                  <c:v>2.6159794444444442</c:v>
                </c:pt>
                <c:pt idx="9">
                  <c:v>2.8537316666666666</c:v>
                </c:pt>
                <c:pt idx="10">
                  <c:v>3.0915727777777779</c:v>
                </c:pt>
                <c:pt idx="11">
                  <c:v>3.3293372222222222</c:v>
                </c:pt>
                <c:pt idx="12">
                  <c:v>3.5670933333333332</c:v>
                </c:pt>
                <c:pt idx="13">
                  <c:v>3.8049416666666671</c:v>
                </c:pt>
                <c:pt idx="14">
                  <c:v>4.0427038888888891</c:v>
                </c:pt>
                <c:pt idx="15">
                  <c:v>4.2804622222222228</c:v>
                </c:pt>
                <c:pt idx="16">
                  <c:v>4.5183066666666667</c:v>
                </c:pt>
                <c:pt idx="17">
                  <c:v>4.7560597222222221</c:v>
                </c:pt>
                <c:pt idx="18">
                  <c:v>4.9938205555555557</c:v>
                </c:pt>
                <c:pt idx="19">
                  <c:v>5.2316730555555555</c:v>
                </c:pt>
                <c:pt idx="20">
                  <c:v>5.4694311111111116</c:v>
                </c:pt>
                <c:pt idx="21">
                  <c:v>5.7071944444444451</c:v>
                </c:pt>
                <c:pt idx="22">
                  <c:v>5.9450247222222226</c:v>
                </c:pt>
                <c:pt idx="23">
                  <c:v>6.1827869444444445</c:v>
                </c:pt>
                <c:pt idx="24">
                  <c:v>6.4205563888888895</c:v>
                </c:pt>
                <c:pt idx="25">
                  <c:v>6.658389722222223</c:v>
                </c:pt>
                <c:pt idx="26">
                  <c:v>6.8961552777777779</c:v>
                </c:pt>
                <c:pt idx="27">
                  <c:v>7.1339474999999997</c:v>
                </c:pt>
                <c:pt idx="28">
                  <c:v>7.3717841666666661</c:v>
                </c:pt>
                <c:pt idx="29">
                  <c:v>7.609548055555555</c:v>
                </c:pt>
                <c:pt idx="30">
                  <c:v>7.8473716666666666</c:v>
                </c:pt>
                <c:pt idx="31">
                  <c:v>8.085210833333333</c:v>
                </c:pt>
              </c:numCache>
            </c:numRef>
          </c:xVal>
          <c:yVal>
            <c:numRef>
              <c:f>OD!$BE$8:$BE$40</c:f>
              <c:numCache>
                <c:formatCode>General</c:formatCode>
                <c:ptCount val="33"/>
                <c:pt idx="0">
                  <c:v>6.0000000000000331E-4</c:v>
                </c:pt>
                <c:pt idx="1">
                  <c:v>4.2000000000000093E-3</c:v>
                </c:pt>
                <c:pt idx="2">
                  <c:v>1.0700000000000001E-2</c:v>
                </c:pt>
                <c:pt idx="3">
                  <c:v>1.960000000000002E-2</c:v>
                </c:pt>
                <c:pt idx="4">
                  <c:v>2.5099999999999997E-2</c:v>
                </c:pt>
                <c:pt idx="5">
                  <c:v>2.8899999999999995E-2</c:v>
                </c:pt>
                <c:pt idx="6">
                  <c:v>4.4100000000000014E-2</c:v>
                </c:pt>
                <c:pt idx="7">
                  <c:v>6.0100000000000001E-2</c:v>
                </c:pt>
                <c:pt idx="8">
                  <c:v>7.2800000000000017E-2</c:v>
                </c:pt>
                <c:pt idx="9">
                  <c:v>0.1065</c:v>
                </c:pt>
                <c:pt idx="10">
                  <c:v>0.14410000000000001</c:v>
                </c:pt>
                <c:pt idx="11">
                  <c:v>0.1991</c:v>
                </c:pt>
                <c:pt idx="12">
                  <c:v>0.21289999999999998</c:v>
                </c:pt>
                <c:pt idx="13">
                  <c:v>0.22589999999999999</c:v>
                </c:pt>
                <c:pt idx="14">
                  <c:v>0.25219999999999998</c:v>
                </c:pt>
                <c:pt idx="15">
                  <c:v>0.28649999999999998</c:v>
                </c:pt>
                <c:pt idx="16">
                  <c:v>0.30659999999999998</c:v>
                </c:pt>
                <c:pt idx="17">
                  <c:v>0.32240000000000002</c:v>
                </c:pt>
                <c:pt idx="18">
                  <c:v>0.35289999999999999</c:v>
                </c:pt>
                <c:pt idx="19">
                  <c:v>0.3639</c:v>
                </c:pt>
                <c:pt idx="20">
                  <c:v>0.38159999999999999</c:v>
                </c:pt>
                <c:pt idx="21">
                  <c:v>0.38079999999999997</c:v>
                </c:pt>
                <c:pt idx="22">
                  <c:v>0.40919999999999995</c:v>
                </c:pt>
                <c:pt idx="23">
                  <c:v>0.41399999999999998</c:v>
                </c:pt>
                <c:pt idx="24">
                  <c:v>0.40840000000000004</c:v>
                </c:pt>
                <c:pt idx="25">
                  <c:v>0.43260000000000004</c:v>
                </c:pt>
                <c:pt idx="26">
                  <c:v>0.42670000000000002</c:v>
                </c:pt>
                <c:pt idx="27">
                  <c:v>0.40479999999999999</c:v>
                </c:pt>
                <c:pt idx="28">
                  <c:v>0.40809999999999996</c:v>
                </c:pt>
                <c:pt idx="29">
                  <c:v>0.40499999999999997</c:v>
                </c:pt>
                <c:pt idx="30">
                  <c:v>0.40670000000000001</c:v>
                </c:pt>
                <c:pt idx="31">
                  <c:v>0.3977</c:v>
                </c:pt>
                <c:pt idx="32">
                  <c:v>0.40119999999999995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63-644B-B214-0974327169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3799328"/>
        <c:axId val="746328992"/>
      </c:scatterChart>
      <c:valAx>
        <c:axId val="2093799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746328992"/>
        <c:crosses val="autoZero"/>
        <c:crossBetween val="midCat"/>
      </c:valAx>
      <c:valAx>
        <c:axId val="74632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2093799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2.3608765417180689E-3"/>
                  <c:y val="-0.165233776584080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001"/>
                </a:p>
              </c:txPr>
            </c:trendlineLbl>
          </c:trendline>
          <c:xVal>
            <c:numRef>
              <c:f>OD!$AM$18:$AM$29</c:f>
              <c:numCache>
                <c:formatCode>General</c:formatCode>
                <c:ptCount val="12"/>
                <c:pt idx="0">
                  <c:v>2.8537316666666666</c:v>
                </c:pt>
                <c:pt idx="1">
                  <c:v>3.0915727777777779</c:v>
                </c:pt>
                <c:pt idx="2">
                  <c:v>3.3293372222222222</c:v>
                </c:pt>
                <c:pt idx="3">
                  <c:v>3.5670933333333332</c:v>
                </c:pt>
                <c:pt idx="4">
                  <c:v>3.8049416666666671</c:v>
                </c:pt>
                <c:pt idx="5">
                  <c:v>4.0427038888888891</c:v>
                </c:pt>
                <c:pt idx="6">
                  <c:v>4.2804622222222228</c:v>
                </c:pt>
                <c:pt idx="7">
                  <c:v>4.5183066666666667</c:v>
                </c:pt>
                <c:pt idx="8">
                  <c:v>4.7560597222222221</c:v>
                </c:pt>
                <c:pt idx="9">
                  <c:v>4.9938205555555557</c:v>
                </c:pt>
                <c:pt idx="10">
                  <c:v>5.2316730555555555</c:v>
                </c:pt>
                <c:pt idx="11">
                  <c:v>5.4694311111111116</c:v>
                </c:pt>
              </c:numCache>
            </c:numRef>
          </c:xVal>
          <c:yVal>
            <c:numRef>
              <c:f>OD!$AP$18:$AP$28</c:f>
              <c:numCache>
                <c:formatCode>General</c:formatCode>
                <c:ptCount val="11"/>
                <c:pt idx="0">
                  <c:v>0.11570000000000001</c:v>
                </c:pt>
                <c:pt idx="1">
                  <c:v>0.17969999999999997</c:v>
                </c:pt>
                <c:pt idx="2">
                  <c:v>0.20379999999999998</c:v>
                </c:pt>
                <c:pt idx="3">
                  <c:v>0.22009999999999996</c:v>
                </c:pt>
                <c:pt idx="4">
                  <c:v>0.26119999999999999</c:v>
                </c:pt>
                <c:pt idx="5">
                  <c:v>0.30690000000000001</c:v>
                </c:pt>
                <c:pt idx="6">
                  <c:v>0.32289999999999996</c:v>
                </c:pt>
                <c:pt idx="7">
                  <c:v>0.3367</c:v>
                </c:pt>
                <c:pt idx="8">
                  <c:v>0.3735</c:v>
                </c:pt>
                <c:pt idx="9">
                  <c:v>0.39329999999999998</c:v>
                </c:pt>
                <c:pt idx="10">
                  <c:v>0.39329999999999998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BE-E647-B75D-7A913E18A0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0869968"/>
        <c:axId val="1670661936"/>
      </c:scatterChart>
      <c:valAx>
        <c:axId val="1670869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670661936"/>
        <c:crosses val="autoZero"/>
        <c:crossBetween val="midCat"/>
      </c:valAx>
      <c:valAx>
        <c:axId val="167066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670869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001"/>
                </a:p>
              </c:txPr>
            </c:trendlineLbl>
          </c:trendline>
          <c:xVal>
            <c:numRef>
              <c:f>OD!$AM$19:$AM$24</c:f>
              <c:numCache>
                <c:formatCode>General</c:formatCode>
                <c:ptCount val="6"/>
                <c:pt idx="0">
                  <c:v>3.0915727777777779</c:v>
                </c:pt>
                <c:pt idx="1">
                  <c:v>3.3293372222222222</c:v>
                </c:pt>
                <c:pt idx="2">
                  <c:v>3.5670933333333332</c:v>
                </c:pt>
                <c:pt idx="3">
                  <c:v>3.8049416666666671</c:v>
                </c:pt>
                <c:pt idx="4">
                  <c:v>4.0427038888888891</c:v>
                </c:pt>
                <c:pt idx="5">
                  <c:v>4.2804622222222228</c:v>
                </c:pt>
              </c:numCache>
            </c:numRef>
          </c:xVal>
          <c:yVal>
            <c:numRef>
              <c:f>OD!$AR$19:$AR$23</c:f>
              <c:numCache>
                <c:formatCode>General</c:formatCode>
                <c:ptCount val="5"/>
                <c:pt idx="0">
                  <c:v>0.25419999999999998</c:v>
                </c:pt>
                <c:pt idx="1">
                  <c:v>0.29820000000000002</c:v>
                </c:pt>
                <c:pt idx="2">
                  <c:v>0.29580000000000001</c:v>
                </c:pt>
                <c:pt idx="3">
                  <c:v>0.33729999999999999</c:v>
                </c:pt>
                <c:pt idx="4">
                  <c:v>0.38009999999999999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DD-5A49-B09E-8E8222069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8604496"/>
        <c:axId val="796526928"/>
      </c:scatterChart>
      <c:valAx>
        <c:axId val="1638604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796526928"/>
        <c:crosses val="autoZero"/>
        <c:crossBetween val="midCat"/>
      </c:valAx>
      <c:valAx>
        <c:axId val="79652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6386044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001"/>
                </a:p>
              </c:txPr>
            </c:trendlineLbl>
          </c:trendline>
          <c:xVal>
            <c:numRef>
              <c:f>OD!$AM$17:$AM$19</c:f>
              <c:numCache>
                <c:formatCode>General</c:formatCode>
                <c:ptCount val="3"/>
                <c:pt idx="0">
                  <c:v>2.6159794444444442</c:v>
                </c:pt>
                <c:pt idx="1">
                  <c:v>2.8537316666666666</c:v>
                </c:pt>
                <c:pt idx="2">
                  <c:v>3.0915727777777779</c:v>
                </c:pt>
              </c:numCache>
            </c:numRef>
          </c:xVal>
          <c:yVal>
            <c:numRef>
              <c:f>OD!$AV$18:$AV$20</c:f>
              <c:numCache>
                <c:formatCode>General</c:formatCode>
                <c:ptCount val="3"/>
                <c:pt idx="0">
                  <c:v>0.1038</c:v>
                </c:pt>
                <c:pt idx="1">
                  <c:v>0.15299999999999997</c:v>
                </c:pt>
                <c:pt idx="2">
                  <c:v>0.19329999999999997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EC-4143-9D15-C3A628411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925312"/>
        <c:axId val="724909312"/>
      </c:scatterChart>
      <c:valAx>
        <c:axId val="724925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724909312"/>
        <c:crosses val="autoZero"/>
        <c:crossBetween val="midCat"/>
      </c:valAx>
      <c:valAx>
        <c:axId val="72490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724925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001"/>
                </a:p>
              </c:txPr>
            </c:trendlineLbl>
          </c:trendline>
          <c:xVal>
            <c:numRef>
              <c:f>OD!$AM$21:$AM$25</c:f>
              <c:numCache>
                <c:formatCode>General</c:formatCode>
                <c:ptCount val="5"/>
                <c:pt idx="0">
                  <c:v>3.5670933333333332</c:v>
                </c:pt>
                <c:pt idx="1">
                  <c:v>3.8049416666666671</c:v>
                </c:pt>
                <c:pt idx="2">
                  <c:v>4.0427038888888891</c:v>
                </c:pt>
                <c:pt idx="3">
                  <c:v>4.2804622222222228</c:v>
                </c:pt>
                <c:pt idx="4">
                  <c:v>4.5183066666666667</c:v>
                </c:pt>
              </c:numCache>
            </c:numRef>
          </c:xVal>
          <c:yVal>
            <c:numRef>
              <c:f>OD!$AN$21:$AN$25</c:f>
              <c:numCache>
                <c:formatCode>General</c:formatCode>
                <c:ptCount val="5"/>
                <c:pt idx="0">
                  <c:v>-1.5136732904497212</c:v>
                </c:pt>
                <c:pt idx="1">
                  <c:v>-1.3424688815798611</c:v>
                </c:pt>
                <c:pt idx="2">
                  <c:v>-1.1812333173564464</c:v>
                </c:pt>
                <c:pt idx="3">
                  <c:v>-1.1304126012179077</c:v>
                </c:pt>
                <c:pt idx="4">
                  <c:v>-1.0885629528151082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BC-0E42-911A-340CAF3AA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3251520"/>
        <c:axId val="2093296688"/>
      </c:scatterChart>
      <c:valAx>
        <c:axId val="209325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2093296688"/>
        <c:crosses val="autoZero"/>
        <c:crossBetween val="midCat"/>
      </c:valAx>
      <c:valAx>
        <c:axId val="209329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2093251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001"/>
                </a:p>
              </c:txPr>
            </c:trendlineLbl>
          </c:trendline>
          <c:xVal>
            <c:numRef>
              <c:f>OD!$AM$19:$AM$23</c:f>
              <c:numCache>
                <c:formatCode>General</c:formatCode>
                <c:ptCount val="5"/>
                <c:pt idx="0">
                  <c:v>3.0915727777777779</c:v>
                </c:pt>
                <c:pt idx="1">
                  <c:v>3.3293372222222222</c:v>
                </c:pt>
                <c:pt idx="2">
                  <c:v>3.5670933333333332</c:v>
                </c:pt>
                <c:pt idx="3">
                  <c:v>3.8049416666666671</c:v>
                </c:pt>
                <c:pt idx="4">
                  <c:v>4.0427038888888891</c:v>
                </c:pt>
              </c:numCache>
            </c:numRef>
          </c:xVal>
          <c:yVal>
            <c:numRef>
              <c:f>OD!$AT$19:$AT$23</c:f>
              <c:numCache>
                <c:formatCode>General</c:formatCode>
                <c:ptCount val="5"/>
                <c:pt idx="0">
                  <c:v>-1.9064971466984784</c:v>
                </c:pt>
                <c:pt idx="1">
                  <c:v>-1.6471397796181118</c:v>
                </c:pt>
                <c:pt idx="2">
                  <c:v>-1.659679128870847</c:v>
                </c:pt>
                <c:pt idx="3">
                  <c:v>-1.4623118475438066</c:v>
                </c:pt>
                <c:pt idx="4">
                  <c:v>-1.292804018032552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B1-6842-9C78-79042976B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3994016"/>
        <c:axId val="2093995728"/>
      </c:scatterChart>
      <c:valAx>
        <c:axId val="2093994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2093995728"/>
        <c:crosses val="autoZero"/>
        <c:crossBetween val="midCat"/>
      </c:valAx>
      <c:valAx>
        <c:axId val="209399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2093994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001"/>
                </a:p>
              </c:txPr>
            </c:trendlineLbl>
          </c:trendline>
          <c:xVal>
            <c:numRef>
              <c:f>OD!$AM$17:$AM$21</c:f>
              <c:numCache>
                <c:formatCode>General</c:formatCode>
                <c:ptCount val="5"/>
                <c:pt idx="0">
                  <c:v>2.6159794444444442</c:v>
                </c:pt>
                <c:pt idx="1">
                  <c:v>2.8537316666666666</c:v>
                </c:pt>
                <c:pt idx="2">
                  <c:v>3.0915727777777779</c:v>
                </c:pt>
                <c:pt idx="3">
                  <c:v>3.3293372222222222</c:v>
                </c:pt>
                <c:pt idx="4">
                  <c:v>3.5670933333333332</c:v>
                </c:pt>
              </c:numCache>
            </c:numRef>
          </c:xVal>
          <c:yVal>
            <c:numRef>
              <c:f>OD!$AW$17:$AW$21</c:f>
              <c:numCache>
                <c:formatCode>General</c:formatCode>
                <c:ptCount val="5"/>
                <c:pt idx="0">
                  <c:v>-2.6214138944426635</c:v>
                </c:pt>
                <c:pt idx="1">
                  <c:v>-2.2652893082503489</c:v>
                </c:pt>
                <c:pt idx="2">
                  <c:v>-1.8773173575897018</c:v>
                </c:pt>
                <c:pt idx="3">
                  <c:v>-1.643511892767852</c:v>
                </c:pt>
                <c:pt idx="4">
                  <c:v>-1.66442222076686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BB-9045-8DD6-1CC433582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3088656"/>
        <c:axId val="1833090368"/>
      </c:scatterChart>
      <c:valAx>
        <c:axId val="1833088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833090368"/>
        <c:crosses val="autoZero"/>
        <c:crossBetween val="midCat"/>
      </c:valAx>
      <c:valAx>
        <c:axId val="1833090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833088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001"/>
                </a:p>
              </c:txPr>
            </c:trendlineLbl>
          </c:trendline>
          <c:xVal>
            <c:numRef>
              <c:f>OD!$AM$17:$AM$21</c:f>
              <c:numCache>
                <c:formatCode>General</c:formatCode>
                <c:ptCount val="5"/>
                <c:pt idx="0">
                  <c:v>2.6159794444444442</c:v>
                </c:pt>
                <c:pt idx="1">
                  <c:v>2.8537316666666666</c:v>
                </c:pt>
                <c:pt idx="2">
                  <c:v>3.0915727777777779</c:v>
                </c:pt>
                <c:pt idx="3">
                  <c:v>3.3293372222222222</c:v>
                </c:pt>
                <c:pt idx="4">
                  <c:v>3.5670933333333332</c:v>
                </c:pt>
              </c:numCache>
            </c:numRef>
          </c:xVal>
          <c:yVal>
            <c:numRef>
              <c:f>OD!$BC$17:$BC$21</c:f>
              <c:numCache>
                <c:formatCode>General</c:formatCode>
                <c:ptCount val="5"/>
                <c:pt idx="0">
                  <c:v>-2.6269311498174179</c:v>
                </c:pt>
                <c:pt idx="1">
                  <c:v>-2.3075976348175899</c:v>
                </c:pt>
                <c:pt idx="2">
                  <c:v>-1.8727526284375868</c:v>
                </c:pt>
                <c:pt idx="3">
                  <c:v>-1.6393817888071724</c:v>
                </c:pt>
                <c:pt idx="4">
                  <c:v>-1.6034558407565529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A8-FA43-91C1-7AE4A69DD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3843472"/>
        <c:axId val="2093112656"/>
      </c:scatterChart>
      <c:valAx>
        <c:axId val="209384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2093112656"/>
        <c:crosses val="autoZero"/>
        <c:crossBetween val="midCat"/>
      </c:valAx>
      <c:valAx>
        <c:axId val="209311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2093843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Sheet6!$A$7:$A$39</c:f>
              <c:numCache>
                <c:formatCode>General</c:formatCode>
                <c:ptCount val="33"/>
                <c:pt idx="0">
                  <c:v>0.4757197222222222</c:v>
                </c:pt>
                <c:pt idx="1">
                  <c:v>0.7135488888888889</c:v>
                </c:pt>
                <c:pt idx="2">
                  <c:v>0.95137944444444444</c:v>
                </c:pt>
                <c:pt idx="3">
                  <c:v>1.1891449999999999</c:v>
                </c:pt>
                <c:pt idx="4">
                  <c:v>1.4269777777777777</c:v>
                </c:pt>
                <c:pt idx="5">
                  <c:v>1.6648077777777779</c:v>
                </c:pt>
                <c:pt idx="6">
                  <c:v>1.9025777777777777</c:v>
                </c:pt>
                <c:pt idx="7">
                  <c:v>2.1403772222222224</c:v>
                </c:pt>
                <c:pt idx="8">
                  <c:v>2.3782172222222222</c:v>
                </c:pt>
                <c:pt idx="9">
                  <c:v>2.6159794444444442</c:v>
                </c:pt>
                <c:pt idx="10">
                  <c:v>2.8537316666666666</c:v>
                </c:pt>
                <c:pt idx="11">
                  <c:v>3.0915727777777779</c:v>
                </c:pt>
                <c:pt idx="12">
                  <c:v>3.3293372222222222</c:v>
                </c:pt>
                <c:pt idx="13">
                  <c:v>3.5670933333333332</c:v>
                </c:pt>
                <c:pt idx="14">
                  <c:v>3.8049416666666671</c:v>
                </c:pt>
                <c:pt idx="15">
                  <c:v>4.0427038888888891</c:v>
                </c:pt>
                <c:pt idx="16">
                  <c:v>4.2804622222222228</c:v>
                </c:pt>
                <c:pt idx="17">
                  <c:v>4.5183066666666667</c:v>
                </c:pt>
                <c:pt idx="18">
                  <c:v>4.7560597222222221</c:v>
                </c:pt>
                <c:pt idx="19">
                  <c:v>4.9938205555555601</c:v>
                </c:pt>
                <c:pt idx="20">
                  <c:v>5.2316730555555555</c:v>
                </c:pt>
                <c:pt idx="21">
                  <c:v>5.4694311111111116</c:v>
                </c:pt>
                <c:pt idx="22">
                  <c:v>5.7071944444444451</c:v>
                </c:pt>
                <c:pt idx="23">
                  <c:v>5.9450247222222226</c:v>
                </c:pt>
                <c:pt idx="24">
                  <c:v>6.1827869444444445</c:v>
                </c:pt>
                <c:pt idx="25">
                  <c:v>6.4205563888888895</c:v>
                </c:pt>
                <c:pt idx="26">
                  <c:v>6.658389722222223</c:v>
                </c:pt>
                <c:pt idx="27">
                  <c:v>6.8961552777777779</c:v>
                </c:pt>
                <c:pt idx="28">
                  <c:v>7.1339474999999997</c:v>
                </c:pt>
                <c:pt idx="29">
                  <c:v>7.3717841666666661</c:v>
                </c:pt>
                <c:pt idx="30">
                  <c:v>7.609548055555555</c:v>
                </c:pt>
                <c:pt idx="31">
                  <c:v>7.8473716666666666</c:v>
                </c:pt>
                <c:pt idx="32">
                  <c:v>8.085210833333333</c:v>
                </c:pt>
              </c:numCache>
            </c:numRef>
          </c:xVal>
          <c:yVal>
            <c:numRef>
              <c:f>Sheet6!$P$7:$P$39</c:f>
              <c:numCache>
                <c:formatCode>General</c:formatCode>
                <c:ptCount val="33"/>
                <c:pt idx="0">
                  <c:v>0</c:v>
                </c:pt>
                <c:pt idx="1">
                  <c:v>1.799999999999996E-3</c:v>
                </c:pt>
                <c:pt idx="2">
                  <c:v>5.9000000000000025E-3</c:v>
                </c:pt>
                <c:pt idx="3">
                  <c:v>1.079999999999999E-2</c:v>
                </c:pt>
                <c:pt idx="4">
                  <c:v>1.4999999999999999E-2</c:v>
                </c:pt>
                <c:pt idx="5">
                  <c:v>1.8099999999999991E-2</c:v>
                </c:pt>
                <c:pt idx="6">
                  <c:v>2.7400000000000008E-2</c:v>
                </c:pt>
                <c:pt idx="7">
                  <c:v>4.1399999999999992E-2</c:v>
                </c:pt>
                <c:pt idx="8">
                  <c:v>5.3699999999999998E-2</c:v>
                </c:pt>
                <c:pt idx="9">
                  <c:v>8.3400000000000002E-2</c:v>
                </c:pt>
                <c:pt idx="10">
                  <c:v>0.12870000000000001</c:v>
                </c:pt>
                <c:pt idx="11">
                  <c:v>0.19819999999999999</c:v>
                </c:pt>
                <c:pt idx="12">
                  <c:v>0.22389999999999999</c:v>
                </c:pt>
                <c:pt idx="13">
                  <c:v>0.24490000000000001</c:v>
                </c:pt>
                <c:pt idx="14">
                  <c:v>0.28649999999999998</c:v>
                </c:pt>
                <c:pt idx="15">
                  <c:v>0.34329999999999999</c:v>
                </c:pt>
                <c:pt idx="16">
                  <c:v>0.37869999999999998</c:v>
                </c:pt>
                <c:pt idx="17">
                  <c:v>0.39479999999999998</c:v>
                </c:pt>
                <c:pt idx="18">
                  <c:v>0.43479999999999996</c:v>
                </c:pt>
                <c:pt idx="19">
                  <c:v>0.45540000000000003</c:v>
                </c:pt>
                <c:pt idx="20">
                  <c:v>0.45450000000000002</c:v>
                </c:pt>
                <c:pt idx="21">
                  <c:v>0.47199999999999998</c:v>
                </c:pt>
                <c:pt idx="22">
                  <c:v>0.48219999999999996</c:v>
                </c:pt>
                <c:pt idx="23">
                  <c:v>0.48799999999999999</c:v>
                </c:pt>
                <c:pt idx="24">
                  <c:v>0.49109999999999998</c:v>
                </c:pt>
                <c:pt idx="25">
                  <c:v>0.49450000000000005</c:v>
                </c:pt>
                <c:pt idx="26">
                  <c:v>0.49060000000000004</c:v>
                </c:pt>
                <c:pt idx="27">
                  <c:v>0.48639999999999994</c:v>
                </c:pt>
                <c:pt idx="28">
                  <c:v>0.48760000000000003</c:v>
                </c:pt>
                <c:pt idx="29">
                  <c:v>0.4728</c:v>
                </c:pt>
                <c:pt idx="30">
                  <c:v>0.47789999999999999</c:v>
                </c:pt>
                <c:pt idx="31">
                  <c:v>0.47650000000000003</c:v>
                </c:pt>
                <c:pt idx="32">
                  <c:v>0.46540000000000004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53-5344-9418-BA763212419A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Sheet6!$A$7:$A$39</c:f>
              <c:numCache>
                <c:formatCode>General</c:formatCode>
                <c:ptCount val="33"/>
                <c:pt idx="0">
                  <c:v>0.4757197222222222</c:v>
                </c:pt>
                <c:pt idx="1">
                  <c:v>0.7135488888888889</c:v>
                </c:pt>
                <c:pt idx="2">
                  <c:v>0.95137944444444444</c:v>
                </c:pt>
                <c:pt idx="3">
                  <c:v>1.1891449999999999</c:v>
                </c:pt>
                <c:pt idx="4">
                  <c:v>1.4269777777777777</c:v>
                </c:pt>
                <c:pt idx="5">
                  <c:v>1.6648077777777779</c:v>
                </c:pt>
                <c:pt idx="6">
                  <c:v>1.9025777777777777</c:v>
                </c:pt>
                <c:pt idx="7">
                  <c:v>2.1403772222222224</c:v>
                </c:pt>
                <c:pt idx="8">
                  <c:v>2.3782172222222222</c:v>
                </c:pt>
                <c:pt idx="9">
                  <c:v>2.6159794444444442</c:v>
                </c:pt>
                <c:pt idx="10">
                  <c:v>2.8537316666666666</c:v>
                </c:pt>
                <c:pt idx="11">
                  <c:v>3.0915727777777779</c:v>
                </c:pt>
                <c:pt idx="12">
                  <c:v>3.3293372222222222</c:v>
                </c:pt>
                <c:pt idx="13">
                  <c:v>3.5670933333333332</c:v>
                </c:pt>
                <c:pt idx="14">
                  <c:v>3.8049416666666671</c:v>
                </c:pt>
                <c:pt idx="15">
                  <c:v>4.0427038888888891</c:v>
                </c:pt>
                <c:pt idx="16">
                  <c:v>4.2804622222222228</c:v>
                </c:pt>
                <c:pt idx="17">
                  <c:v>4.5183066666666667</c:v>
                </c:pt>
                <c:pt idx="18">
                  <c:v>4.7560597222222221</c:v>
                </c:pt>
                <c:pt idx="19">
                  <c:v>4.9938205555555601</c:v>
                </c:pt>
                <c:pt idx="20">
                  <c:v>5.2316730555555555</c:v>
                </c:pt>
                <c:pt idx="21">
                  <c:v>5.4694311111111116</c:v>
                </c:pt>
                <c:pt idx="22">
                  <c:v>5.7071944444444451</c:v>
                </c:pt>
                <c:pt idx="23">
                  <c:v>5.9450247222222226</c:v>
                </c:pt>
                <c:pt idx="24">
                  <c:v>6.1827869444444445</c:v>
                </c:pt>
                <c:pt idx="25">
                  <c:v>6.4205563888888895</c:v>
                </c:pt>
                <c:pt idx="26">
                  <c:v>6.658389722222223</c:v>
                </c:pt>
                <c:pt idx="27">
                  <c:v>6.8961552777777779</c:v>
                </c:pt>
                <c:pt idx="28">
                  <c:v>7.1339474999999997</c:v>
                </c:pt>
                <c:pt idx="29">
                  <c:v>7.3717841666666661</c:v>
                </c:pt>
                <c:pt idx="30">
                  <c:v>7.609548055555555</c:v>
                </c:pt>
                <c:pt idx="31">
                  <c:v>7.8473716666666666</c:v>
                </c:pt>
                <c:pt idx="32">
                  <c:v>8.085210833333333</c:v>
                </c:pt>
              </c:numCache>
            </c:numRef>
          </c:xVal>
          <c:yVal>
            <c:numRef>
              <c:f>Sheet6!$S$7:$S$39</c:f>
              <c:numCache>
                <c:formatCode>General</c:formatCode>
                <c:ptCount val="33"/>
                <c:pt idx="0">
                  <c:v>0</c:v>
                </c:pt>
                <c:pt idx="1">
                  <c:v>2.7000000000000079E-3</c:v>
                </c:pt>
                <c:pt idx="2">
                  <c:v>7.9000000000000042E-3</c:v>
                </c:pt>
                <c:pt idx="3">
                  <c:v>1.4800000000000008E-2</c:v>
                </c:pt>
                <c:pt idx="4">
                  <c:v>1.9799999999999998E-2</c:v>
                </c:pt>
                <c:pt idx="5">
                  <c:v>2.4099999999999996E-2</c:v>
                </c:pt>
                <c:pt idx="6">
                  <c:v>3.7199999999999997E-2</c:v>
                </c:pt>
                <c:pt idx="7">
                  <c:v>5.8399999999999994E-2</c:v>
                </c:pt>
                <c:pt idx="8">
                  <c:v>7.8E-2</c:v>
                </c:pt>
                <c:pt idx="9">
                  <c:v>0.12100000000000001</c:v>
                </c:pt>
                <c:pt idx="10">
                  <c:v>0.18490000000000001</c:v>
                </c:pt>
                <c:pt idx="11">
                  <c:v>0.24099999999999999</c:v>
                </c:pt>
                <c:pt idx="12">
                  <c:v>0.28129999999999999</c:v>
                </c:pt>
                <c:pt idx="13">
                  <c:v>0.31420000000000003</c:v>
                </c:pt>
                <c:pt idx="14">
                  <c:v>0.36410000000000003</c:v>
                </c:pt>
                <c:pt idx="15">
                  <c:v>0.42300000000000004</c:v>
                </c:pt>
                <c:pt idx="16">
                  <c:v>0.44879999999999998</c:v>
                </c:pt>
                <c:pt idx="17">
                  <c:v>0.46879999999999999</c:v>
                </c:pt>
                <c:pt idx="18">
                  <c:v>0.49819999999999998</c:v>
                </c:pt>
                <c:pt idx="19">
                  <c:v>0.51200000000000001</c:v>
                </c:pt>
                <c:pt idx="20">
                  <c:v>0.51819999999999999</c:v>
                </c:pt>
                <c:pt idx="21">
                  <c:v>0.52280000000000004</c:v>
                </c:pt>
                <c:pt idx="22">
                  <c:v>0.53800000000000003</c:v>
                </c:pt>
                <c:pt idx="23">
                  <c:v>0.53060000000000007</c:v>
                </c:pt>
                <c:pt idx="24">
                  <c:v>0.54430000000000001</c:v>
                </c:pt>
                <c:pt idx="25">
                  <c:v>0.53220000000000001</c:v>
                </c:pt>
                <c:pt idx="26">
                  <c:v>0.5151</c:v>
                </c:pt>
                <c:pt idx="27">
                  <c:v>0.50860000000000005</c:v>
                </c:pt>
                <c:pt idx="28">
                  <c:v>0.51500000000000001</c:v>
                </c:pt>
                <c:pt idx="29">
                  <c:v>0.49509999999999998</c:v>
                </c:pt>
                <c:pt idx="30">
                  <c:v>0.50409999999999999</c:v>
                </c:pt>
                <c:pt idx="31">
                  <c:v>0.50080000000000002</c:v>
                </c:pt>
                <c:pt idx="32">
                  <c:v>0.49370000000000003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153-5344-9418-BA763212419A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Sheet6!$A$7:$A$39</c:f>
              <c:numCache>
                <c:formatCode>General</c:formatCode>
                <c:ptCount val="33"/>
                <c:pt idx="0">
                  <c:v>0.4757197222222222</c:v>
                </c:pt>
                <c:pt idx="1">
                  <c:v>0.7135488888888889</c:v>
                </c:pt>
                <c:pt idx="2">
                  <c:v>0.95137944444444444</c:v>
                </c:pt>
                <c:pt idx="3">
                  <c:v>1.1891449999999999</c:v>
                </c:pt>
                <c:pt idx="4">
                  <c:v>1.4269777777777777</c:v>
                </c:pt>
                <c:pt idx="5">
                  <c:v>1.6648077777777779</c:v>
                </c:pt>
                <c:pt idx="6">
                  <c:v>1.9025777777777777</c:v>
                </c:pt>
                <c:pt idx="7">
                  <c:v>2.1403772222222224</c:v>
                </c:pt>
                <c:pt idx="8">
                  <c:v>2.3782172222222222</c:v>
                </c:pt>
                <c:pt idx="9">
                  <c:v>2.6159794444444442</c:v>
                </c:pt>
                <c:pt idx="10">
                  <c:v>2.8537316666666666</c:v>
                </c:pt>
                <c:pt idx="11">
                  <c:v>3.0915727777777779</c:v>
                </c:pt>
                <c:pt idx="12">
                  <c:v>3.3293372222222222</c:v>
                </c:pt>
                <c:pt idx="13">
                  <c:v>3.5670933333333332</c:v>
                </c:pt>
                <c:pt idx="14">
                  <c:v>3.8049416666666671</c:v>
                </c:pt>
                <c:pt idx="15">
                  <c:v>4.0427038888888891</c:v>
                </c:pt>
                <c:pt idx="16">
                  <c:v>4.2804622222222228</c:v>
                </c:pt>
                <c:pt idx="17">
                  <c:v>4.5183066666666667</c:v>
                </c:pt>
                <c:pt idx="18">
                  <c:v>4.7560597222222221</c:v>
                </c:pt>
                <c:pt idx="19">
                  <c:v>4.9938205555555601</c:v>
                </c:pt>
                <c:pt idx="20">
                  <c:v>5.2316730555555555</c:v>
                </c:pt>
                <c:pt idx="21">
                  <c:v>5.4694311111111116</c:v>
                </c:pt>
                <c:pt idx="22">
                  <c:v>5.7071944444444451</c:v>
                </c:pt>
                <c:pt idx="23">
                  <c:v>5.9450247222222226</c:v>
                </c:pt>
                <c:pt idx="24">
                  <c:v>6.1827869444444445</c:v>
                </c:pt>
                <c:pt idx="25">
                  <c:v>6.4205563888888895</c:v>
                </c:pt>
                <c:pt idx="26">
                  <c:v>6.658389722222223</c:v>
                </c:pt>
                <c:pt idx="27">
                  <c:v>6.8961552777777779</c:v>
                </c:pt>
                <c:pt idx="28">
                  <c:v>7.1339474999999997</c:v>
                </c:pt>
                <c:pt idx="29">
                  <c:v>7.3717841666666661</c:v>
                </c:pt>
                <c:pt idx="30">
                  <c:v>7.609548055555555</c:v>
                </c:pt>
                <c:pt idx="31">
                  <c:v>7.8473716666666666</c:v>
                </c:pt>
                <c:pt idx="32">
                  <c:v>8.085210833333333</c:v>
                </c:pt>
              </c:numCache>
            </c:numRef>
          </c:xVal>
          <c:yVal>
            <c:numRef>
              <c:f>Sheet6!$V$7:$V$39</c:f>
              <c:numCache>
                <c:formatCode>General</c:formatCode>
                <c:ptCount val="33"/>
                <c:pt idx="0">
                  <c:v>3.9999999999999758E-4</c:v>
                </c:pt>
                <c:pt idx="1">
                  <c:v>2.5000000000000022E-3</c:v>
                </c:pt>
                <c:pt idx="2">
                  <c:v>7.1999999999999981E-3</c:v>
                </c:pt>
                <c:pt idx="3">
                  <c:v>1.3600000000000001E-2</c:v>
                </c:pt>
                <c:pt idx="4">
                  <c:v>1.5199999999999991E-2</c:v>
                </c:pt>
                <c:pt idx="5">
                  <c:v>1.7899999999999999E-2</c:v>
                </c:pt>
                <c:pt idx="6">
                  <c:v>2.679999999999999E-2</c:v>
                </c:pt>
                <c:pt idx="7">
                  <c:v>3.8199999999999984E-2</c:v>
                </c:pt>
                <c:pt idx="8">
                  <c:v>4.6999999999999986E-2</c:v>
                </c:pt>
                <c:pt idx="9">
                  <c:v>7.2699999999999987E-2</c:v>
                </c:pt>
                <c:pt idx="10">
                  <c:v>0.1038</c:v>
                </c:pt>
                <c:pt idx="11">
                  <c:v>0.15299999999999997</c:v>
                </c:pt>
                <c:pt idx="12">
                  <c:v>0.19329999999999997</c:v>
                </c:pt>
                <c:pt idx="13">
                  <c:v>0.18929999999999997</c:v>
                </c:pt>
                <c:pt idx="14">
                  <c:v>0.22149999999999997</c:v>
                </c:pt>
                <c:pt idx="15">
                  <c:v>0.25829999999999997</c:v>
                </c:pt>
                <c:pt idx="16">
                  <c:v>0.27239999999999998</c:v>
                </c:pt>
                <c:pt idx="17">
                  <c:v>0.29549999999999998</c:v>
                </c:pt>
                <c:pt idx="18">
                  <c:v>0.33700000000000002</c:v>
                </c:pt>
                <c:pt idx="19">
                  <c:v>0.35580000000000001</c:v>
                </c:pt>
                <c:pt idx="20">
                  <c:v>0.35759999999999997</c:v>
                </c:pt>
                <c:pt idx="21">
                  <c:v>0.379</c:v>
                </c:pt>
                <c:pt idx="22">
                  <c:v>0.39360000000000001</c:v>
                </c:pt>
                <c:pt idx="23">
                  <c:v>0.40179999999999999</c:v>
                </c:pt>
                <c:pt idx="24">
                  <c:v>0.41419999999999996</c:v>
                </c:pt>
                <c:pt idx="25">
                  <c:v>0.42519999999999997</c:v>
                </c:pt>
                <c:pt idx="26">
                  <c:v>0.4209</c:v>
                </c:pt>
                <c:pt idx="27">
                  <c:v>0.42429999999999995</c:v>
                </c:pt>
                <c:pt idx="28">
                  <c:v>0.42660000000000003</c:v>
                </c:pt>
                <c:pt idx="29">
                  <c:v>0.42450000000000004</c:v>
                </c:pt>
                <c:pt idx="30">
                  <c:v>0.41209999999999997</c:v>
                </c:pt>
                <c:pt idx="31">
                  <c:v>0.43809999999999999</c:v>
                </c:pt>
                <c:pt idx="32">
                  <c:v>0.41029999999999994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153-5344-9418-BA76321241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9923376"/>
        <c:axId val="1869925104"/>
      </c:scatterChart>
      <c:valAx>
        <c:axId val="1869923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869925104"/>
        <c:crosses val="autoZero"/>
        <c:crossBetween val="midCat"/>
      </c:valAx>
      <c:valAx>
        <c:axId val="186992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869923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Sheet6!$A$7:$A$39</c:f>
              <c:numCache>
                <c:formatCode>General</c:formatCode>
                <c:ptCount val="33"/>
                <c:pt idx="0">
                  <c:v>0.4757197222222222</c:v>
                </c:pt>
                <c:pt idx="1">
                  <c:v>0.7135488888888889</c:v>
                </c:pt>
                <c:pt idx="2">
                  <c:v>0.95137944444444444</c:v>
                </c:pt>
                <c:pt idx="3">
                  <c:v>1.1891449999999999</c:v>
                </c:pt>
                <c:pt idx="4">
                  <c:v>1.4269777777777777</c:v>
                </c:pt>
                <c:pt idx="5">
                  <c:v>1.6648077777777779</c:v>
                </c:pt>
                <c:pt idx="6">
                  <c:v>1.9025777777777777</c:v>
                </c:pt>
                <c:pt idx="7">
                  <c:v>2.1403772222222224</c:v>
                </c:pt>
                <c:pt idx="8">
                  <c:v>2.3782172222222222</c:v>
                </c:pt>
                <c:pt idx="9">
                  <c:v>2.6159794444444442</c:v>
                </c:pt>
                <c:pt idx="10">
                  <c:v>2.8537316666666666</c:v>
                </c:pt>
                <c:pt idx="11">
                  <c:v>3.0915727777777779</c:v>
                </c:pt>
                <c:pt idx="12">
                  <c:v>3.3293372222222222</c:v>
                </c:pt>
                <c:pt idx="13">
                  <c:v>3.5670933333333332</c:v>
                </c:pt>
                <c:pt idx="14">
                  <c:v>3.8049416666666671</c:v>
                </c:pt>
                <c:pt idx="15">
                  <c:v>4.0427038888888891</c:v>
                </c:pt>
                <c:pt idx="16">
                  <c:v>4.2804622222222228</c:v>
                </c:pt>
                <c:pt idx="17">
                  <c:v>4.5183066666666667</c:v>
                </c:pt>
                <c:pt idx="18">
                  <c:v>4.7560597222222221</c:v>
                </c:pt>
                <c:pt idx="19">
                  <c:v>4.9938205555555601</c:v>
                </c:pt>
                <c:pt idx="20">
                  <c:v>5.2316730555555555</c:v>
                </c:pt>
                <c:pt idx="21">
                  <c:v>5.4694311111111116</c:v>
                </c:pt>
                <c:pt idx="22">
                  <c:v>5.7071944444444451</c:v>
                </c:pt>
                <c:pt idx="23">
                  <c:v>5.9450247222222226</c:v>
                </c:pt>
                <c:pt idx="24">
                  <c:v>6.1827869444444445</c:v>
                </c:pt>
                <c:pt idx="25">
                  <c:v>6.4205563888888895</c:v>
                </c:pt>
                <c:pt idx="26">
                  <c:v>6.658389722222223</c:v>
                </c:pt>
                <c:pt idx="27">
                  <c:v>6.8961552777777779</c:v>
                </c:pt>
                <c:pt idx="28">
                  <c:v>7.1339474999999997</c:v>
                </c:pt>
                <c:pt idx="29">
                  <c:v>7.3717841666666661</c:v>
                </c:pt>
                <c:pt idx="30">
                  <c:v>7.609548055555555</c:v>
                </c:pt>
                <c:pt idx="31">
                  <c:v>7.8473716666666666</c:v>
                </c:pt>
                <c:pt idx="32">
                  <c:v>8.085210833333333</c:v>
                </c:pt>
              </c:numCache>
            </c:numRef>
          </c:xVal>
          <c:yVal>
            <c:numRef>
              <c:f>Sheet6!$V$7:$V$39</c:f>
              <c:numCache>
                <c:formatCode>General</c:formatCode>
                <c:ptCount val="33"/>
                <c:pt idx="0">
                  <c:v>3.9999999999999758E-4</c:v>
                </c:pt>
                <c:pt idx="1">
                  <c:v>2.5000000000000022E-3</c:v>
                </c:pt>
                <c:pt idx="2">
                  <c:v>7.1999999999999981E-3</c:v>
                </c:pt>
                <c:pt idx="3">
                  <c:v>1.3600000000000001E-2</c:v>
                </c:pt>
                <c:pt idx="4">
                  <c:v>1.5199999999999991E-2</c:v>
                </c:pt>
                <c:pt idx="5">
                  <c:v>1.7899999999999999E-2</c:v>
                </c:pt>
                <c:pt idx="6">
                  <c:v>2.679999999999999E-2</c:v>
                </c:pt>
                <c:pt idx="7">
                  <c:v>3.8199999999999984E-2</c:v>
                </c:pt>
                <c:pt idx="8">
                  <c:v>4.6999999999999986E-2</c:v>
                </c:pt>
                <c:pt idx="9">
                  <c:v>7.2699999999999987E-2</c:v>
                </c:pt>
                <c:pt idx="10">
                  <c:v>0.1038</c:v>
                </c:pt>
                <c:pt idx="11">
                  <c:v>0.15299999999999997</c:v>
                </c:pt>
                <c:pt idx="12">
                  <c:v>0.19329999999999997</c:v>
                </c:pt>
                <c:pt idx="13">
                  <c:v>0.18929999999999997</c:v>
                </c:pt>
                <c:pt idx="14">
                  <c:v>0.22149999999999997</c:v>
                </c:pt>
                <c:pt idx="15">
                  <c:v>0.25829999999999997</c:v>
                </c:pt>
                <c:pt idx="16">
                  <c:v>0.27239999999999998</c:v>
                </c:pt>
                <c:pt idx="17">
                  <c:v>0.29549999999999998</c:v>
                </c:pt>
                <c:pt idx="18">
                  <c:v>0.33700000000000002</c:v>
                </c:pt>
                <c:pt idx="19">
                  <c:v>0.35580000000000001</c:v>
                </c:pt>
                <c:pt idx="20">
                  <c:v>0.35759999999999997</c:v>
                </c:pt>
                <c:pt idx="21">
                  <c:v>0.379</c:v>
                </c:pt>
                <c:pt idx="22">
                  <c:v>0.39360000000000001</c:v>
                </c:pt>
                <c:pt idx="23">
                  <c:v>0.40179999999999999</c:v>
                </c:pt>
                <c:pt idx="24">
                  <c:v>0.41419999999999996</c:v>
                </c:pt>
                <c:pt idx="25">
                  <c:v>0.42519999999999997</c:v>
                </c:pt>
                <c:pt idx="26">
                  <c:v>0.4209</c:v>
                </c:pt>
                <c:pt idx="27">
                  <c:v>0.42429999999999995</c:v>
                </c:pt>
                <c:pt idx="28">
                  <c:v>0.42660000000000003</c:v>
                </c:pt>
                <c:pt idx="29">
                  <c:v>0.42450000000000004</c:v>
                </c:pt>
                <c:pt idx="30">
                  <c:v>0.41209999999999997</c:v>
                </c:pt>
                <c:pt idx="31">
                  <c:v>0.43809999999999999</c:v>
                </c:pt>
                <c:pt idx="32">
                  <c:v>0.41029999999999994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92-DF4B-9D64-A05722783014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Sheet6!$A$7:$A$39</c:f>
              <c:numCache>
                <c:formatCode>General</c:formatCode>
                <c:ptCount val="33"/>
                <c:pt idx="0">
                  <c:v>0.4757197222222222</c:v>
                </c:pt>
                <c:pt idx="1">
                  <c:v>0.7135488888888889</c:v>
                </c:pt>
                <c:pt idx="2">
                  <c:v>0.95137944444444444</c:v>
                </c:pt>
                <c:pt idx="3">
                  <c:v>1.1891449999999999</c:v>
                </c:pt>
                <c:pt idx="4">
                  <c:v>1.4269777777777777</c:v>
                </c:pt>
                <c:pt idx="5">
                  <c:v>1.6648077777777779</c:v>
                </c:pt>
                <c:pt idx="6">
                  <c:v>1.9025777777777777</c:v>
                </c:pt>
                <c:pt idx="7">
                  <c:v>2.1403772222222224</c:v>
                </c:pt>
                <c:pt idx="8">
                  <c:v>2.3782172222222222</c:v>
                </c:pt>
                <c:pt idx="9">
                  <c:v>2.6159794444444442</c:v>
                </c:pt>
                <c:pt idx="10">
                  <c:v>2.8537316666666666</c:v>
                </c:pt>
                <c:pt idx="11">
                  <c:v>3.0915727777777779</c:v>
                </c:pt>
                <c:pt idx="12">
                  <c:v>3.3293372222222222</c:v>
                </c:pt>
                <c:pt idx="13">
                  <c:v>3.5670933333333332</c:v>
                </c:pt>
                <c:pt idx="14">
                  <c:v>3.8049416666666671</c:v>
                </c:pt>
                <c:pt idx="15">
                  <c:v>4.0427038888888891</c:v>
                </c:pt>
                <c:pt idx="16">
                  <c:v>4.2804622222222228</c:v>
                </c:pt>
                <c:pt idx="17">
                  <c:v>4.5183066666666667</c:v>
                </c:pt>
                <c:pt idx="18">
                  <c:v>4.7560597222222221</c:v>
                </c:pt>
                <c:pt idx="19">
                  <c:v>4.9938205555555601</c:v>
                </c:pt>
                <c:pt idx="20">
                  <c:v>5.2316730555555555</c:v>
                </c:pt>
                <c:pt idx="21">
                  <c:v>5.4694311111111116</c:v>
                </c:pt>
                <c:pt idx="22">
                  <c:v>5.7071944444444451</c:v>
                </c:pt>
                <c:pt idx="23">
                  <c:v>5.9450247222222226</c:v>
                </c:pt>
                <c:pt idx="24">
                  <c:v>6.1827869444444445</c:v>
                </c:pt>
                <c:pt idx="25">
                  <c:v>6.4205563888888895</c:v>
                </c:pt>
                <c:pt idx="26">
                  <c:v>6.658389722222223</c:v>
                </c:pt>
                <c:pt idx="27">
                  <c:v>6.8961552777777779</c:v>
                </c:pt>
                <c:pt idx="28">
                  <c:v>7.1339474999999997</c:v>
                </c:pt>
                <c:pt idx="29">
                  <c:v>7.3717841666666661</c:v>
                </c:pt>
                <c:pt idx="30">
                  <c:v>7.609548055555555</c:v>
                </c:pt>
                <c:pt idx="31">
                  <c:v>7.8473716666666666</c:v>
                </c:pt>
                <c:pt idx="32">
                  <c:v>8.085210833333333</c:v>
                </c:pt>
              </c:numCache>
            </c:numRef>
          </c:xVal>
          <c:yVal>
            <c:numRef>
              <c:f>Sheet6!$Y$7:$Y$39</c:f>
              <c:numCache>
                <c:formatCode>General</c:formatCode>
                <c:ptCount val="33"/>
                <c:pt idx="0">
                  <c:v>0</c:v>
                </c:pt>
                <c:pt idx="1">
                  <c:v>1.799999999999996E-3</c:v>
                </c:pt>
                <c:pt idx="2">
                  <c:v>6.4000000000000029E-3</c:v>
                </c:pt>
                <c:pt idx="3">
                  <c:v>1.1499999999999996E-2</c:v>
                </c:pt>
                <c:pt idx="4">
                  <c:v>1.5600000000000003E-2</c:v>
                </c:pt>
                <c:pt idx="5">
                  <c:v>1.9199999999999995E-2</c:v>
                </c:pt>
                <c:pt idx="6">
                  <c:v>2.9700000000000004E-2</c:v>
                </c:pt>
                <c:pt idx="7">
                  <c:v>4.3500000000000011E-2</c:v>
                </c:pt>
                <c:pt idx="8">
                  <c:v>5.5299999999999988E-2</c:v>
                </c:pt>
                <c:pt idx="9">
                  <c:v>8.5100000000000009E-2</c:v>
                </c:pt>
                <c:pt idx="10">
                  <c:v>0.12770000000000001</c:v>
                </c:pt>
                <c:pt idx="11">
                  <c:v>0.19820000000000002</c:v>
                </c:pt>
                <c:pt idx="12">
                  <c:v>0.22219999999999998</c:v>
                </c:pt>
                <c:pt idx="13">
                  <c:v>0.24060000000000001</c:v>
                </c:pt>
                <c:pt idx="14">
                  <c:v>0.27700000000000002</c:v>
                </c:pt>
                <c:pt idx="15">
                  <c:v>0.3296</c:v>
                </c:pt>
                <c:pt idx="16">
                  <c:v>0.35809999999999997</c:v>
                </c:pt>
                <c:pt idx="17">
                  <c:v>0.37760000000000005</c:v>
                </c:pt>
                <c:pt idx="18">
                  <c:v>0.41479999999999995</c:v>
                </c:pt>
                <c:pt idx="19">
                  <c:v>0.43609999999999993</c:v>
                </c:pt>
                <c:pt idx="20">
                  <c:v>0.43840000000000001</c:v>
                </c:pt>
                <c:pt idx="21">
                  <c:v>0.45529999999999993</c:v>
                </c:pt>
                <c:pt idx="22">
                  <c:v>0.46950000000000003</c:v>
                </c:pt>
                <c:pt idx="23">
                  <c:v>0.47849999999999993</c:v>
                </c:pt>
                <c:pt idx="24">
                  <c:v>0.47789999999999999</c:v>
                </c:pt>
                <c:pt idx="25">
                  <c:v>0.48670000000000002</c:v>
                </c:pt>
                <c:pt idx="26">
                  <c:v>0.48299999999999998</c:v>
                </c:pt>
                <c:pt idx="27">
                  <c:v>0.47370000000000001</c:v>
                </c:pt>
                <c:pt idx="28">
                  <c:v>0.47539999999999993</c:v>
                </c:pt>
                <c:pt idx="29">
                  <c:v>0.46539999999999992</c:v>
                </c:pt>
                <c:pt idx="30">
                  <c:v>0.46629999999999994</c:v>
                </c:pt>
                <c:pt idx="31">
                  <c:v>0.46219999999999994</c:v>
                </c:pt>
                <c:pt idx="32">
                  <c:v>0.45660000000000001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92-DF4B-9D64-A05722783014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Sheet6!$A$7:$A$39</c:f>
              <c:numCache>
                <c:formatCode>General</c:formatCode>
                <c:ptCount val="33"/>
                <c:pt idx="0">
                  <c:v>0.4757197222222222</c:v>
                </c:pt>
                <c:pt idx="1">
                  <c:v>0.7135488888888889</c:v>
                </c:pt>
                <c:pt idx="2">
                  <c:v>0.95137944444444444</c:v>
                </c:pt>
                <c:pt idx="3">
                  <c:v>1.1891449999999999</c:v>
                </c:pt>
                <c:pt idx="4">
                  <c:v>1.4269777777777777</c:v>
                </c:pt>
                <c:pt idx="5">
                  <c:v>1.6648077777777779</c:v>
                </c:pt>
                <c:pt idx="6">
                  <c:v>1.9025777777777777</c:v>
                </c:pt>
                <c:pt idx="7">
                  <c:v>2.1403772222222224</c:v>
                </c:pt>
                <c:pt idx="8">
                  <c:v>2.3782172222222222</c:v>
                </c:pt>
                <c:pt idx="9">
                  <c:v>2.6159794444444442</c:v>
                </c:pt>
                <c:pt idx="10">
                  <c:v>2.8537316666666666</c:v>
                </c:pt>
                <c:pt idx="11">
                  <c:v>3.0915727777777779</c:v>
                </c:pt>
                <c:pt idx="12">
                  <c:v>3.3293372222222222</c:v>
                </c:pt>
                <c:pt idx="13">
                  <c:v>3.5670933333333332</c:v>
                </c:pt>
                <c:pt idx="14">
                  <c:v>3.8049416666666671</c:v>
                </c:pt>
                <c:pt idx="15">
                  <c:v>4.0427038888888891</c:v>
                </c:pt>
                <c:pt idx="16">
                  <c:v>4.2804622222222228</c:v>
                </c:pt>
                <c:pt idx="17">
                  <c:v>4.5183066666666667</c:v>
                </c:pt>
                <c:pt idx="18">
                  <c:v>4.7560597222222221</c:v>
                </c:pt>
                <c:pt idx="19">
                  <c:v>4.9938205555555601</c:v>
                </c:pt>
                <c:pt idx="20">
                  <c:v>5.2316730555555555</c:v>
                </c:pt>
                <c:pt idx="21">
                  <c:v>5.4694311111111116</c:v>
                </c:pt>
                <c:pt idx="22">
                  <c:v>5.7071944444444451</c:v>
                </c:pt>
                <c:pt idx="23">
                  <c:v>5.9450247222222226</c:v>
                </c:pt>
                <c:pt idx="24">
                  <c:v>6.1827869444444445</c:v>
                </c:pt>
                <c:pt idx="25">
                  <c:v>6.4205563888888895</c:v>
                </c:pt>
                <c:pt idx="26">
                  <c:v>6.658389722222223</c:v>
                </c:pt>
                <c:pt idx="27">
                  <c:v>6.8961552777777779</c:v>
                </c:pt>
                <c:pt idx="28">
                  <c:v>7.1339474999999997</c:v>
                </c:pt>
                <c:pt idx="29">
                  <c:v>7.3717841666666661</c:v>
                </c:pt>
                <c:pt idx="30">
                  <c:v>7.609548055555555</c:v>
                </c:pt>
                <c:pt idx="31">
                  <c:v>7.8473716666666666</c:v>
                </c:pt>
                <c:pt idx="32">
                  <c:v>8.085210833333333</c:v>
                </c:pt>
              </c:numCache>
            </c:numRef>
          </c:xVal>
          <c:yVal>
            <c:numRef>
              <c:f>Sheet6!$AB$7:$AB$39</c:f>
              <c:numCache>
                <c:formatCode>General</c:formatCode>
                <c:ptCount val="33"/>
                <c:pt idx="0">
                  <c:v>0</c:v>
                </c:pt>
                <c:pt idx="1">
                  <c:v>2.4000000000000132E-3</c:v>
                </c:pt>
                <c:pt idx="2">
                  <c:v>7.6000000000000095E-3</c:v>
                </c:pt>
                <c:pt idx="3">
                  <c:v>1.390000000000001E-2</c:v>
                </c:pt>
                <c:pt idx="4">
                  <c:v>1.9900000000000001E-2</c:v>
                </c:pt>
                <c:pt idx="5">
                  <c:v>2.6300000000000018E-2</c:v>
                </c:pt>
                <c:pt idx="6">
                  <c:v>3.9400000000000018E-2</c:v>
                </c:pt>
                <c:pt idx="7">
                  <c:v>6.1100000000000015E-2</c:v>
                </c:pt>
                <c:pt idx="8">
                  <c:v>8.1100000000000005E-2</c:v>
                </c:pt>
                <c:pt idx="9">
                  <c:v>0.12670000000000001</c:v>
                </c:pt>
                <c:pt idx="10">
                  <c:v>0.18820000000000003</c:v>
                </c:pt>
                <c:pt idx="11">
                  <c:v>0.23680000000000001</c:v>
                </c:pt>
                <c:pt idx="12">
                  <c:v>0.28420000000000001</c:v>
                </c:pt>
                <c:pt idx="13">
                  <c:v>0.30759999999999998</c:v>
                </c:pt>
                <c:pt idx="14">
                  <c:v>0.36459999999999998</c:v>
                </c:pt>
                <c:pt idx="15">
                  <c:v>0.41560000000000002</c:v>
                </c:pt>
                <c:pt idx="16">
                  <c:v>0.44260000000000005</c:v>
                </c:pt>
                <c:pt idx="17">
                  <c:v>0.46710000000000002</c:v>
                </c:pt>
                <c:pt idx="18">
                  <c:v>0.49379999999999996</c:v>
                </c:pt>
                <c:pt idx="19">
                  <c:v>0.50639999999999996</c:v>
                </c:pt>
                <c:pt idx="20">
                  <c:v>0.51869999999999994</c:v>
                </c:pt>
                <c:pt idx="21">
                  <c:v>0.52520000000000011</c:v>
                </c:pt>
                <c:pt idx="22">
                  <c:v>0.52960000000000007</c:v>
                </c:pt>
                <c:pt idx="23">
                  <c:v>0.53049999999999997</c:v>
                </c:pt>
                <c:pt idx="24">
                  <c:v>0.52010000000000001</c:v>
                </c:pt>
                <c:pt idx="25">
                  <c:v>0.52360000000000007</c:v>
                </c:pt>
                <c:pt idx="26">
                  <c:v>0.52320000000000011</c:v>
                </c:pt>
                <c:pt idx="27">
                  <c:v>0.5112000000000001</c:v>
                </c:pt>
                <c:pt idx="28">
                  <c:v>0.50879999999999992</c:v>
                </c:pt>
                <c:pt idx="29">
                  <c:v>0.5048999999999999</c:v>
                </c:pt>
                <c:pt idx="30">
                  <c:v>0.49469999999999997</c:v>
                </c:pt>
                <c:pt idx="31">
                  <c:v>0.4924</c:v>
                </c:pt>
                <c:pt idx="32">
                  <c:v>0.48010000000000003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92-DF4B-9D64-A057227830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711744"/>
        <c:axId val="491713456"/>
      </c:scatterChart>
      <c:valAx>
        <c:axId val="491711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491713456"/>
        <c:crosses val="autoZero"/>
        <c:crossBetween val="midCat"/>
      </c:valAx>
      <c:valAx>
        <c:axId val="49171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491711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>
        <c:manualLayout>
          <c:layoutTarget val="inner"/>
          <c:xMode val="edge"/>
          <c:yMode val="edge"/>
          <c:x val="6.7745744416176437E-2"/>
          <c:y val="3.4583094119758497E-2"/>
          <c:w val="0.87313755507580204"/>
          <c:h val="0.60909824662646883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Sheet6!$A$7:$A$39</c:f>
              <c:numCache>
                <c:formatCode>General</c:formatCode>
                <c:ptCount val="33"/>
                <c:pt idx="0">
                  <c:v>0.4757197222222222</c:v>
                </c:pt>
                <c:pt idx="1">
                  <c:v>0.7135488888888889</c:v>
                </c:pt>
                <c:pt idx="2">
                  <c:v>0.95137944444444444</c:v>
                </c:pt>
                <c:pt idx="3">
                  <c:v>1.1891449999999999</c:v>
                </c:pt>
                <c:pt idx="4">
                  <c:v>1.4269777777777777</c:v>
                </c:pt>
                <c:pt idx="5">
                  <c:v>1.6648077777777779</c:v>
                </c:pt>
                <c:pt idx="6">
                  <c:v>1.9025777777777777</c:v>
                </c:pt>
                <c:pt idx="7">
                  <c:v>2.1403772222222224</c:v>
                </c:pt>
                <c:pt idx="8">
                  <c:v>2.3782172222222222</c:v>
                </c:pt>
                <c:pt idx="9">
                  <c:v>2.6159794444444442</c:v>
                </c:pt>
                <c:pt idx="10">
                  <c:v>2.8537316666666666</c:v>
                </c:pt>
                <c:pt idx="11">
                  <c:v>3.0915727777777779</c:v>
                </c:pt>
                <c:pt idx="12">
                  <c:v>3.3293372222222222</c:v>
                </c:pt>
                <c:pt idx="13">
                  <c:v>3.5670933333333332</c:v>
                </c:pt>
                <c:pt idx="14">
                  <c:v>3.8049416666666671</c:v>
                </c:pt>
                <c:pt idx="15">
                  <c:v>4.0427038888888891</c:v>
                </c:pt>
                <c:pt idx="16">
                  <c:v>4.2804622222222228</c:v>
                </c:pt>
                <c:pt idx="17">
                  <c:v>4.5183066666666667</c:v>
                </c:pt>
                <c:pt idx="18">
                  <c:v>4.7560597222222221</c:v>
                </c:pt>
                <c:pt idx="19">
                  <c:v>4.9938205555555601</c:v>
                </c:pt>
                <c:pt idx="20">
                  <c:v>5.2316730555555555</c:v>
                </c:pt>
                <c:pt idx="21">
                  <c:v>5.4694311111111116</c:v>
                </c:pt>
                <c:pt idx="22">
                  <c:v>5.7071944444444451</c:v>
                </c:pt>
                <c:pt idx="23">
                  <c:v>5.9450247222222226</c:v>
                </c:pt>
                <c:pt idx="24">
                  <c:v>6.1827869444444445</c:v>
                </c:pt>
                <c:pt idx="25">
                  <c:v>6.4205563888888895</c:v>
                </c:pt>
                <c:pt idx="26">
                  <c:v>6.658389722222223</c:v>
                </c:pt>
                <c:pt idx="27">
                  <c:v>6.8961552777777779</c:v>
                </c:pt>
                <c:pt idx="28">
                  <c:v>7.1339474999999997</c:v>
                </c:pt>
                <c:pt idx="29">
                  <c:v>7.3717841666666661</c:v>
                </c:pt>
                <c:pt idx="30">
                  <c:v>7.609548055555555</c:v>
                </c:pt>
                <c:pt idx="31">
                  <c:v>7.8473716666666666</c:v>
                </c:pt>
                <c:pt idx="32">
                  <c:v>8.085210833333333</c:v>
                </c:pt>
              </c:numCache>
            </c:numRef>
          </c:xVal>
          <c:yVal>
            <c:numRef>
              <c:f>Sheet6!$D$7:$D$39</c:f>
              <c:numCache>
                <c:formatCode>General</c:formatCode>
                <c:ptCount val="33"/>
                <c:pt idx="0">
                  <c:v>0</c:v>
                </c:pt>
                <c:pt idx="1">
                  <c:v>2.5000000000000022E-3</c:v>
                </c:pt>
                <c:pt idx="2">
                  <c:v>6.6999999999999976E-3</c:v>
                </c:pt>
                <c:pt idx="3">
                  <c:v>1.0899999999999993E-2</c:v>
                </c:pt>
                <c:pt idx="4">
                  <c:v>1.3499999999999998E-2</c:v>
                </c:pt>
                <c:pt idx="5">
                  <c:v>2.0500000000000004E-2</c:v>
                </c:pt>
                <c:pt idx="6">
                  <c:v>2.76E-2</c:v>
                </c:pt>
                <c:pt idx="7">
                  <c:v>3.9400000000000004E-2</c:v>
                </c:pt>
                <c:pt idx="8">
                  <c:v>5.0500000000000003E-2</c:v>
                </c:pt>
                <c:pt idx="9">
                  <c:v>8.0200000000000007E-2</c:v>
                </c:pt>
                <c:pt idx="10">
                  <c:v>0.11570000000000001</c:v>
                </c:pt>
                <c:pt idx="11">
                  <c:v>0.17969999999999997</c:v>
                </c:pt>
                <c:pt idx="12">
                  <c:v>0.20379999999999998</c:v>
                </c:pt>
                <c:pt idx="13">
                  <c:v>0.22009999999999996</c:v>
                </c:pt>
                <c:pt idx="14">
                  <c:v>0.26119999999999999</c:v>
                </c:pt>
                <c:pt idx="15">
                  <c:v>0.30690000000000001</c:v>
                </c:pt>
                <c:pt idx="16">
                  <c:v>0.32289999999999996</c:v>
                </c:pt>
                <c:pt idx="17">
                  <c:v>0.3367</c:v>
                </c:pt>
                <c:pt idx="18">
                  <c:v>0.3735</c:v>
                </c:pt>
                <c:pt idx="19">
                  <c:v>0.39329999999999998</c:v>
                </c:pt>
                <c:pt idx="20">
                  <c:v>0.39329999999999998</c:v>
                </c:pt>
                <c:pt idx="21">
                  <c:v>0.41309999999999997</c:v>
                </c:pt>
                <c:pt idx="22">
                  <c:v>0.4138</c:v>
                </c:pt>
                <c:pt idx="23">
                  <c:v>0.42329999999999995</c:v>
                </c:pt>
                <c:pt idx="24">
                  <c:v>0.43390000000000001</c:v>
                </c:pt>
                <c:pt idx="25">
                  <c:v>0.42480000000000001</c:v>
                </c:pt>
                <c:pt idx="26">
                  <c:v>0.42370000000000002</c:v>
                </c:pt>
                <c:pt idx="27">
                  <c:v>0.42219999999999996</c:v>
                </c:pt>
                <c:pt idx="28">
                  <c:v>0.41729999999999995</c:v>
                </c:pt>
                <c:pt idx="29">
                  <c:v>0.41660000000000003</c:v>
                </c:pt>
                <c:pt idx="30">
                  <c:v>0.40750000000000003</c:v>
                </c:pt>
                <c:pt idx="31">
                  <c:v>0.41460000000000002</c:v>
                </c:pt>
                <c:pt idx="32">
                  <c:v>0.39960000000000001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5B-B84F-9724-0F0BA43BD89A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Sheet6!$A$7:$A$39</c:f>
              <c:numCache>
                <c:formatCode>General</c:formatCode>
                <c:ptCount val="33"/>
                <c:pt idx="0">
                  <c:v>0.4757197222222222</c:v>
                </c:pt>
                <c:pt idx="1">
                  <c:v>0.7135488888888889</c:v>
                </c:pt>
                <c:pt idx="2">
                  <c:v>0.95137944444444444</c:v>
                </c:pt>
                <c:pt idx="3">
                  <c:v>1.1891449999999999</c:v>
                </c:pt>
                <c:pt idx="4">
                  <c:v>1.4269777777777777</c:v>
                </c:pt>
                <c:pt idx="5">
                  <c:v>1.6648077777777779</c:v>
                </c:pt>
                <c:pt idx="6">
                  <c:v>1.9025777777777777</c:v>
                </c:pt>
                <c:pt idx="7">
                  <c:v>2.1403772222222224</c:v>
                </c:pt>
                <c:pt idx="8">
                  <c:v>2.3782172222222222</c:v>
                </c:pt>
                <c:pt idx="9">
                  <c:v>2.6159794444444442</c:v>
                </c:pt>
                <c:pt idx="10">
                  <c:v>2.8537316666666666</c:v>
                </c:pt>
                <c:pt idx="11">
                  <c:v>3.0915727777777779</c:v>
                </c:pt>
                <c:pt idx="12">
                  <c:v>3.3293372222222222</c:v>
                </c:pt>
                <c:pt idx="13">
                  <c:v>3.5670933333333332</c:v>
                </c:pt>
                <c:pt idx="14">
                  <c:v>3.8049416666666671</c:v>
                </c:pt>
                <c:pt idx="15">
                  <c:v>4.0427038888888891</c:v>
                </c:pt>
                <c:pt idx="16">
                  <c:v>4.2804622222222228</c:v>
                </c:pt>
                <c:pt idx="17">
                  <c:v>4.5183066666666667</c:v>
                </c:pt>
                <c:pt idx="18">
                  <c:v>4.7560597222222221</c:v>
                </c:pt>
                <c:pt idx="19">
                  <c:v>4.9938205555555601</c:v>
                </c:pt>
                <c:pt idx="20">
                  <c:v>5.2316730555555555</c:v>
                </c:pt>
                <c:pt idx="21">
                  <c:v>5.4694311111111116</c:v>
                </c:pt>
                <c:pt idx="22">
                  <c:v>5.7071944444444451</c:v>
                </c:pt>
                <c:pt idx="23">
                  <c:v>5.9450247222222226</c:v>
                </c:pt>
                <c:pt idx="24">
                  <c:v>6.1827869444444445</c:v>
                </c:pt>
                <c:pt idx="25">
                  <c:v>6.4205563888888895</c:v>
                </c:pt>
                <c:pt idx="26">
                  <c:v>6.658389722222223</c:v>
                </c:pt>
                <c:pt idx="27">
                  <c:v>6.8961552777777779</c:v>
                </c:pt>
                <c:pt idx="28">
                  <c:v>7.1339474999999997</c:v>
                </c:pt>
                <c:pt idx="29">
                  <c:v>7.3717841666666661</c:v>
                </c:pt>
                <c:pt idx="30">
                  <c:v>7.609548055555555</c:v>
                </c:pt>
                <c:pt idx="31">
                  <c:v>7.8473716666666666</c:v>
                </c:pt>
                <c:pt idx="32">
                  <c:v>8.085210833333333</c:v>
                </c:pt>
              </c:numCache>
            </c:numRef>
          </c:xVal>
          <c:yVal>
            <c:numRef>
              <c:f>Sheet6!$G$7:$G$39</c:f>
              <c:numCache>
                <c:formatCode>General</c:formatCode>
                <c:ptCount val="33"/>
                <c:pt idx="0">
                  <c:v>0</c:v>
                </c:pt>
                <c:pt idx="1">
                  <c:v>1.0000000000000286E-4</c:v>
                </c:pt>
                <c:pt idx="2">
                  <c:v>6.0000000000000331E-4</c:v>
                </c:pt>
                <c:pt idx="3">
                  <c:v>1.5000000000000013E-3</c:v>
                </c:pt>
                <c:pt idx="4">
                  <c:v>2.2999999999999965E-3</c:v>
                </c:pt>
                <c:pt idx="5">
                  <c:v>2.7999999999999969E-3</c:v>
                </c:pt>
                <c:pt idx="6">
                  <c:v>4.0000000000000036E-3</c:v>
                </c:pt>
                <c:pt idx="7">
                  <c:v>6.1999999999999972E-3</c:v>
                </c:pt>
                <c:pt idx="8">
                  <c:v>8.4000000000000047E-3</c:v>
                </c:pt>
                <c:pt idx="9">
                  <c:v>1.2999999999999998E-2</c:v>
                </c:pt>
                <c:pt idx="10">
                  <c:v>2.1000000000000005E-2</c:v>
                </c:pt>
                <c:pt idx="11">
                  <c:v>3.3700000000000008E-2</c:v>
                </c:pt>
                <c:pt idx="12">
                  <c:v>4.6800000000000008E-2</c:v>
                </c:pt>
                <c:pt idx="13">
                  <c:v>6.1700000000000005E-2</c:v>
                </c:pt>
                <c:pt idx="14">
                  <c:v>9.0299999999999991E-2</c:v>
                </c:pt>
                <c:pt idx="15">
                  <c:v>0.1258</c:v>
                </c:pt>
                <c:pt idx="16">
                  <c:v>0.16139999999999999</c:v>
                </c:pt>
                <c:pt idx="17">
                  <c:v>0.19309999999999999</c:v>
                </c:pt>
                <c:pt idx="18">
                  <c:v>0.24109999999999998</c:v>
                </c:pt>
                <c:pt idx="19">
                  <c:v>0.27</c:v>
                </c:pt>
                <c:pt idx="20">
                  <c:v>0.30759999999999998</c:v>
                </c:pt>
                <c:pt idx="21">
                  <c:v>0.3483</c:v>
                </c:pt>
                <c:pt idx="22">
                  <c:v>0.39200000000000002</c:v>
                </c:pt>
                <c:pt idx="23">
                  <c:v>0.42630000000000001</c:v>
                </c:pt>
                <c:pt idx="24">
                  <c:v>0.44730000000000003</c:v>
                </c:pt>
                <c:pt idx="25">
                  <c:v>0.46430000000000005</c:v>
                </c:pt>
                <c:pt idx="26">
                  <c:v>0.47670000000000001</c:v>
                </c:pt>
                <c:pt idx="27">
                  <c:v>0.48839999999999995</c:v>
                </c:pt>
                <c:pt idx="28">
                  <c:v>0.50549999999999995</c:v>
                </c:pt>
                <c:pt idx="29">
                  <c:v>0.49529999999999996</c:v>
                </c:pt>
                <c:pt idx="30">
                  <c:v>0.50509999999999999</c:v>
                </c:pt>
                <c:pt idx="31">
                  <c:v>0.50860000000000005</c:v>
                </c:pt>
                <c:pt idx="32">
                  <c:v>0.49480000000000002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A5B-B84F-9724-0F0BA43BD89A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Sheet6!$A$7:$A$39</c:f>
              <c:numCache>
                <c:formatCode>General</c:formatCode>
                <c:ptCount val="33"/>
                <c:pt idx="0">
                  <c:v>0.4757197222222222</c:v>
                </c:pt>
                <c:pt idx="1">
                  <c:v>0.7135488888888889</c:v>
                </c:pt>
                <c:pt idx="2">
                  <c:v>0.95137944444444444</c:v>
                </c:pt>
                <c:pt idx="3">
                  <c:v>1.1891449999999999</c:v>
                </c:pt>
                <c:pt idx="4">
                  <c:v>1.4269777777777777</c:v>
                </c:pt>
                <c:pt idx="5">
                  <c:v>1.6648077777777779</c:v>
                </c:pt>
                <c:pt idx="6">
                  <c:v>1.9025777777777777</c:v>
                </c:pt>
                <c:pt idx="7">
                  <c:v>2.1403772222222224</c:v>
                </c:pt>
                <c:pt idx="8">
                  <c:v>2.3782172222222222</c:v>
                </c:pt>
                <c:pt idx="9">
                  <c:v>2.6159794444444442</c:v>
                </c:pt>
                <c:pt idx="10">
                  <c:v>2.8537316666666666</c:v>
                </c:pt>
                <c:pt idx="11">
                  <c:v>3.0915727777777779</c:v>
                </c:pt>
                <c:pt idx="12">
                  <c:v>3.3293372222222222</c:v>
                </c:pt>
                <c:pt idx="13">
                  <c:v>3.5670933333333332</c:v>
                </c:pt>
                <c:pt idx="14">
                  <c:v>3.8049416666666671</c:v>
                </c:pt>
                <c:pt idx="15">
                  <c:v>4.0427038888888891</c:v>
                </c:pt>
                <c:pt idx="16">
                  <c:v>4.2804622222222228</c:v>
                </c:pt>
                <c:pt idx="17">
                  <c:v>4.5183066666666667</c:v>
                </c:pt>
                <c:pt idx="18">
                  <c:v>4.7560597222222221</c:v>
                </c:pt>
                <c:pt idx="19">
                  <c:v>4.9938205555555601</c:v>
                </c:pt>
                <c:pt idx="20">
                  <c:v>5.2316730555555555</c:v>
                </c:pt>
                <c:pt idx="21">
                  <c:v>5.4694311111111116</c:v>
                </c:pt>
                <c:pt idx="22">
                  <c:v>5.7071944444444451</c:v>
                </c:pt>
                <c:pt idx="23">
                  <c:v>5.9450247222222226</c:v>
                </c:pt>
                <c:pt idx="24">
                  <c:v>6.1827869444444445</c:v>
                </c:pt>
                <c:pt idx="25">
                  <c:v>6.4205563888888895</c:v>
                </c:pt>
                <c:pt idx="26">
                  <c:v>6.658389722222223</c:v>
                </c:pt>
                <c:pt idx="27">
                  <c:v>6.8961552777777779</c:v>
                </c:pt>
                <c:pt idx="28">
                  <c:v>7.1339474999999997</c:v>
                </c:pt>
                <c:pt idx="29">
                  <c:v>7.3717841666666661</c:v>
                </c:pt>
                <c:pt idx="30">
                  <c:v>7.609548055555555</c:v>
                </c:pt>
                <c:pt idx="31">
                  <c:v>7.8473716666666666</c:v>
                </c:pt>
                <c:pt idx="32">
                  <c:v>8.085210833333333</c:v>
                </c:pt>
              </c:numCache>
            </c:numRef>
          </c:xVal>
          <c:yVal>
            <c:numRef>
              <c:f>Sheet6!$J$7:$J$39</c:f>
              <c:numCache>
                <c:formatCode>General</c:formatCode>
                <c:ptCount val="33"/>
                <c:pt idx="0">
                  <c:v>0</c:v>
                </c:pt>
                <c:pt idx="1">
                  <c:v>3.5000000000000031E-3</c:v>
                </c:pt>
                <c:pt idx="2">
                  <c:v>9.5999999999999974E-3</c:v>
                </c:pt>
                <c:pt idx="3">
                  <c:v>1.4699999999999991E-2</c:v>
                </c:pt>
                <c:pt idx="4">
                  <c:v>2.1399999999999988E-2</c:v>
                </c:pt>
                <c:pt idx="5">
                  <c:v>2.7699999999999989E-2</c:v>
                </c:pt>
                <c:pt idx="6">
                  <c:v>4.4499999999999998E-2</c:v>
                </c:pt>
                <c:pt idx="7">
                  <c:v>6.2100000000000002E-2</c:v>
                </c:pt>
                <c:pt idx="8">
                  <c:v>8.5300000000000001E-2</c:v>
                </c:pt>
                <c:pt idx="9">
                  <c:v>0.1386</c:v>
                </c:pt>
                <c:pt idx="10">
                  <c:v>0.19119999999999998</c:v>
                </c:pt>
                <c:pt idx="11">
                  <c:v>0.25939999999999996</c:v>
                </c:pt>
                <c:pt idx="12">
                  <c:v>0.31140000000000001</c:v>
                </c:pt>
                <c:pt idx="13">
                  <c:v>0.32319999999999999</c:v>
                </c:pt>
                <c:pt idx="14">
                  <c:v>0.40699999999999997</c:v>
                </c:pt>
                <c:pt idx="15">
                  <c:v>0.48099999999999993</c:v>
                </c:pt>
                <c:pt idx="16">
                  <c:v>0.46329999999999999</c:v>
                </c:pt>
                <c:pt idx="17">
                  <c:v>0.53939999999999999</c:v>
                </c:pt>
                <c:pt idx="18">
                  <c:v>0.57390000000000008</c:v>
                </c:pt>
                <c:pt idx="19">
                  <c:v>0.51950000000000007</c:v>
                </c:pt>
                <c:pt idx="20">
                  <c:v>0.61030000000000006</c:v>
                </c:pt>
                <c:pt idx="21">
                  <c:v>0.61099999999999999</c:v>
                </c:pt>
                <c:pt idx="22">
                  <c:v>0.59560000000000002</c:v>
                </c:pt>
                <c:pt idx="23">
                  <c:v>0.62380000000000002</c:v>
                </c:pt>
                <c:pt idx="24">
                  <c:v>0.53670000000000007</c:v>
                </c:pt>
                <c:pt idx="25">
                  <c:v>0.58220000000000005</c:v>
                </c:pt>
                <c:pt idx="26">
                  <c:v>0.622</c:v>
                </c:pt>
                <c:pt idx="27">
                  <c:v>0.58720000000000006</c:v>
                </c:pt>
                <c:pt idx="28">
                  <c:v>0.55940000000000001</c:v>
                </c:pt>
                <c:pt idx="29">
                  <c:v>0.58579999999999999</c:v>
                </c:pt>
                <c:pt idx="30">
                  <c:v>0.56440000000000001</c:v>
                </c:pt>
                <c:pt idx="31">
                  <c:v>0.56000000000000005</c:v>
                </c:pt>
                <c:pt idx="32">
                  <c:v>0.4824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A5B-B84F-9724-0F0BA43BD8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9605504"/>
        <c:axId val="1848722848"/>
      </c:scatterChart>
      <c:valAx>
        <c:axId val="1849605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848722848"/>
        <c:crosses val="autoZero"/>
        <c:crossBetween val="midCat"/>
      </c:valAx>
      <c:valAx>
        <c:axId val="1848722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849605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Sheet6!$A$7:$A$39</c:f>
              <c:numCache>
                <c:formatCode>General</c:formatCode>
                <c:ptCount val="33"/>
                <c:pt idx="0">
                  <c:v>0.4757197222222222</c:v>
                </c:pt>
                <c:pt idx="1">
                  <c:v>0.7135488888888889</c:v>
                </c:pt>
                <c:pt idx="2">
                  <c:v>0.95137944444444444</c:v>
                </c:pt>
                <c:pt idx="3">
                  <c:v>1.1891449999999999</c:v>
                </c:pt>
                <c:pt idx="4">
                  <c:v>1.4269777777777777</c:v>
                </c:pt>
                <c:pt idx="5">
                  <c:v>1.6648077777777779</c:v>
                </c:pt>
                <c:pt idx="6">
                  <c:v>1.9025777777777777</c:v>
                </c:pt>
                <c:pt idx="7">
                  <c:v>2.1403772222222224</c:v>
                </c:pt>
                <c:pt idx="8">
                  <c:v>2.3782172222222222</c:v>
                </c:pt>
                <c:pt idx="9">
                  <c:v>2.6159794444444442</c:v>
                </c:pt>
                <c:pt idx="10">
                  <c:v>2.8537316666666666</c:v>
                </c:pt>
                <c:pt idx="11">
                  <c:v>3.0915727777777779</c:v>
                </c:pt>
                <c:pt idx="12">
                  <c:v>3.3293372222222222</c:v>
                </c:pt>
                <c:pt idx="13">
                  <c:v>3.5670933333333332</c:v>
                </c:pt>
                <c:pt idx="14">
                  <c:v>3.8049416666666671</c:v>
                </c:pt>
                <c:pt idx="15">
                  <c:v>4.0427038888888891</c:v>
                </c:pt>
                <c:pt idx="16">
                  <c:v>4.2804622222222228</c:v>
                </c:pt>
                <c:pt idx="17">
                  <c:v>4.5183066666666667</c:v>
                </c:pt>
                <c:pt idx="18">
                  <c:v>4.7560597222222221</c:v>
                </c:pt>
                <c:pt idx="19">
                  <c:v>4.9938205555555601</c:v>
                </c:pt>
                <c:pt idx="20">
                  <c:v>5.2316730555555555</c:v>
                </c:pt>
                <c:pt idx="21">
                  <c:v>5.4694311111111116</c:v>
                </c:pt>
                <c:pt idx="22">
                  <c:v>5.7071944444444451</c:v>
                </c:pt>
                <c:pt idx="23">
                  <c:v>5.9450247222222226</c:v>
                </c:pt>
                <c:pt idx="24">
                  <c:v>6.1827869444444445</c:v>
                </c:pt>
                <c:pt idx="25">
                  <c:v>6.4205563888888895</c:v>
                </c:pt>
                <c:pt idx="26">
                  <c:v>6.658389722222223</c:v>
                </c:pt>
                <c:pt idx="27">
                  <c:v>6.8961552777777779</c:v>
                </c:pt>
                <c:pt idx="28">
                  <c:v>7.1339474999999997</c:v>
                </c:pt>
                <c:pt idx="29">
                  <c:v>7.3717841666666661</c:v>
                </c:pt>
                <c:pt idx="30">
                  <c:v>7.609548055555555</c:v>
                </c:pt>
                <c:pt idx="31">
                  <c:v>7.8473716666666666</c:v>
                </c:pt>
                <c:pt idx="32">
                  <c:v>8.085210833333333</c:v>
                </c:pt>
              </c:numCache>
            </c:numRef>
          </c:xVal>
          <c:yVal>
            <c:numRef>
              <c:f>Sheet6!$AE$7:$AE$39</c:f>
              <c:numCache>
                <c:formatCode>General</c:formatCode>
                <c:ptCount val="33"/>
                <c:pt idx="0">
                  <c:v>1.0000000000000286E-4</c:v>
                </c:pt>
                <c:pt idx="1">
                  <c:v>2.7000000000000079E-3</c:v>
                </c:pt>
                <c:pt idx="2">
                  <c:v>7.6000000000000095E-3</c:v>
                </c:pt>
                <c:pt idx="3">
                  <c:v>1.4600000000000002E-2</c:v>
                </c:pt>
                <c:pt idx="4">
                  <c:v>1.7500000000000002E-2</c:v>
                </c:pt>
                <c:pt idx="5">
                  <c:v>1.9600000000000006E-2</c:v>
                </c:pt>
                <c:pt idx="6">
                  <c:v>3.1699999999999992E-2</c:v>
                </c:pt>
                <c:pt idx="7">
                  <c:v>4.2700000000000002E-2</c:v>
                </c:pt>
                <c:pt idx="8">
                  <c:v>5.0200000000000009E-2</c:v>
                </c:pt>
                <c:pt idx="9">
                  <c:v>7.6100000000000015E-2</c:v>
                </c:pt>
                <c:pt idx="10">
                  <c:v>0.10529999999999999</c:v>
                </c:pt>
                <c:pt idx="11">
                  <c:v>0.15590000000000004</c:v>
                </c:pt>
                <c:pt idx="12">
                  <c:v>0.193</c:v>
                </c:pt>
                <c:pt idx="13">
                  <c:v>0.2006</c:v>
                </c:pt>
                <c:pt idx="14">
                  <c:v>0.22410000000000002</c:v>
                </c:pt>
                <c:pt idx="15">
                  <c:v>0.25780000000000003</c:v>
                </c:pt>
                <c:pt idx="16">
                  <c:v>0.27729999999999999</c:v>
                </c:pt>
                <c:pt idx="17">
                  <c:v>0.30249999999999999</c:v>
                </c:pt>
                <c:pt idx="18">
                  <c:v>0.34</c:v>
                </c:pt>
                <c:pt idx="19">
                  <c:v>0.35630000000000001</c:v>
                </c:pt>
                <c:pt idx="20">
                  <c:v>0.36030000000000001</c:v>
                </c:pt>
                <c:pt idx="21">
                  <c:v>0.38</c:v>
                </c:pt>
                <c:pt idx="22">
                  <c:v>0.3906</c:v>
                </c:pt>
                <c:pt idx="23">
                  <c:v>0.40410000000000001</c:v>
                </c:pt>
                <c:pt idx="24">
                  <c:v>0.41259999999999997</c:v>
                </c:pt>
                <c:pt idx="25">
                  <c:v>0.42610000000000003</c:v>
                </c:pt>
                <c:pt idx="26">
                  <c:v>0.42500000000000004</c:v>
                </c:pt>
                <c:pt idx="27">
                  <c:v>0.4234</c:v>
                </c:pt>
                <c:pt idx="28">
                  <c:v>0.4304</c:v>
                </c:pt>
                <c:pt idx="29">
                  <c:v>0.43159999999999998</c:v>
                </c:pt>
                <c:pt idx="30">
                  <c:v>0.42220000000000002</c:v>
                </c:pt>
                <c:pt idx="31">
                  <c:v>0.42890000000000006</c:v>
                </c:pt>
                <c:pt idx="32">
                  <c:v>0.42090000000000005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D7-9841-BE60-47C2B1C909E0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Sheet6!$A$7:$A$39</c:f>
              <c:numCache>
                <c:formatCode>General</c:formatCode>
                <c:ptCount val="33"/>
                <c:pt idx="0">
                  <c:v>0.4757197222222222</c:v>
                </c:pt>
                <c:pt idx="1">
                  <c:v>0.7135488888888889</c:v>
                </c:pt>
                <c:pt idx="2">
                  <c:v>0.95137944444444444</c:v>
                </c:pt>
                <c:pt idx="3">
                  <c:v>1.1891449999999999</c:v>
                </c:pt>
                <c:pt idx="4">
                  <c:v>1.4269777777777777</c:v>
                </c:pt>
                <c:pt idx="5">
                  <c:v>1.6648077777777779</c:v>
                </c:pt>
                <c:pt idx="6">
                  <c:v>1.9025777777777777</c:v>
                </c:pt>
                <c:pt idx="7">
                  <c:v>2.1403772222222224</c:v>
                </c:pt>
                <c:pt idx="8">
                  <c:v>2.3782172222222222</c:v>
                </c:pt>
                <c:pt idx="9">
                  <c:v>2.6159794444444442</c:v>
                </c:pt>
                <c:pt idx="10">
                  <c:v>2.8537316666666666</c:v>
                </c:pt>
                <c:pt idx="11">
                  <c:v>3.0915727777777779</c:v>
                </c:pt>
                <c:pt idx="12">
                  <c:v>3.3293372222222222</c:v>
                </c:pt>
                <c:pt idx="13">
                  <c:v>3.5670933333333332</c:v>
                </c:pt>
                <c:pt idx="14">
                  <c:v>3.8049416666666671</c:v>
                </c:pt>
                <c:pt idx="15">
                  <c:v>4.0427038888888891</c:v>
                </c:pt>
                <c:pt idx="16">
                  <c:v>4.2804622222222228</c:v>
                </c:pt>
                <c:pt idx="17">
                  <c:v>4.5183066666666667</c:v>
                </c:pt>
                <c:pt idx="18">
                  <c:v>4.7560597222222221</c:v>
                </c:pt>
                <c:pt idx="19">
                  <c:v>4.9938205555555601</c:v>
                </c:pt>
                <c:pt idx="20">
                  <c:v>5.2316730555555555</c:v>
                </c:pt>
                <c:pt idx="21">
                  <c:v>5.4694311111111116</c:v>
                </c:pt>
                <c:pt idx="22">
                  <c:v>5.7071944444444451</c:v>
                </c:pt>
                <c:pt idx="23">
                  <c:v>5.9450247222222226</c:v>
                </c:pt>
                <c:pt idx="24">
                  <c:v>6.1827869444444445</c:v>
                </c:pt>
                <c:pt idx="25">
                  <c:v>6.4205563888888895</c:v>
                </c:pt>
                <c:pt idx="26">
                  <c:v>6.658389722222223</c:v>
                </c:pt>
                <c:pt idx="27">
                  <c:v>6.8961552777777779</c:v>
                </c:pt>
                <c:pt idx="28">
                  <c:v>7.1339474999999997</c:v>
                </c:pt>
                <c:pt idx="29">
                  <c:v>7.3717841666666661</c:v>
                </c:pt>
                <c:pt idx="30">
                  <c:v>7.609548055555555</c:v>
                </c:pt>
                <c:pt idx="31">
                  <c:v>7.8473716666666666</c:v>
                </c:pt>
                <c:pt idx="32">
                  <c:v>8.085210833333333</c:v>
                </c:pt>
              </c:numCache>
            </c:numRef>
          </c:xVal>
          <c:yVal>
            <c:numRef>
              <c:f>Sheet6!$AH$7:$AH$39</c:f>
              <c:numCache>
                <c:formatCode>General</c:formatCode>
                <c:ptCount val="33"/>
                <c:pt idx="0">
                  <c:v>0</c:v>
                </c:pt>
                <c:pt idx="1">
                  <c:v>2.3000000000000104E-3</c:v>
                </c:pt>
                <c:pt idx="2">
                  <c:v>6.9000000000000034E-3</c:v>
                </c:pt>
                <c:pt idx="3">
                  <c:v>1.3700000000000004E-2</c:v>
                </c:pt>
                <c:pt idx="4">
                  <c:v>1.84E-2</c:v>
                </c:pt>
                <c:pt idx="5">
                  <c:v>2.3000000000000007E-2</c:v>
                </c:pt>
                <c:pt idx="6">
                  <c:v>3.49E-2</c:v>
                </c:pt>
                <c:pt idx="7">
                  <c:v>5.1099999999999993E-2</c:v>
                </c:pt>
                <c:pt idx="8">
                  <c:v>6.5100000000000005E-2</c:v>
                </c:pt>
                <c:pt idx="9">
                  <c:v>9.9199999999999997E-2</c:v>
                </c:pt>
                <c:pt idx="10">
                  <c:v>0.14440000000000003</c:v>
                </c:pt>
                <c:pt idx="11">
                  <c:v>0.20990000000000003</c:v>
                </c:pt>
                <c:pt idx="12">
                  <c:v>0.2303</c:v>
                </c:pt>
                <c:pt idx="13">
                  <c:v>0.24770000000000003</c:v>
                </c:pt>
                <c:pt idx="14">
                  <c:v>0.28690000000000004</c:v>
                </c:pt>
                <c:pt idx="15">
                  <c:v>0.33310000000000001</c:v>
                </c:pt>
                <c:pt idx="16">
                  <c:v>0.36010000000000003</c:v>
                </c:pt>
                <c:pt idx="17">
                  <c:v>0.37920000000000004</c:v>
                </c:pt>
                <c:pt idx="18">
                  <c:v>0.41589999999999999</c:v>
                </c:pt>
                <c:pt idx="19">
                  <c:v>0.43509999999999999</c:v>
                </c:pt>
                <c:pt idx="20">
                  <c:v>0.438</c:v>
                </c:pt>
                <c:pt idx="21">
                  <c:v>0.45590000000000003</c:v>
                </c:pt>
                <c:pt idx="22">
                  <c:v>0.46539999999999998</c:v>
                </c:pt>
                <c:pt idx="23">
                  <c:v>0.47670000000000007</c:v>
                </c:pt>
                <c:pt idx="24">
                  <c:v>0.47520000000000001</c:v>
                </c:pt>
                <c:pt idx="25">
                  <c:v>0.47610000000000002</c:v>
                </c:pt>
                <c:pt idx="26">
                  <c:v>0.47539999999999999</c:v>
                </c:pt>
                <c:pt idx="27">
                  <c:v>0.46780000000000005</c:v>
                </c:pt>
                <c:pt idx="28">
                  <c:v>0.46780000000000005</c:v>
                </c:pt>
                <c:pt idx="29">
                  <c:v>0.46490000000000004</c:v>
                </c:pt>
                <c:pt idx="30">
                  <c:v>0.46139999999999998</c:v>
                </c:pt>
                <c:pt idx="31">
                  <c:v>0.45639999999999997</c:v>
                </c:pt>
                <c:pt idx="32">
                  <c:v>0.45160000000000006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D7-9841-BE60-47C2B1C909E0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Sheet6!$A$7:$A$39</c:f>
              <c:numCache>
                <c:formatCode>General</c:formatCode>
                <c:ptCount val="33"/>
                <c:pt idx="0">
                  <c:v>0.4757197222222222</c:v>
                </c:pt>
                <c:pt idx="1">
                  <c:v>0.7135488888888889</c:v>
                </c:pt>
                <c:pt idx="2">
                  <c:v>0.95137944444444444</c:v>
                </c:pt>
                <c:pt idx="3">
                  <c:v>1.1891449999999999</c:v>
                </c:pt>
                <c:pt idx="4">
                  <c:v>1.4269777777777777</c:v>
                </c:pt>
                <c:pt idx="5">
                  <c:v>1.6648077777777779</c:v>
                </c:pt>
                <c:pt idx="6">
                  <c:v>1.9025777777777777</c:v>
                </c:pt>
                <c:pt idx="7">
                  <c:v>2.1403772222222224</c:v>
                </c:pt>
                <c:pt idx="8">
                  <c:v>2.3782172222222222</c:v>
                </c:pt>
                <c:pt idx="9">
                  <c:v>2.6159794444444442</c:v>
                </c:pt>
                <c:pt idx="10">
                  <c:v>2.8537316666666666</c:v>
                </c:pt>
                <c:pt idx="11">
                  <c:v>3.0915727777777779</c:v>
                </c:pt>
                <c:pt idx="12">
                  <c:v>3.3293372222222222</c:v>
                </c:pt>
                <c:pt idx="13">
                  <c:v>3.5670933333333332</c:v>
                </c:pt>
                <c:pt idx="14">
                  <c:v>3.8049416666666671</c:v>
                </c:pt>
                <c:pt idx="15">
                  <c:v>4.0427038888888891</c:v>
                </c:pt>
                <c:pt idx="16">
                  <c:v>4.2804622222222228</c:v>
                </c:pt>
                <c:pt idx="17">
                  <c:v>4.5183066666666667</c:v>
                </c:pt>
                <c:pt idx="18">
                  <c:v>4.7560597222222221</c:v>
                </c:pt>
                <c:pt idx="19">
                  <c:v>4.9938205555555601</c:v>
                </c:pt>
                <c:pt idx="20">
                  <c:v>5.2316730555555555</c:v>
                </c:pt>
                <c:pt idx="21">
                  <c:v>5.4694311111111116</c:v>
                </c:pt>
                <c:pt idx="22">
                  <c:v>5.7071944444444451</c:v>
                </c:pt>
                <c:pt idx="23">
                  <c:v>5.9450247222222226</c:v>
                </c:pt>
                <c:pt idx="24">
                  <c:v>6.1827869444444445</c:v>
                </c:pt>
                <c:pt idx="25">
                  <c:v>6.4205563888888895</c:v>
                </c:pt>
                <c:pt idx="26">
                  <c:v>6.658389722222223</c:v>
                </c:pt>
                <c:pt idx="27">
                  <c:v>6.8961552777777779</c:v>
                </c:pt>
                <c:pt idx="28">
                  <c:v>7.1339474999999997</c:v>
                </c:pt>
                <c:pt idx="29">
                  <c:v>7.3717841666666661</c:v>
                </c:pt>
                <c:pt idx="30">
                  <c:v>7.609548055555555</c:v>
                </c:pt>
                <c:pt idx="31">
                  <c:v>7.8473716666666666</c:v>
                </c:pt>
                <c:pt idx="32">
                  <c:v>8.085210833333333</c:v>
                </c:pt>
              </c:numCache>
            </c:numRef>
          </c:xVal>
          <c:yVal>
            <c:numRef>
              <c:f>Sheet6!$AK$7:$AK$39</c:f>
              <c:numCache>
                <c:formatCode>General</c:formatCode>
                <c:ptCount val="33"/>
                <c:pt idx="0">
                  <c:v>0</c:v>
                </c:pt>
                <c:pt idx="1">
                  <c:v>2.6000000000000051E-3</c:v>
                </c:pt>
                <c:pt idx="2">
                  <c:v>7.6000000000000095E-3</c:v>
                </c:pt>
                <c:pt idx="3">
                  <c:v>1.440000000000001E-2</c:v>
                </c:pt>
                <c:pt idx="4">
                  <c:v>2.0600000000000007E-2</c:v>
                </c:pt>
                <c:pt idx="5">
                  <c:v>2.5600000000000012E-2</c:v>
                </c:pt>
                <c:pt idx="6">
                  <c:v>4.0300000000000002E-2</c:v>
                </c:pt>
                <c:pt idx="7">
                  <c:v>6.3299999999999995E-2</c:v>
                </c:pt>
                <c:pt idx="8">
                  <c:v>8.2600000000000007E-2</c:v>
                </c:pt>
                <c:pt idx="9">
                  <c:v>0.12840000000000001</c:v>
                </c:pt>
                <c:pt idx="10">
                  <c:v>0.19069999999999998</c:v>
                </c:pt>
                <c:pt idx="11">
                  <c:v>0.2359</c:v>
                </c:pt>
                <c:pt idx="12">
                  <c:v>0.28089999999999998</c:v>
                </c:pt>
                <c:pt idx="13">
                  <c:v>0.30809999999999998</c:v>
                </c:pt>
                <c:pt idx="14">
                  <c:v>0.35670000000000002</c:v>
                </c:pt>
                <c:pt idx="15">
                  <c:v>0.4083</c:v>
                </c:pt>
                <c:pt idx="16">
                  <c:v>0.43540000000000001</c:v>
                </c:pt>
                <c:pt idx="17">
                  <c:v>0.45450000000000002</c:v>
                </c:pt>
                <c:pt idx="18">
                  <c:v>0.48199999999999998</c:v>
                </c:pt>
                <c:pt idx="19">
                  <c:v>0.49690000000000001</c:v>
                </c:pt>
                <c:pt idx="20">
                  <c:v>0.50890000000000002</c:v>
                </c:pt>
                <c:pt idx="21">
                  <c:v>0.50860000000000005</c:v>
                </c:pt>
                <c:pt idx="22">
                  <c:v>0.51519999999999999</c:v>
                </c:pt>
                <c:pt idx="23">
                  <c:v>0.51160000000000005</c:v>
                </c:pt>
                <c:pt idx="24">
                  <c:v>0.52500000000000002</c:v>
                </c:pt>
                <c:pt idx="25">
                  <c:v>0.51229999999999998</c:v>
                </c:pt>
                <c:pt idx="26">
                  <c:v>0.50239999999999996</c:v>
                </c:pt>
                <c:pt idx="27">
                  <c:v>0.49919999999999998</c:v>
                </c:pt>
                <c:pt idx="28">
                  <c:v>0.4919</c:v>
                </c:pt>
                <c:pt idx="29">
                  <c:v>0.48329999999999995</c:v>
                </c:pt>
                <c:pt idx="30">
                  <c:v>0.4798</c:v>
                </c:pt>
                <c:pt idx="31">
                  <c:v>0.47699999999999998</c:v>
                </c:pt>
                <c:pt idx="32">
                  <c:v>0.47519999999999996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D7-9841-BE60-47C2B1C909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9658704"/>
        <c:axId val="1869831776"/>
      </c:scatterChart>
      <c:valAx>
        <c:axId val="1869658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869831776"/>
        <c:crosses val="autoZero"/>
        <c:crossBetween val="midCat"/>
      </c:valAx>
      <c:valAx>
        <c:axId val="186983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869658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Sheet6!$A$7:$A$39</c:f>
              <c:numCache>
                <c:formatCode>General</c:formatCode>
                <c:ptCount val="33"/>
                <c:pt idx="0">
                  <c:v>0.4757197222222222</c:v>
                </c:pt>
                <c:pt idx="1">
                  <c:v>0.7135488888888889</c:v>
                </c:pt>
                <c:pt idx="2">
                  <c:v>0.95137944444444444</c:v>
                </c:pt>
                <c:pt idx="3">
                  <c:v>1.1891449999999999</c:v>
                </c:pt>
                <c:pt idx="4">
                  <c:v>1.4269777777777777</c:v>
                </c:pt>
                <c:pt idx="5">
                  <c:v>1.6648077777777779</c:v>
                </c:pt>
                <c:pt idx="6">
                  <c:v>1.9025777777777777</c:v>
                </c:pt>
                <c:pt idx="7">
                  <c:v>2.1403772222222224</c:v>
                </c:pt>
                <c:pt idx="8">
                  <c:v>2.3782172222222222</c:v>
                </c:pt>
                <c:pt idx="9">
                  <c:v>2.6159794444444442</c:v>
                </c:pt>
                <c:pt idx="10">
                  <c:v>2.8537316666666666</c:v>
                </c:pt>
                <c:pt idx="11">
                  <c:v>3.0915727777777779</c:v>
                </c:pt>
                <c:pt idx="12">
                  <c:v>3.3293372222222222</c:v>
                </c:pt>
                <c:pt idx="13">
                  <c:v>3.5670933333333332</c:v>
                </c:pt>
                <c:pt idx="14">
                  <c:v>3.8049416666666671</c:v>
                </c:pt>
                <c:pt idx="15">
                  <c:v>4.0427038888888891</c:v>
                </c:pt>
                <c:pt idx="16">
                  <c:v>4.2804622222222228</c:v>
                </c:pt>
                <c:pt idx="17">
                  <c:v>4.5183066666666667</c:v>
                </c:pt>
                <c:pt idx="18">
                  <c:v>4.7560597222222221</c:v>
                </c:pt>
                <c:pt idx="19">
                  <c:v>4.9938205555555601</c:v>
                </c:pt>
                <c:pt idx="20">
                  <c:v>5.2316730555555555</c:v>
                </c:pt>
                <c:pt idx="21">
                  <c:v>5.4694311111111116</c:v>
                </c:pt>
                <c:pt idx="22">
                  <c:v>5.7071944444444451</c:v>
                </c:pt>
                <c:pt idx="23">
                  <c:v>5.9450247222222226</c:v>
                </c:pt>
                <c:pt idx="24">
                  <c:v>6.1827869444444445</c:v>
                </c:pt>
                <c:pt idx="25">
                  <c:v>6.4205563888888895</c:v>
                </c:pt>
                <c:pt idx="26">
                  <c:v>6.658389722222223</c:v>
                </c:pt>
                <c:pt idx="27">
                  <c:v>6.8961552777777779</c:v>
                </c:pt>
                <c:pt idx="28">
                  <c:v>7.1339474999999997</c:v>
                </c:pt>
                <c:pt idx="29">
                  <c:v>7.3717841666666661</c:v>
                </c:pt>
                <c:pt idx="30">
                  <c:v>7.609548055555555</c:v>
                </c:pt>
                <c:pt idx="31">
                  <c:v>7.8473716666666666</c:v>
                </c:pt>
                <c:pt idx="32">
                  <c:v>8.085210833333333</c:v>
                </c:pt>
              </c:numCache>
            </c:numRef>
          </c:xVal>
          <c:yVal>
            <c:numRef>
              <c:f>Sheet6!$AN$7:$AN$39</c:f>
              <c:numCache>
                <c:formatCode>General</c:formatCode>
                <c:ptCount val="33"/>
                <c:pt idx="0">
                  <c:v>8.0000000000000904E-4</c:v>
                </c:pt>
                <c:pt idx="1">
                  <c:v>2.1000000000000046E-3</c:v>
                </c:pt>
                <c:pt idx="2">
                  <c:v>6.4000000000000029E-3</c:v>
                </c:pt>
                <c:pt idx="3">
                  <c:v>1.2200000000000003E-2</c:v>
                </c:pt>
                <c:pt idx="4">
                  <c:v>1.4300000000000007E-2</c:v>
                </c:pt>
                <c:pt idx="5">
                  <c:v>1.6899999999999998E-2</c:v>
                </c:pt>
                <c:pt idx="6">
                  <c:v>2.7499999999999997E-2</c:v>
                </c:pt>
                <c:pt idx="7">
                  <c:v>3.9300000000000002E-2</c:v>
                </c:pt>
                <c:pt idx="8">
                  <c:v>4.5300000000000007E-2</c:v>
                </c:pt>
                <c:pt idx="9">
                  <c:v>7.2300000000000003E-2</c:v>
                </c:pt>
                <c:pt idx="10">
                  <c:v>9.9500000000000005E-2</c:v>
                </c:pt>
                <c:pt idx="11">
                  <c:v>0.1537</c:v>
                </c:pt>
                <c:pt idx="12">
                  <c:v>0.19409999999999999</c:v>
                </c:pt>
                <c:pt idx="13">
                  <c:v>0.20119999999999999</c:v>
                </c:pt>
                <c:pt idx="14">
                  <c:v>0.21660000000000001</c:v>
                </c:pt>
                <c:pt idx="15">
                  <c:v>0.24640000000000001</c:v>
                </c:pt>
                <c:pt idx="16">
                  <c:v>0.26819999999999999</c:v>
                </c:pt>
                <c:pt idx="17">
                  <c:v>0.28189999999999998</c:v>
                </c:pt>
                <c:pt idx="18">
                  <c:v>0.31790000000000002</c:v>
                </c:pt>
                <c:pt idx="19">
                  <c:v>0.33800000000000002</c:v>
                </c:pt>
                <c:pt idx="20">
                  <c:v>0.34139999999999998</c:v>
                </c:pt>
                <c:pt idx="21">
                  <c:v>0.36059999999999998</c:v>
                </c:pt>
                <c:pt idx="22">
                  <c:v>0.37269999999999998</c:v>
                </c:pt>
                <c:pt idx="23">
                  <c:v>0.38679999999999998</c:v>
                </c:pt>
                <c:pt idx="24">
                  <c:v>0.3987</c:v>
                </c:pt>
                <c:pt idx="25">
                  <c:v>0.40479999999999999</c:v>
                </c:pt>
                <c:pt idx="26">
                  <c:v>0.40660000000000002</c:v>
                </c:pt>
                <c:pt idx="27">
                  <c:v>0.40419999999999995</c:v>
                </c:pt>
                <c:pt idx="28">
                  <c:v>0.40599999999999997</c:v>
                </c:pt>
                <c:pt idx="29">
                  <c:v>0.40679999999999999</c:v>
                </c:pt>
                <c:pt idx="30">
                  <c:v>0.40530000000000005</c:v>
                </c:pt>
                <c:pt idx="31">
                  <c:v>0.40340000000000004</c:v>
                </c:pt>
                <c:pt idx="32">
                  <c:v>0.39740000000000003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BD-9E42-9071-7E4720E52991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Sheet6!$A$7:$A$39</c:f>
              <c:numCache>
                <c:formatCode>General</c:formatCode>
                <c:ptCount val="33"/>
                <c:pt idx="0">
                  <c:v>0.4757197222222222</c:v>
                </c:pt>
                <c:pt idx="1">
                  <c:v>0.7135488888888889</c:v>
                </c:pt>
                <c:pt idx="2">
                  <c:v>0.95137944444444444</c:v>
                </c:pt>
                <c:pt idx="3">
                  <c:v>1.1891449999999999</c:v>
                </c:pt>
                <c:pt idx="4">
                  <c:v>1.4269777777777777</c:v>
                </c:pt>
                <c:pt idx="5">
                  <c:v>1.6648077777777779</c:v>
                </c:pt>
                <c:pt idx="6">
                  <c:v>1.9025777777777777</c:v>
                </c:pt>
                <c:pt idx="7">
                  <c:v>2.1403772222222224</c:v>
                </c:pt>
                <c:pt idx="8">
                  <c:v>2.3782172222222222</c:v>
                </c:pt>
                <c:pt idx="9">
                  <c:v>2.6159794444444442</c:v>
                </c:pt>
                <c:pt idx="10">
                  <c:v>2.8537316666666666</c:v>
                </c:pt>
                <c:pt idx="11">
                  <c:v>3.0915727777777779</c:v>
                </c:pt>
                <c:pt idx="12">
                  <c:v>3.3293372222222222</c:v>
                </c:pt>
                <c:pt idx="13">
                  <c:v>3.5670933333333332</c:v>
                </c:pt>
                <c:pt idx="14">
                  <c:v>3.8049416666666671</c:v>
                </c:pt>
                <c:pt idx="15">
                  <c:v>4.0427038888888891</c:v>
                </c:pt>
                <c:pt idx="16">
                  <c:v>4.2804622222222228</c:v>
                </c:pt>
                <c:pt idx="17">
                  <c:v>4.5183066666666667</c:v>
                </c:pt>
                <c:pt idx="18">
                  <c:v>4.7560597222222221</c:v>
                </c:pt>
                <c:pt idx="19">
                  <c:v>4.9938205555555601</c:v>
                </c:pt>
                <c:pt idx="20">
                  <c:v>5.2316730555555555</c:v>
                </c:pt>
                <c:pt idx="21">
                  <c:v>5.4694311111111116</c:v>
                </c:pt>
                <c:pt idx="22">
                  <c:v>5.7071944444444451</c:v>
                </c:pt>
                <c:pt idx="23">
                  <c:v>5.9450247222222226</c:v>
                </c:pt>
                <c:pt idx="24">
                  <c:v>6.1827869444444445</c:v>
                </c:pt>
                <c:pt idx="25">
                  <c:v>6.4205563888888895</c:v>
                </c:pt>
                <c:pt idx="26">
                  <c:v>6.658389722222223</c:v>
                </c:pt>
                <c:pt idx="27">
                  <c:v>6.8961552777777779</c:v>
                </c:pt>
                <c:pt idx="28">
                  <c:v>7.1339474999999997</c:v>
                </c:pt>
                <c:pt idx="29">
                  <c:v>7.3717841666666661</c:v>
                </c:pt>
                <c:pt idx="30">
                  <c:v>7.609548055555555</c:v>
                </c:pt>
                <c:pt idx="31">
                  <c:v>7.8473716666666666</c:v>
                </c:pt>
                <c:pt idx="32">
                  <c:v>8.085210833333333</c:v>
                </c:pt>
              </c:numCache>
            </c:numRef>
          </c:xVal>
          <c:yVal>
            <c:numRef>
              <c:f>Sheet6!$AQ$7:$AQ$39</c:f>
              <c:numCache>
                <c:formatCode>General</c:formatCode>
                <c:ptCount val="33"/>
                <c:pt idx="0">
                  <c:v>0</c:v>
                </c:pt>
                <c:pt idx="1">
                  <c:v>2.2999999999999965E-3</c:v>
                </c:pt>
                <c:pt idx="2">
                  <c:v>6.5999999999999948E-3</c:v>
                </c:pt>
                <c:pt idx="3">
                  <c:v>1.2700000000000003E-2</c:v>
                </c:pt>
                <c:pt idx="4">
                  <c:v>1.7399999999999999E-2</c:v>
                </c:pt>
                <c:pt idx="5">
                  <c:v>2.0699999999999996E-2</c:v>
                </c:pt>
                <c:pt idx="6">
                  <c:v>3.4299999999999997E-2</c:v>
                </c:pt>
                <c:pt idx="7">
                  <c:v>4.8499999999999988E-2</c:v>
                </c:pt>
                <c:pt idx="8">
                  <c:v>6.0400000000000009E-2</c:v>
                </c:pt>
                <c:pt idx="9">
                  <c:v>9.2299999999999993E-2</c:v>
                </c:pt>
                <c:pt idx="10">
                  <c:v>0.13020000000000001</c:v>
                </c:pt>
                <c:pt idx="11">
                  <c:v>0.19920000000000002</c:v>
                </c:pt>
                <c:pt idx="12">
                  <c:v>0.21740000000000001</c:v>
                </c:pt>
                <c:pt idx="13">
                  <c:v>0.23219999999999999</c:v>
                </c:pt>
                <c:pt idx="14">
                  <c:v>0.26859999999999995</c:v>
                </c:pt>
                <c:pt idx="15">
                  <c:v>0.31510000000000005</c:v>
                </c:pt>
                <c:pt idx="16">
                  <c:v>0.33950000000000002</c:v>
                </c:pt>
                <c:pt idx="17">
                  <c:v>0.36409999999999998</c:v>
                </c:pt>
                <c:pt idx="18">
                  <c:v>0.39980000000000004</c:v>
                </c:pt>
                <c:pt idx="19">
                  <c:v>0.41910000000000003</c:v>
                </c:pt>
                <c:pt idx="20">
                  <c:v>0.42490000000000006</c:v>
                </c:pt>
                <c:pt idx="21">
                  <c:v>0.44390000000000007</c:v>
                </c:pt>
                <c:pt idx="22">
                  <c:v>0.45340000000000003</c:v>
                </c:pt>
                <c:pt idx="23">
                  <c:v>0.46879999999999999</c:v>
                </c:pt>
                <c:pt idx="24">
                  <c:v>0.47040000000000004</c:v>
                </c:pt>
                <c:pt idx="25">
                  <c:v>0.47399999999999998</c:v>
                </c:pt>
                <c:pt idx="26">
                  <c:v>0.47840000000000005</c:v>
                </c:pt>
                <c:pt idx="27">
                  <c:v>0.46889999999999998</c:v>
                </c:pt>
                <c:pt idx="28">
                  <c:v>0.47010000000000007</c:v>
                </c:pt>
                <c:pt idx="29">
                  <c:v>0.46720000000000006</c:v>
                </c:pt>
                <c:pt idx="30">
                  <c:v>0.46179999999999999</c:v>
                </c:pt>
                <c:pt idx="31">
                  <c:v>0.45760000000000001</c:v>
                </c:pt>
                <c:pt idx="32">
                  <c:v>0.45379999999999998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BD-9E42-9071-7E4720E52991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Sheet6!$A$7:$A$39</c:f>
              <c:numCache>
                <c:formatCode>General</c:formatCode>
                <c:ptCount val="33"/>
                <c:pt idx="0">
                  <c:v>0.4757197222222222</c:v>
                </c:pt>
                <c:pt idx="1">
                  <c:v>0.7135488888888889</c:v>
                </c:pt>
                <c:pt idx="2">
                  <c:v>0.95137944444444444</c:v>
                </c:pt>
                <c:pt idx="3">
                  <c:v>1.1891449999999999</c:v>
                </c:pt>
                <c:pt idx="4">
                  <c:v>1.4269777777777777</c:v>
                </c:pt>
                <c:pt idx="5">
                  <c:v>1.6648077777777779</c:v>
                </c:pt>
                <c:pt idx="6">
                  <c:v>1.9025777777777777</c:v>
                </c:pt>
                <c:pt idx="7">
                  <c:v>2.1403772222222224</c:v>
                </c:pt>
                <c:pt idx="8">
                  <c:v>2.3782172222222222</c:v>
                </c:pt>
                <c:pt idx="9">
                  <c:v>2.6159794444444442</c:v>
                </c:pt>
                <c:pt idx="10">
                  <c:v>2.8537316666666666</c:v>
                </c:pt>
                <c:pt idx="11">
                  <c:v>3.0915727777777779</c:v>
                </c:pt>
                <c:pt idx="12">
                  <c:v>3.3293372222222222</c:v>
                </c:pt>
                <c:pt idx="13">
                  <c:v>3.5670933333333332</c:v>
                </c:pt>
                <c:pt idx="14">
                  <c:v>3.8049416666666671</c:v>
                </c:pt>
                <c:pt idx="15">
                  <c:v>4.0427038888888891</c:v>
                </c:pt>
                <c:pt idx="16">
                  <c:v>4.2804622222222228</c:v>
                </c:pt>
                <c:pt idx="17">
                  <c:v>4.5183066666666667</c:v>
                </c:pt>
                <c:pt idx="18">
                  <c:v>4.7560597222222221</c:v>
                </c:pt>
                <c:pt idx="19">
                  <c:v>4.9938205555555601</c:v>
                </c:pt>
                <c:pt idx="20">
                  <c:v>5.2316730555555555</c:v>
                </c:pt>
                <c:pt idx="21">
                  <c:v>5.4694311111111116</c:v>
                </c:pt>
                <c:pt idx="22">
                  <c:v>5.7071944444444451</c:v>
                </c:pt>
                <c:pt idx="23">
                  <c:v>5.9450247222222226</c:v>
                </c:pt>
                <c:pt idx="24">
                  <c:v>6.1827869444444445</c:v>
                </c:pt>
                <c:pt idx="25">
                  <c:v>6.4205563888888895</c:v>
                </c:pt>
                <c:pt idx="26">
                  <c:v>6.658389722222223</c:v>
                </c:pt>
                <c:pt idx="27">
                  <c:v>6.8961552777777779</c:v>
                </c:pt>
                <c:pt idx="28">
                  <c:v>7.1339474999999997</c:v>
                </c:pt>
                <c:pt idx="29">
                  <c:v>7.3717841666666661</c:v>
                </c:pt>
                <c:pt idx="30">
                  <c:v>7.609548055555555</c:v>
                </c:pt>
                <c:pt idx="31">
                  <c:v>7.8473716666666666</c:v>
                </c:pt>
                <c:pt idx="32">
                  <c:v>8.085210833333333</c:v>
                </c:pt>
              </c:numCache>
            </c:numRef>
          </c:xVal>
          <c:yVal>
            <c:numRef>
              <c:f>Sheet6!$AT$7:$AT$39</c:f>
              <c:numCache>
                <c:formatCode>General</c:formatCode>
                <c:ptCount val="33"/>
                <c:pt idx="0">
                  <c:v>0</c:v>
                </c:pt>
                <c:pt idx="1">
                  <c:v>2.7999999999999969E-3</c:v>
                </c:pt>
                <c:pt idx="2">
                  <c:v>7.8000000000000014E-3</c:v>
                </c:pt>
                <c:pt idx="3">
                  <c:v>1.4799999999999994E-2</c:v>
                </c:pt>
                <c:pt idx="4">
                  <c:v>2.0099999999999993E-2</c:v>
                </c:pt>
                <c:pt idx="5">
                  <c:v>2.5199999999999986E-2</c:v>
                </c:pt>
                <c:pt idx="6">
                  <c:v>3.8699999999999998E-2</c:v>
                </c:pt>
                <c:pt idx="7">
                  <c:v>6.0800000000000007E-2</c:v>
                </c:pt>
                <c:pt idx="8">
                  <c:v>7.9299999999999995E-2</c:v>
                </c:pt>
                <c:pt idx="9">
                  <c:v>0.12480000000000001</c:v>
                </c:pt>
                <c:pt idx="10">
                  <c:v>0.18390000000000001</c:v>
                </c:pt>
                <c:pt idx="11">
                  <c:v>0.22869999999999996</c:v>
                </c:pt>
                <c:pt idx="12">
                  <c:v>0.27459999999999996</c:v>
                </c:pt>
                <c:pt idx="13">
                  <c:v>0.30179999999999996</c:v>
                </c:pt>
                <c:pt idx="14">
                  <c:v>0.35069999999999996</c:v>
                </c:pt>
                <c:pt idx="15">
                  <c:v>0.40700000000000003</c:v>
                </c:pt>
                <c:pt idx="16">
                  <c:v>0.43389999999999995</c:v>
                </c:pt>
                <c:pt idx="17">
                  <c:v>0.45279999999999998</c:v>
                </c:pt>
                <c:pt idx="18">
                  <c:v>0.48649999999999993</c:v>
                </c:pt>
                <c:pt idx="19">
                  <c:v>0.49690000000000001</c:v>
                </c:pt>
                <c:pt idx="20">
                  <c:v>0.51119999999999999</c:v>
                </c:pt>
                <c:pt idx="21">
                  <c:v>0.51080000000000003</c:v>
                </c:pt>
                <c:pt idx="22">
                  <c:v>0.51900000000000002</c:v>
                </c:pt>
                <c:pt idx="23">
                  <c:v>0.52300000000000002</c:v>
                </c:pt>
                <c:pt idx="24">
                  <c:v>0.51869999999999994</c:v>
                </c:pt>
                <c:pt idx="25">
                  <c:v>0.52459999999999996</c:v>
                </c:pt>
                <c:pt idx="26">
                  <c:v>0.52029999999999998</c:v>
                </c:pt>
                <c:pt idx="27">
                  <c:v>0.51</c:v>
                </c:pt>
                <c:pt idx="28">
                  <c:v>0.50459999999999994</c:v>
                </c:pt>
                <c:pt idx="29">
                  <c:v>0.50070000000000003</c:v>
                </c:pt>
                <c:pt idx="30">
                  <c:v>0.48980000000000001</c:v>
                </c:pt>
                <c:pt idx="31">
                  <c:v>0.49039999999999995</c:v>
                </c:pt>
                <c:pt idx="32">
                  <c:v>0.48749999999999993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BD-9E42-9071-7E4720E529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9858160"/>
        <c:axId val="1869859872"/>
      </c:scatterChart>
      <c:valAx>
        <c:axId val="1869858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869859872"/>
        <c:crosses val="autoZero"/>
        <c:crossBetween val="midCat"/>
      </c:valAx>
      <c:valAx>
        <c:axId val="186985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869858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Sheet6!$A$7:$A$39</c:f>
              <c:numCache>
                <c:formatCode>General</c:formatCode>
                <c:ptCount val="33"/>
                <c:pt idx="0">
                  <c:v>0.4757197222222222</c:v>
                </c:pt>
                <c:pt idx="1">
                  <c:v>0.7135488888888889</c:v>
                </c:pt>
                <c:pt idx="2">
                  <c:v>0.95137944444444444</c:v>
                </c:pt>
                <c:pt idx="3">
                  <c:v>1.1891449999999999</c:v>
                </c:pt>
                <c:pt idx="4">
                  <c:v>1.4269777777777777</c:v>
                </c:pt>
                <c:pt idx="5">
                  <c:v>1.6648077777777779</c:v>
                </c:pt>
                <c:pt idx="6">
                  <c:v>1.9025777777777777</c:v>
                </c:pt>
                <c:pt idx="7">
                  <c:v>2.1403772222222224</c:v>
                </c:pt>
                <c:pt idx="8">
                  <c:v>2.3782172222222222</c:v>
                </c:pt>
                <c:pt idx="9">
                  <c:v>2.6159794444444442</c:v>
                </c:pt>
                <c:pt idx="10">
                  <c:v>2.8537316666666666</c:v>
                </c:pt>
                <c:pt idx="11">
                  <c:v>3.0915727777777779</c:v>
                </c:pt>
                <c:pt idx="12">
                  <c:v>3.3293372222222222</c:v>
                </c:pt>
                <c:pt idx="13">
                  <c:v>3.5670933333333332</c:v>
                </c:pt>
                <c:pt idx="14">
                  <c:v>3.8049416666666671</c:v>
                </c:pt>
                <c:pt idx="15">
                  <c:v>4.0427038888888891</c:v>
                </c:pt>
                <c:pt idx="16">
                  <c:v>4.2804622222222228</c:v>
                </c:pt>
                <c:pt idx="17">
                  <c:v>4.5183066666666667</c:v>
                </c:pt>
                <c:pt idx="18">
                  <c:v>4.7560597222222221</c:v>
                </c:pt>
                <c:pt idx="19">
                  <c:v>4.9938205555555601</c:v>
                </c:pt>
                <c:pt idx="20">
                  <c:v>5.2316730555555555</c:v>
                </c:pt>
                <c:pt idx="21">
                  <c:v>5.4694311111111116</c:v>
                </c:pt>
                <c:pt idx="22">
                  <c:v>5.7071944444444451</c:v>
                </c:pt>
                <c:pt idx="23">
                  <c:v>5.9450247222222226</c:v>
                </c:pt>
                <c:pt idx="24">
                  <c:v>6.1827869444444445</c:v>
                </c:pt>
                <c:pt idx="25">
                  <c:v>6.4205563888888895</c:v>
                </c:pt>
                <c:pt idx="26">
                  <c:v>6.658389722222223</c:v>
                </c:pt>
                <c:pt idx="27">
                  <c:v>6.8961552777777779</c:v>
                </c:pt>
                <c:pt idx="28">
                  <c:v>7.1339474999999997</c:v>
                </c:pt>
                <c:pt idx="29">
                  <c:v>7.3717841666666661</c:v>
                </c:pt>
                <c:pt idx="30">
                  <c:v>7.609548055555555</c:v>
                </c:pt>
                <c:pt idx="31">
                  <c:v>7.8473716666666666</c:v>
                </c:pt>
                <c:pt idx="32">
                  <c:v>8.085210833333333</c:v>
                </c:pt>
              </c:numCache>
            </c:numRef>
          </c:xVal>
          <c:yVal>
            <c:numRef>
              <c:f>Sheet6!$AW$7:$AW$39</c:f>
              <c:numCache>
                <c:formatCode>General</c:formatCode>
                <c:ptCount val="33"/>
                <c:pt idx="0">
                  <c:v>6.0000000000000331E-4</c:v>
                </c:pt>
                <c:pt idx="1">
                  <c:v>4.2000000000000093E-3</c:v>
                </c:pt>
                <c:pt idx="2">
                  <c:v>1.0700000000000001E-2</c:v>
                </c:pt>
                <c:pt idx="3">
                  <c:v>1.960000000000002E-2</c:v>
                </c:pt>
                <c:pt idx="4">
                  <c:v>2.5099999999999997E-2</c:v>
                </c:pt>
                <c:pt idx="5">
                  <c:v>2.8899999999999995E-2</c:v>
                </c:pt>
                <c:pt idx="6">
                  <c:v>4.4100000000000014E-2</c:v>
                </c:pt>
                <c:pt idx="7">
                  <c:v>6.0100000000000001E-2</c:v>
                </c:pt>
                <c:pt idx="8">
                  <c:v>7.2800000000000017E-2</c:v>
                </c:pt>
                <c:pt idx="9">
                  <c:v>0.1065</c:v>
                </c:pt>
                <c:pt idx="10">
                  <c:v>0.14410000000000001</c:v>
                </c:pt>
                <c:pt idx="11">
                  <c:v>0.1991</c:v>
                </c:pt>
                <c:pt idx="12">
                  <c:v>0.21289999999999998</c:v>
                </c:pt>
                <c:pt idx="13">
                  <c:v>0.22589999999999999</c:v>
                </c:pt>
                <c:pt idx="14">
                  <c:v>0.25219999999999998</c:v>
                </c:pt>
                <c:pt idx="15">
                  <c:v>0.28649999999999998</c:v>
                </c:pt>
                <c:pt idx="16">
                  <c:v>0.30659999999999998</c:v>
                </c:pt>
                <c:pt idx="17">
                  <c:v>0.32240000000000002</c:v>
                </c:pt>
                <c:pt idx="18">
                  <c:v>0.35289999999999999</c:v>
                </c:pt>
                <c:pt idx="19">
                  <c:v>0.3639</c:v>
                </c:pt>
                <c:pt idx="20">
                  <c:v>0.38159999999999999</c:v>
                </c:pt>
                <c:pt idx="21">
                  <c:v>0.38079999999999997</c:v>
                </c:pt>
                <c:pt idx="22">
                  <c:v>0.40919999999999995</c:v>
                </c:pt>
                <c:pt idx="23">
                  <c:v>0.41399999999999998</c:v>
                </c:pt>
                <c:pt idx="24">
                  <c:v>0.40840000000000004</c:v>
                </c:pt>
                <c:pt idx="25">
                  <c:v>0.43260000000000004</c:v>
                </c:pt>
                <c:pt idx="26">
                  <c:v>0.42670000000000002</c:v>
                </c:pt>
                <c:pt idx="27">
                  <c:v>0.40479999999999999</c:v>
                </c:pt>
                <c:pt idx="28">
                  <c:v>0.40809999999999996</c:v>
                </c:pt>
                <c:pt idx="29">
                  <c:v>0.40499999999999997</c:v>
                </c:pt>
                <c:pt idx="30">
                  <c:v>0.40670000000000001</c:v>
                </c:pt>
                <c:pt idx="31">
                  <c:v>0.3977</c:v>
                </c:pt>
                <c:pt idx="32">
                  <c:v>0.40119999999999995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3A-0F4F-86BF-48F6D3D5B0F8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Sheet6!$A$7:$A$39</c:f>
              <c:numCache>
                <c:formatCode>General</c:formatCode>
                <c:ptCount val="33"/>
                <c:pt idx="0">
                  <c:v>0.4757197222222222</c:v>
                </c:pt>
                <c:pt idx="1">
                  <c:v>0.7135488888888889</c:v>
                </c:pt>
                <c:pt idx="2">
                  <c:v>0.95137944444444444</c:v>
                </c:pt>
                <c:pt idx="3">
                  <c:v>1.1891449999999999</c:v>
                </c:pt>
                <c:pt idx="4">
                  <c:v>1.4269777777777777</c:v>
                </c:pt>
                <c:pt idx="5">
                  <c:v>1.6648077777777779</c:v>
                </c:pt>
                <c:pt idx="6">
                  <c:v>1.9025777777777777</c:v>
                </c:pt>
                <c:pt idx="7">
                  <c:v>2.1403772222222224</c:v>
                </c:pt>
                <c:pt idx="8">
                  <c:v>2.3782172222222222</c:v>
                </c:pt>
                <c:pt idx="9">
                  <c:v>2.6159794444444442</c:v>
                </c:pt>
                <c:pt idx="10">
                  <c:v>2.8537316666666666</c:v>
                </c:pt>
                <c:pt idx="11">
                  <c:v>3.0915727777777779</c:v>
                </c:pt>
                <c:pt idx="12">
                  <c:v>3.3293372222222222</c:v>
                </c:pt>
                <c:pt idx="13">
                  <c:v>3.5670933333333332</c:v>
                </c:pt>
                <c:pt idx="14">
                  <c:v>3.8049416666666671</c:v>
                </c:pt>
                <c:pt idx="15">
                  <c:v>4.0427038888888891</c:v>
                </c:pt>
                <c:pt idx="16">
                  <c:v>4.2804622222222228</c:v>
                </c:pt>
                <c:pt idx="17">
                  <c:v>4.5183066666666667</c:v>
                </c:pt>
                <c:pt idx="18">
                  <c:v>4.7560597222222221</c:v>
                </c:pt>
                <c:pt idx="19">
                  <c:v>4.9938205555555601</c:v>
                </c:pt>
                <c:pt idx="20">
                  <c:v>5.2316730555555555</c:v>
                </c:pt>
                <c:pt idx="21">
                  <c:v>5.4694311111111116</c:v>
                </c:pt>
                <c:pt idx="22">
                  <c:v>5.7071944444444451</c:v>
                </c:pt>
                <c:pt idx="23">
                  <c:v>5.9450247222222226</c:v>
                </c:pt>
                <c:pt idx="24">
                  <c:v>6.1827869444444445</c:v>
                </c:pt>
                <c:pt idx="25">
                  <c:v>6.4205563888888895</c:v>
                </c:pt>
                <c:pt idx="26">
                  <c:v>6.658389722222223</c:v>
                </c:pt>
                <c:pt idx="27">
                  <c:v>6.8961552777777779</c:v>
                </c:pt>
                <c:pt idx="28">
                  <c:v>7.1339474999999997</c:v>
                </c:pt>
                <c:pt idx="29">
                  <c:v>7.3717841666666661</c:v>
                </c:pt>
                <c:pt idx="30">
                  <c:v>7.609548055555555</c:v>
                </c:pt>
                <c:pt idx="31">
                  <c:v>7.8473716666666666</c:v>
                </c:pt>
                <c:pt idx="32">
                  <c:v>8.085210833333333</c:v>
                </c:pt>
              </c:numCache>
            </c:numRef>
          </c:xVal>
          <c:yVal>
            <c:numRef>
              <c:f>Sheet6!$AZ$7:$AZ$39</c:f>
              <c:numCache>
                <c:formatCode>General</c:formatCode>
                <c:ptCount val="33"/>
                <c:pt idx="0">
                  <c:v>0</c:v>
                </c:pt>
                <c:pt idx="1">
                  <c:v>2.6999999999999941E-3</c:v>
                </c:pt>
                <c:pt idx="2">
                  <c:v>8.3000000000000018E-3</c:v>
                </c:pt>
                <c:pt idx="3">
                  <c:v>1.6E-2</c:v>
                </c:pt>
                <c:pt idx="4">
                  <c:v>2.2900000000000004E-2</c:v>
                </c:pt>
                <c:pt idx="5">
                  <c:v>2.7100000000000013E-2</c:v>
                </c:pt>
                <c:pt idx="6">
                  <c:v>4.4300000000000006E-2</c:v>
                </c:pt>
                <c:pt idx="7">
                  <c:v>6.1799999999999994E-2</c:v>
                </c:pt>
                <c:pt idx="8">
                  <c:v>7.7300000000000008E-2</c:v>
                </c:pt>
                <c:pt idx="9">
                  <c:v>0.11660000000000001</c:v>
                </c:pt>
                <c:pt idx="10">
                  <c:v>0.16309999999999999</c:v>
                </c:pt>
                <c:pt idx="11">
                  <c:v>0.21509999999999999</c:v>
                </c:pt>
                <c:pt idx="12">
                  <c:v>0.24100000000000002</c:v>
                </c:pt>
                <c:pt idx="13">
                  <c:v>0.25800000000000001</c:v>
                </c:pt>
                <c:pt idx="14">
                  <c:v>0.29649999999999999</c:v>
                </c:pt>
                <c:pt idx="15">
                  <c:v>0.34119999999999995</c:v>
                </c:pt>
                <c:pt idx="16">
                  <c:v>0.36419999999999997</c:v>
                </c:pt>
                <c:pt idx="17">
                  <c:v>0.38419999999999999</c:v>
                </c:pt>
                <c:pt idx="18">
                  <c:v>0.41859999999999997</c:v>
                </c:pt>
                <c:pt idx="19">
                  <c:v>0.43459999999999999</c:v>
                </c:pt>
                <c:pt idx="20">
                  <c:v>0.44159999999999999</c:v>
                </c:pt>
                <c:pt idx="21">
                  <c:v>0.45650000000000002</c:v>
                </c:pt>
                <c:pt idx="22">
                  <c:v>0.46700000000000008</c:v>
                </c:pt>
                <c:pt idx="23">
                  <c:v>0.48220000000000007</c:v>
                </c:pt>
                <c:pt idx="24">
                  <c:v>0.47920000000000007</c:v>
                </c:pt>
                <c:pt idx="25">
                  <c:v>0.48580000000000001</c:v>
                </c:pt>
                <c:pt idx="26">
                  <c:v>0.4889</c:v>
                </c:pt>
                <c:pt idx="27">
                  <c:v>0.47389999999999999</c:v>
                </c:pt>
                <c:pt idx="28">
                  <c:v>0.47510000000000008</c:v>
                </c:pt>
                <c:pt idx="29">
                  <c:v>0.47199999999999998</c:v>
                </c:pt>
                <c:pt idx="30">
                  <c:v>0.46930000000000005</c:v>
                </c:pt>
                <c:pt idx="31">
                  <c:v>0.46189999999999998</c:v>
                </c:pt>
                <c:pt idx="32">
                  <c:v>0.46100000000000008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3A-0F4F-86BF-48F6D3D5B0F8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Sheet6!$A$7:$A$39</c:f>
              <c:numCache>
                <c:formatCode>General</c:formatCode>
                <c:ptCount val="33"/>
                <c:pt idx="0">
                  <c:v>0.4757197222222222</c:v>
                </c:pt>
                <c:pt idx="1">
                  <c:v>0.7135488888888889</c:v>
                </c:pt>
                <c:pt idx="2">
                  <c:v>0.95137944444444444</c:v>
                </c:pt>
                <c:pt idx="3">
                  <c:v>1.1891449999999999</c:v>
                </c:pt>
                <c:pt idx="4">
                  <c:v>1.4269777777777777</c:v>
                </c:pt>
                <c:pt idx="5">
                  <c:v>1.6648077777777779</c:v>
                </c:pt>
                <c:pt idx="6">
                  <c:v>1.9025777777777777</c:v>
                </c:pt>
                <c:pt idx="7">
                  <c:v>2.1403772222222224</c:v>
                </c:pt>
                <c:pt idx="8">
                  <c:v>2.3782172222222222</c:v>
                </c:pt>
                <c:pt idx="9">
                  <c:v>2.6159794444444442</c:v>
                </c:pt>
                <c:pt idx="10">
                  <c:v>2.8537316666666666</c:v>
                </c:pt>
                <c:pt idx="11">
                  <c:v>3.0915727777777779</c:v>
                </c:pt>
                <c:pt idx="12">
                  <c:v>3.3293372222222222</c:v>
                </c:pt>
                <c:pt idx="13">
                  <c:v>3.5670933333333332</c:v>
                </c:pt>
                <c:pt idx="14">
                  <c:v>3.8049416666666671</c:v>
                </c:pt>
                <c:pt idx="15">
                  <c:v>4.0427038888888891</c:v>
                </c:pt>
                <c:pt idx="16">
                  <c:v>4.2804622222222228</c:v>
                </c:pt>
                <c:pt idx="17">
                  <c:v>4.5183066666666667</c:v>
                </c:pt>
                <c:pt idx="18">
                  <c:v>4.7560597222222221</c:v>
                </c:pt>
                <c:pt idx="19">
                  <c:v>4.9938205555555601</c:v>
                </c:pt>
                <c:pt idx="20">
                  <c:v>5.2316730555555555</c:v>
                </c:pt>
                <c:pt idx="21">
                  <c:v>5.4694311111111116</c:v>
                </c:pt>
                <c:pt idx="22">
                  <c:v>5.7071944444444451</c:v>
                </c:pt>
                <c:pt idx="23">
                  <c:v>5.9450247222222226</c:v>
                </c:pt>
                <c:pt idx="24">
                  <c:v>6.1827869444444445</c:v>
                </c:pt>
                <c:pt idx="25">
                  <c:v>6.4205563888888895</c:v>
                </c:pt>
                <c:pt idx="26">
                  <c:v>6.658389722222223</c:v>
                </c:pt>
                <c:pt idx="27">
                  <c:v>6.8961552777777779</c:v>
                </c:pt>
                <c:pt idx="28">
                  <c:v>7.1339474999999997</c:v>
                </c:pt>
                <c:pt idx="29">
                  <c:v>7.3717841666666661</c:v>
                </c:pt>
                <c:pt idx="30">
                  <c:v>7.609548055555555</c:v>
                </c:pt>
                <c:pt idx="31">
                  <c:v>7.8473716666666666</c:v>
                </c:pt>
                <c:pt idx="32">
                  <c:v>8.085210833333333</c:v>
                </c:pt>
              </c:numCache>
            </c:numRef>
          </c:xVal>
          <c:yVal>
            <c:numRef>
              <c:f>Sheet6!$BC$7:$BC$39</c:f>
              <c:numCache>
                <c:formatCode>General</c:formatCode>
                <c:ptCount val="33"/>
                <c:pt idx="0">
                  <c:v>0</c:v>
                </c:pt>
                <c:pt idx="1">
                  <c:v>1.9999999999999879E-3</c:v>
                </c:pt>
                <c:pt idx="2">
                  <c:v>6.9000000000000034E-3</c:v>
                </c:pt>
                <c:pt idx="3">
                  <c:v>1.4599999999999988E-2</c:v>
                </c:pt>
                <c:pt idx="4">
                  <c:v>2.0399999999999988E-2</c:v>
                </c:pt>
                <c:pt idx="5">
                  <c:v>2.7300000000000005E-2</c:v>
                </c:pt>
                <c:pt idx="6">
                  <c:v>4.8899999999999985E-2</c:v>
                </c:pt>
                <c:pt idx="7">
                  <c:v>8.2099999999999992E-2</c:v>
                </c:pt>
                <c:pt idx="8">
                  <c:v>0.1082</c:v>
                </c:pt>
                <c:pt idx="9">
                  <c:v>0.1724</c:v>
                </c:pt>
                <c:pt idx="10">
                  <c:v>0.20779999999999998</c:v>
                </c:pt>
                <c:pt idx="11">
                  <c:v>0.2722</c:v>
                </c:pt>
                <c:pt idx="12">
                  <c:v>0.33179999999999998</c:v>
                </c:pt>
                <c:pt idx="13">
                  <c:v>0.3669</c:v>
                </c:pt>
                <c:pt idx="14">
                  <c:v>0.39979999999999999</c:v>
                </c:pt>
                <c:pt idx="15">
                  <c:v>0.44139999999999996</c:v>
                </c:pt>
                <c:pt idx="16">
                  <c:v>0.46869999999999995</c:v>
                </c:pt>
                <c:pt idx="17">
                  <c:v>0.47869999999999996</c:v>
                </c:pt>
                <c:pt idx="18">
                  <c:v>0.49859999999999999</c:v>
                </c:pt>
                <c:pt idx="19">
                  <c:v>0.51060000000000005</c:v>
                </c:pt>
                <c:pt idx="20">
                  <c:v>0.51960000000000006</c:v>
                </c:pt>
                <c:pt idx="21">
                  <c:v>0.51230000000000009</c:v>
                </c:pt>
                <c:pt idx="22">
                  <c:v>0.51470000000000005</c:v>
                </c:pt>
                <c:pt idx="23">
                  <c:v>0.51280000000000003</c:v>
                </c:pt>
                <c:pt idx="24">
                  <c:v>0.51470000000000005</c:v>
                </c:pt>
                <c:pt idx="25">
                  <c:v>0.50819999999999999</c:v>
                </c:pt>
                <c:pt idx="26">
                  <c:v>0.50230000000000008</c:v>
                </c:pt>
                <c:pt idx="27">
                  <c:v>0.49820000000000003</c:v>
                </c:pt>
                <c:pt idx="28">
                  <c:v>0.49049999999999999</c:v>
                </c:pt>
                <c:pt idx="29">
                  <c:v>0.48230000000000001</c:v>
                </c:pt>
                <c:pt idx="30">
                  <c:v>0.48920000000000002</c:v>
                </c:pt>
                <c:pt idx="31">
                  <c:v>0.48120000000000002</c:v>
                </c:pt>
                <c:pt idx="32">
                  <c:v>0.47849999999999998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3A-0F4F-86BF-48F6D3D5B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6713376"/>
        <c:axId val="2046715088"/>
      </c:scatterChart>
      <c:valAx>
        <c:axId val="2046713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2046715088"/>
        <c:crosses val="autoZero"/>
        <c:crossBetween val="midCat"/>
      </c:valAx>
      <c:valAx>
        <c:axId val="204671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20467133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lowGFP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Sheet6!$A$8:$A$39</c:f>
              <c:numCache>
                <c:formatCode>General</c:formatCode>
                <c:ptCount val="32"/>
                <c:pt idx="0">
                  <c:v>0.7135488888888889</c:v>
                </c:pt>
                <c:pt idx="1">
                  <c:v>0.95137944444444444</c:v>
                </c:pt>
                <c:pt idx="2">
                  <c:v>1.1891449999999999</c:v>
                </c:pt>
                <c:pt idx="3">
                  <c:v>1.4269777777777777</c:v>
                </c:pt>
                <c:pt idx="4">
                  <c:v>1.6648077777777779</c:v>
                </c:pt>
                <c:pt idx="5">
                  <c:v>1.9025777777777777</c:v>
                </c:pt>
                <c:pt idx="6">
                  <c:v>2.1403772222222224</c:v>
                </c:pt>
                <c:pt idx="7">
                  <c:v>2.3782172222222222</c:v>
                </c:pt>
                <c:pt idx="8">
                  <c:v>2.6159794444444442</c:v>
                </c:pt>
                <c:pt idx="9">
                  <c:v>2.8537316666666666</c:v>
                </c:pt>
                <c:pt idx="10">
                  <c:v>3.0915727777777779</c:v>
                </c:pt>
                <c:pt idx="11">
                  <c:v>3.3293372222222222</c:v>
                </c:pt>
                <c:pt idx="12">
                  <c:v>3.5670933333333332</c:v>
                </c:pt>
                <c:pt idx="13">
                  <c:v>3.8049416666666671</c:v>
                </c:pt>
                <c:pt idx="14">
                  <c:v>4.0427038888888891</c:v>
                </c:pt>
                <c:pt idx="15">
                  <c:v>4.2804622222222228</c:v>
                </c:pt>
                <c:pt idx="16">
                  <c:v>4.5183066666666667</c:v>
                </c:pt>
                <c:pt idx="17">
                  <c:v>4.7560597222222221</c:v>
                </c:pt>
                <c:pt idx="18">
                  <c:v>4.9938205555555601</c:v>
                </c:pt>
                <c:pt idx="19">
                  <c:v>5.2316730555555555</c:v>
                </c:pt>
                <c:pt idx="20">
                  <c:v>5.4694311111111116</c:v>
                </c:pt>
                <c:pt idx="21">
                  <c:v>5.7071944444444451</c:v>
                </c:pt>
                <c:pt idx="22">
                  <c:v>5.9450247222222226</c:v>
                </c:pt>
                <c:pt idx="23">
                  <c:v>6.1827869444444445</c:v>
                </c:pt>
                <c:pt idx="24">
                  <c:v>6.4205563888888895</c:v>
                </c:pt>
                <c:pt idx="25">
                  <c:v>6.658389722222223</c:v>
                </c:pt>
                <c:pt idx="26">
                  <c:v>6.8961552777777779</c:v>
                </c:pt>
                <c:pt idx="27">
                  <c:v>7.1339474999999997</c:v>
                </c:pt>
                <c:pt idx="28">
                  <c:v>7.3717841666666661</c:v>
                </c:pt>
                <c:pt idx="29">
                  <c:v>7.609548055555555</c:v>
                </c:pt>
                <c:pt idx="30">
                  <c:v>7.8473716666666666</c:v>
                </c:pt>
                <c:pt idx="31">
                  <c:v>8.085210833333333</c:v>
                </c:pt>
              </c:numCache>
            </c:numRef>
          </c:xVal>
          <c:yVal>
            <c:numRef>
              <c:f>Sheet6!$BF$7:$BF$40</c:f>
              <c:numCache>
                <c:formatCode>General</c:formatCode>
                <c:ptCount val="34"/>
                <c:pt idx="0">
                  <c:v>6.0000000000000331E-4</c:v>
                </c:pt>
                <c:pt idx="1">
                  <c:v>3.5000000000000031E-3</c:v>
                </c:pt>
                <c:pt idx="2">
                  <c:v>8.4000000000000047E-3</c:v>
                </c:pt>
                <c:pt idx="3">
                  <c:v>1.6299999999999995E-2</c:v>
                </c:pt>
                <c:pt idx="4">
                  <c:v>2.4799999999999989E-2</c:v>
                </c:pt>
                <c:pt idx="5">
                  <c:v>2.8900000000000009E-2</c:v>
                </c:pt>
                <c:pt idx="6">
                  <c:v>4.6600000000000003E-2</c:v>
                </c:pt>
                <c:pt idx="7">
                  <c:v>6.8000000000000005E-2</c:v>
                </c:pt>
                <c:pt idx="8">
                  <c:v>7.8399999999999997E-2</c:v>
                </c:pt>
                <c:pt idx="9">
                  <c:v>0.1225</c:v>
                </c:pt>
                <c:pt idx="10">
                  <c:v>0.15730000000000002</c:v>
                </c:pt>
                <c:pt idx="11">
                  <c:v>0.23790000000000003</c:v>
                </c:pt>
                <c:pt idx="12">
                  <c:v>0.25119999999999998</c:v>
                </c:pt>
                <c:pt idx="13">
                  <c:v>0.25009999999999999</c:v>
                </c:pt>
                <c:pt idx="14">
                  <c:v>0.28680000000000005</c:v>
                </c:pt>
                <c:pt idx="15">
                  <c:v>0.32340000000000002</c:v>
                </c:pt>
                <c:pt idx="16">
                  <c:v>0.34460000000000002</c:v>
                </c:pt>
                <c:pt idx="17">
                  <c:v>0.36599999999999999</c:v>
                </c:pt>
                <c:pt idx="18">
                  <c:v>0.39750000000000008</c:v>
                </c:pt>
                <c:pt idx="19">
                  <c:v>0.41170000000000007</c:v>
                </c:pt>
                <c:pt idx="20">
                  <c:v>0.43110000000000004</c:v>
                </c:pt>
                <c:pt idx="21">
                  <c:v>0.43610000000000004</c:v>
                </c:pt>
                <c:pt idx="22">
                  <c:v>0.46530000000000005</c:v>
                </c:pt>
                <c:pt idx="23">
                  <c:v>0.47099999999999997</c:v>
                </c:pt>
                <c:pt idx="24">
                  <c:v>0.46830000000000005</c:v>
                </c:pt>
                <c:pt idx="25">
                  <c:v>0.48480000000000001</c:v>
                </c:pt>
                <c:pt idx="26">
                  <c:v>0.48820000000000008</c:v>
                </c:pt>
                <c:pt idx="27">
                  <c:v>0.47220000000000006</c:v>
                </c:pt>
                <c:pt idx="28">
                  <c:v>0.47720000000000007</c:v>
                </c:pt>
                <c:pt idx="29">
                  <c:v>0.47440000000000004</c:v>
                </c:pt>
                <c:pt idx="30">
                  <c:v>0.47040000000000004</c:v>
                </c:pt>
                <c:pt idx="31">
                  <c:v>0.46530000000000005</c:v>
                </c:pt>
                <c:pt idx="32">
                  <c:v>0.4778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BB-3F49-9F63-6FAA23528450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Sheet6!$A$8:$A$39</c:f>
              <c:numCache>
                <c:formatCode>General</c:formatCode>
                <c:ptCount val="32"/>
                <c:pt idx="0">
                  <c:v>0.7135488888888889</c:v>
                </c:pt>
                <c:pt idx="1">
                  <c:v>0.95137944444444444</c:v>
                </c:pt>
                <c:pt idx="2">
                  <c:v>1.1891449999999999</c:v>
                </c:pt>
                <c:pt idx="3">
                  <c:v>1.4269777777777777</c:v>
                </c:pt>
                <c:pt idx="4">
                  <c:v>1.6648077777777779</c:v>
                </c:pt>
                <c:pt idx="5">
                  <c:v>1.9025777777777777</c:v>
                </c:pt>
                <c:pt idx="6">
                  <c:v>2.1403772222222224</c:v>
                </c:pt>
                <c:pt idx="7">
                  <c:v>2.3782172222222222</c:v>
                </c:pt>
                <c:pt idx="8">
                  <c:v>2.6159794444444442</c:v>
                </c:pt>
                <c:pt idx="9">
                  <c:v>2.8537316666666666</c:v>
                </c:pt>
                <c:pt idx="10">
                  <c:v>3.0915727777777779</c:v>
                </c:pt>
                <c:pt idx="11">
                  <c:v>3.3293372222222222</c:v>
                </c:pt>
                <c:pt idx="12">
                  <c:v>3.5670933333333332</c:v>
                </c:pt>
                <c:pt idx="13">
                  <c:v>3.8049416666666671</c:v>
                </c:pt>
                <c:pt idx="14">
                  <c:v>4.0427038888888891</c:v>
                </c:pt>
                <c:pt idx="15">
                  <c:v>4.2804622222222228</c:v>
                </c:pt>
                <c:pt idx="16">
                  <c:v>4.5183066666666667</c:v>
                </c:pt>
                <c:pt idx="17">
                  <c:v>4.7560597222222221</c:v>
                </c:pt>
                <c:pt idx="18">
                  <c:v>4.9938205555555601</c:v>
                </c:pt>
                <c:pt idx="19">
                  <c:v>5.2316730555555555</c:v>
                </c:pt>
                <c:pt idx="20">
                  <c:v>5.4694311111111116</c:v>
                </c:pt>
                <c:pt idx="21">
                  <c:v>5.7071944444444451</c:v>
                </c:pt>
                <c:pt idx="22">
                  <c:v>5.9450247222222226</c:v>
                </c:pt>
                <c:pt idx="23">
                  <c:v>6.1827869444444445</c:v>
                </c:pt>
                <c:pt idx="24">
                  <c:v>6.4205563888888895</c:v>
                </c:pt>
                <c:pt idx="25">
                  <c:v>6.658389722222223</c:v>
                </c:pt>
                <c:pt idx="26">
                  <c:v>6.8961552777777779</c:v>
                </c:pt>
                <c:pt idx="27">
                  <c:v>7.1339474999999997</c:v>
                </c:pt>
                <c:pt idx="28">
                  <c:v>7.3717841666666661</c:v>
                </c:pt>
                <c:pt idx="29">
                  <c:v>7.609548055555555</c:v>
                </c:pt>
                <c:pt idx="30">
                  <c:v>7.8473716666666666</c:v>
                </c:pt>
                <c:pt idx="31">
                  <c:v>8.085210833333333</c:v>
                </c:pt>
              </c:numCache>
            </c:numRef>
          </c:xVal>
          <c:yVal>
            <c:numRef>
              <c:f>Sheet6!$BI$7:$BI$39</c:f>
              <c:numCache>
                <c:formatCode>General</c:formatCode>
                <c:ptCount val="33"/>
                <c:pt idx="0">
                  <c:v>0</c:v>
                </c:pt>
                <c:pt idx="1">
                  <c:v>2.1000000000000046E-3</c:v>
                </c:pt>
                <c:pt idx="2">
                  <c:v>6.4000000000000029E-3</c:v>
                </c:pt>
                <c:pt idx="3">
                  <c:v>1.4799999999999994E-2</c:v>
                </c:pt>
                <c:pt idx="4">
                  <c:v>2.18E-2</c:v>
                </c:pt>
                <c:pt idx="5">
                  <c:v>2.8000000000000011E-2</c:v>
                </c:pt>
                <c:pt idx="6">
                  <c:v>4.8899999999999985E-2</c:v>
                </c:pt>
                <c:pt idx="7">
                  <c:v>7.5599999999999987E-2</c:v>
                </c:pt>
                <c:pt idx="8">
                  <c:v>9.9199999999999997E-2</c:v>
                </c:pt>
                <c:pt idx="9">
                  <c:v>0.15709999999999996</c:v>
                </c:pt>
                <c:pt idx="10">
                  <c:v>0.19869999999999999</c:v>
                </c:pt>
                <c:pt idx="11">
                  <c:v>0.253</c:v>
                </c:pt>
                <c:pt idx="12">
                  <c:v>0.30959999999999999</c:v>
                </c:pt>
                <c:pt idx="13">
                  <c:v>0.33859999999999996</c:v>
                </c:pt>
                <c:pt idx="14">
                  <c:v>0.37169999999999997</c:v>
                </c:pt>
                <c:pt idx="15">
                  <c:v>0.4168</c:v>
                </c:pt>
                <c:pt idx="16">
                  <c:v>0.43680000000000002</c:v>
                </c:pt>
                <c:pt idx="17">
                  <c:v>0.45390000000000003</c:v>
                </c:pt>
                <c:pt idx="18">
                  <c:v>0.48279999999999995</c:v>
                </c:pt>
                <c:pt idx="19">
                  <c:v>0.48279999999999995</c:v>
                </c:pt>
                <c:pt idx="20">
                  <c:v>0.49540000000000001</c:v>
                </c:pt>
                <c:pt idx="21">
                  <c:v>0.49179999999999996</c:v>
                </c:pt>
                <c:pt idx="22">
                  <c:v>0.50280000000000002</c:v>
                </c:pt>
                <c:pt idx="23">
                  <c:v>0.50009999999999999</c:v>
                </c:pt>
                <c:pt idx="24">
                  <c:v>0.49289999999999995</c:v>
                </c:pt>
                <c:pt idx="25">
                  <c:v>0.49709999999999993</c:v>
                </c:pt>
                <c:pt idx="26">
                  <c:v>0.50130000000000008</c:v>
                </c:pt>
                <c:pt idx="27">
                  <c:v>0.48589999999999994</c:v>
                </c:pt>
                <c:pt idx="28">
                  <c:v>0.48369999999999996</c:v>
                </c:pt>
                <c:pt idx="29">
                  <c:v>0.48479999999999995</c:v>
                </c:pt>
                <c:pt idx="30">
                  <c:v>0.47959999999999997</c:v>
                </c:pt>
                <c:pt idx="31">
                  <c:v>0.47369999999999995</c:v>
                </c:pt>
                <c:pt idx="32">
                  <c:v>0.48810000000000003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BB-3F49-9F63-6FAA23528450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Sheet6!$A$8:$A$39</c:f>
              <c:numCache>
                <c:formatCode>General</c:formatCode>
                <c:ptCount val="32"/>
                <c:pt idx="0">
                  <c:v>0.7135488888888889</c:v>
                </c:pt>
                <c:pt idx="1">
                  <c:v>0.95137944444444444</c:v>
                </c:pt>
                <c:pt idx="2">
                  <c:v>1.1891449999999999</c:v>
                </c:pt>
                <c:pt idx="3">
                  <c:v>1.4269777777777777</c:v>
                </c:pt>
                <c:pt idx="4">
                  <c:v>1.6648077777777779</c:v>
                </c:pt>
                <c:pt idx="5">
                  <c:v>1.9025777777777777</c:v>
                </c:pt>
                <c:pt idx="6">
                  <c:v>2.1403772222222224</c:v>
                </c:pt>
                <c:pt idx="7">
                  <c:v>2.3782172222222222</c:v>
                </c:pt>
                <c:pt idx="8">
                  <c:v>2.6159794444444442</c:v>
                </c:pt>
                <c:pt idx="9">
                  <c:v>2.8537316666666666</c:v>
                </c:pt>
                <c:pt idx="10">
                  <c:v>3.0915727777777779</c:v>
                </c:pt>
                <c:pt idx="11">
                  <c:v>3.3293372222222222</c:v>
                </c:pt>
                <c:pt idx="12">
                  <c:v>3.5670933333333332</c:v>
                </c:pt>
                <c:pt idx="13">
                  <c:v>3.8049416666666671</c:v>
                </c:pt>
                <c:pt idx="14">
                  <c:v>4.0427038888888891</c:v>
                </c:pt>
                <c:pt idx="15">
                  <c:v>4.2804622222222228</c:v>
                </c:pt>
                <c:pt idx="16">
                  <c:v>4.5183066666666667</c:v>
                </c:pt>
                <c:pt idx="17">
                  <c:v>4.7560597222222221</c:v>
                </c:pt>
                <c:pt idx="18">
                  <c:v>4.9938205555555601</c:v>
                </c:pt>
                <c:pt idx="19">
                  <c:v>5.2316730555555555</c:v>
                </c:pt>
                <c:pt idx="20">
                  <c:v>5.4694311111111116</c:v>
                </c:pt>
                <c:pt idx="21">
                  <c:v>5.7071944444444451</c:v>
                </c:pt>
                <c:pt idx="22">
                  <c:v>5.9450247222222226</c:v>
                </c:pt>
                <c:pt idx="23">
                  <c:v>6.1827869444444445</c:v>
                </c:pt>
                <c:pt idx="24">
                  <c:v>6.4205563888888895</c:v>
                </c:pt>
                <c:pt idx="25">
                  <c:v>6.658389722222223</c:v>
                </c:pt>
                <c:pt idx="26">
                  <c:v>6.8961552777777779</c:v>
                </c:pt>
                <c:pt idx="27">
                  <c:v>7.1339474999999997</c:v>
                </c:pt>
                <c:pt idx="28">
                  <c:v>7.3717841666666661</c:v>
                </c:pt>
                <c:pt idx="29">
                  <c:v>7.609548055555555</c:v>
                </c:pt>
                <c:pt idx="30">
                  <c:v>7.8473716666666666</c:v>
                </c:pt>
                <c:pt idx="31">
                  <c:v>8.085210833333333</c:v>
                </c:pt>
              </c:numCache>
            </c:numRef>
          </c:xVal>
          <c:yVal>
            <c:numRef>
              <c:f>Sheet6!$BL$7:$BL$39</c:f>
              <c:numCache>
                <c:formatCode>General</c:formatCode>
                <c:ptCount val="33"/>
                <c:pt idx="0">
                  <c:v>0</c:v>
                </c:pt>
                <c:pt idx="1">
                  <c:v>2.8999999999999998E-3</c:v>
                </c:pt>
                <c:pt idx="2">
                  <c:v>7.8000000000000014E-3</c:v>
                </c:pt>
                <c:pt idx="3">
                  <c:v>1.6799999999999995E-2</c:v>
                </c:pt>
                <c:pt idx="4">
                  <c:v>2.6099999999999984E-2</c:v>
                </c:pt>
                <c:pt idx="5">
                  <c:v>3.6399999999999988E-2</c:v>
                </c:pt>
                <c:pt idx="6">
                  <c:v>6.2700000000000006E-2</c:v>
                </c:pt>
                <c:pt idx="7">
                  <c:v>0.1018</c:v>
                </c:pt>
                <c:pt idx="8">
                  <c:v>0.1439</c:v>
                </c:pt>
                <c:pt idx="9">
                  <c:v>0.2137</c:v>
                </c:pt>
                <c:pt idx="10">
                  <c:v>0.24609999999999999</c:v>
                </c:pt>
                <c:pt idx="11">
                  <c:v>0.3221</c:v>
                </c:pt>
                <c:pt idx="12">
                  <c:v>0.39389999999999997</c:v>
                </c:pt>
                <c:pt idx="13">
                  <c:v>0.43399999999999994</c:v>
                </c:pt>
                <c:pt idx="14">
                  <c:v>0.46330000000000005</c:v>
                </c:pt>
                <c:pt idx="15">
                  <c:v>0.49980000000000002</c:v>
                </c:pt>
                <c:pt idx="16">
                  <c:v>0.51639999999999997</c:v>
                </c:pt>
                <c:pt idx="17">
                  <c:v>0.52049999999999996</c:v>
                </c:pt>
                <c:pt idx="18">
                  <c:v>0.53059999999999996</c:v>
                </c:pt>
                <c:pt idx="19">
                  <c:v>0.54410000000000003</c:v>
                </c:pt>
                <c:pt idx="20">
                  <c:v>0.54589999999999994</c:v>
                </c:pt>
                <c:pt idx="21">
                  <c:v>0.53979999999999995</c:v>
                </c:pt>
                <c:pt idx="22">
                  <c:v>0.54420000000000002</c:v>
                </c:pt>
                <c:pt idx="23">
                  <c:v>0.54139999999999999</c:v>
                </c:pt>
                <c:pt idx="24">
                  <c:v>0.54100000000000004</c:v>
                </c:pt>
                <c:pt idx="25">
                  <c:v>0.54659999999999997</c:v>
                </c:pt>
                <c:pt idx="26">
                  <c:v>0.54279999999999995</c:v>
                </c:pt>
                <c:pt idx="27">
                  <c:v>0.54239999999999999</c:v>
                </c:pt>
                <c:pt idx="28">
                  <c:v>0.53739999999999999</c:v>
                </c:pt>
                <c:pt idx="29">
                  <c:v>0.54349999999999998</c:v>
                </c:pt>
                <c:pt idx="30">
                  <c:v>0.54400000000000004</c:v>
                </c:pt>
                <c:pt idx="31">
                  <c:v>0.54489999999999994</c:v>
                </c:pt>
                <c:pt idx="32">
                  <c:v>0.56489999999999996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BB-3F49-9F63-6FAA23528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6789280"/>
        <c:axId val="2046381488"/>
      </c:scatterChart>
      <c:valAx>
        <c:axId val="204678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2046381488"/>
        <c:crosses val="autoZero"/>
        <c:crossBetween val="midCat"/>
      </c:valAx>
      <c:valAx>
        <c:axId val="20463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2046789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high_GFP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Sheet6!$A$7:$A$39</c:f>
              <c:numCache>
                <c:formatCode>General</c:formatCode>
                <c:ptCount val="33"/>
                <c:pt idx="0">
                  <c:v>0.4757197222222222</c:v>
                </c:pt>
                <c:pt idx="1">
                  <c:v>0.7135488888888889</c:v>
                </c:pt>
                <c:pt idx="2">
                  <c:v>0.95137944444444444</c:v>
                </c:pt>
                <c:pt idx="3">
                  <c:v>1.1891449999999999</c:v>
                </c:pt>
                <c:pt idx="4">
                  <c:v>1.4269777777777777</c:v>
                </c:pt>
                <c:pt idx="5">
                  <c:v>1.6648077777777779</c:v>
                </c:pt>
                <c:pt idx="6">
                  <c:v>1.9025777777777777</c:v>
                </c:pt>
                <c:pt idx="7">
                  <c:v>2.1403772222222224</c:v>
                </c:pt>
                <c:pt idx="8">
                  <c:v>2.3782172222222222</c:v>
                </c:pt>
                <c:pt idx="9">
                  <c:v>2.6159794444444442</c:v>
                </c:pt>
                <c:pt idx="10">
                  <c:v>2.8537316666666666</c:v>
                </c:pt>
                <c:pt idx="11">
                  <c:v>3.0915727777777779</c:v>
                </c:pt>
                <c:pt idx="12">
                  <c:v>3.3293372222222222</c:v>
                </c:pt>
                <c:pt idx="13">
                  <c:v>3.5670933333333332</c:v>
                </c:pt>
                <c:pt idx="14">
                  <c:v>3.8049416666666671</c:v>
                </c:pt>
                <c:pt idx="15">
                  <c:v>4.0427038888888891</c:v>
                </c:pt>
                <c:pt idx="16">
                  <c:v>4.2804622222222228</c:v>
                </c:pt>
                <c:pt idx="17">
                  <c:v>4.5183066666666667</c:v>
                </c:pt>
                <c:pt idx="18">
                  <c:v>4.7560597222222221</c:v>
                </c:pt>
                <c:pt idx="19">
                  <c:v>4.9938205555555601</c:v>
                </c:pt>
                <c:pt idx="20">
                  <c:v>5.2316730555555555</c:v>
                </c:pt>
                <c:pt idx="21">
                  <c:v>5.4694311111111116</c:v>
                </c:pt>
                <c:pt idx="22">
                  <c:v>5.7071944444444451</c:v>
                </c:pt>
                <c:pt idx="23">
                  <c:v>5.9450247222222226</c:v>
                </c:pt>
                <c:pt idx="24">
                  <c:v>6.1827869444444445</c:v>
                </c:pt>
                <c:pt idx="25">
                  <c:v>6.4205563888888895</c:v>
                </c:pt>
                <c:pt idx="26">
                  <c:v>6.658389722222223</c:v>
                </c:pt>
                <c:pt idx="27">
                  <c:v>6.8961552777777779</c:v>
                </c:pt>
                <c:pt idx="28">
                  <c:v>7.1339474999999997</c:v>
                </c:pt>
                <c:pt idx="29">
                  <c:v>7.3717841666666661</c:v>
                </c:pt>
                <c:pt idx="30">
                  <c:v>7.609548055555555</c:v>
                </c:pt>
                <c:pt idx="31">
                  <c:v>7.8473716666666666</c:v>
                </c:pt>
                <c:pt idx="32">
                  <c:v>8.085210833333333</c:v>
                </c:pt>
              </c:numCache>
            </c:numRef>
          </c:xVal>
          <c:yVal>
            <c:numRef>
              <c:f>Sheet6!$BO$7:$BO$39</c:f>
              <c:numCache>
                <c:formatCode>General</c:formatCode>
                <c:ptCount val="33"/>
                <c:pt idx="0">
                  <c:v>0</c:v>
                </c:pt>
                <c:pt idx="1">
                  <c:v>9.9999999999998701E-4</c:v>
                </c:pt>
                <c:pt idx="2">
                  <c:v>3.4999999999999892E-3</c:v>
                </c:pt>
                <c:pt idx="3">
                  <c:v>7.5999999999999956E-3</c:v>
                </c:pt>
                <c:pt idx="4">
                  <c:v>1.3399999999999995E-2</c:v>
                </c:pt>
                <c:pt idx="5">
                  <c:v>1.5899999999999997E-2</c:v>
                </c:pt>
                <c:pt idx="6">
                  <c:v>3.2799999999999996E-2</c:v>
                </c:pt>
                <c:pt idx="7">
                  <c:v>5.5299999999999988E-2</c:v>
                </c:pt>
                <c:pt idx="8">
                  <c:v>5.8799999999999991E-2</c:v>
                </c:pt>
                <c:pt idx="9">
                  <c:v>0.10089999999999999</c:v>
                </c:pt>
                <c:pt idx="10">
                  <c:v>0.1336</c:v>
                </c:pt>
                <c:pt idx="11">
                  <c:v>0.2208</c:v>
                </c:pt>
                <c:pt idx="12">
                  <c:v>0.27050000000000002</c:v>
                </c:pt>
                <c:pt idx="13">
                  <c:v>0.25929999999999997</c:v>
                </c:pt>
                <c:pt idx="14">
                  <c:v>0.30230000000000001</c:v>
                </c:pt>
                <c:pt idx="15">
                  <c:v>0.3654</c:v>
                </c:pt>
                <c:pt idx="16">
                  <c:v>0.37869999999999998</c:v>
                </c:pt>
                <c:pt idx="17">
                  <c:v>0.40129999999999999</c:v>
                </c:pt>
                <c:pt idx="18">
                  <c:v>0.45020000000000004</c:v>
                </c:pt>
                <c:pt idx="19">
                  <c:v>0.46399999999999997</c:v>
                </c:pt>
                <c:pt idx="20">
                  <c:v>0.48080000000000001</c:v>
                </c:pt>
                <c:pt idx="21">
                  <c:v>0.49949999999999994</c:v>
                </c:pt>
                <c:pt idx="22">
                  <c:v>0.51329999999999998</c:v>
                </c:pt>
                <c:pt idx="23">
                  <c:v>0.53759999999999997</c:v>
                </c:pt>
                <c:pt idx="24">
                  <c:v>0.53400000000000003</c:v>
                </c:pt>
                <c:pt idx="25">
                  <c:v>0.5413</c:v>
                </c:pt>
                <c:pt idx="26">
                  <c:v>0.54959999999999998</c:v>
                </c:pt>
                <c:pt idx="27">
                  <c:v>0.53490000000000004</c:v>
                </c:pt>
                <c:pt idx="28">
                  <c:v>0.53210000000000002</c:v>
                </c:pt>
                <c:pt idx="29">
                  <c:v>0.52380000000000004</c:v>
                </c:pt>
                <c:pt idx="30">
                  <c:v>0.52200000000000002</c:v>
                </c:pt>
                <c:pt idx="31">
                  <c:v>0.51119999999999999</c:v>
                </c:pt>
                <c:pt idx="32">
                  <c:v>0.51319999999999999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B4-434D-8E93-41467B95F2F5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Sheet6!$A$7:$A$39</c:f>
              <c:numCache>
                <c:formatCode>General</c:formatCode>
                <c:ptCount val="33"/>
                <c:pt idx="0">
                  <c:v>0.4757197222222222</c:v>
                </c:pt>
                <c:pt idx="1">
                  <c:v>0.7135488888888889</c:v>
                </c:pt>
                <c:pt idx="2">
                  <c:v>0.95137944444444444</c:v>
                </c:pt>
                <c:pt idx="3">
                  <c:v>1.1891449999999999</c:v>
                </c:pt>
                <c:pt idx="4">
                  <c:v>1.4269777777777777</c:v>
                </c:pt>
                <c:pt idx="5">
                  <c:v>1.6648077777777779</c:v>
                </c:pt>
                <c:pt idx="6">
                  <c:v>1.9025777777777777</c:v>
                </c:pt>
                <c:pt idx="7">
                  <c:v>2.1403772222222224</c:v>
                </c:pt>
                <c:pt idx="8">
                  <c:v>2.3782172222222222</c:v>
                </c:pt>
                <c:pt idx="9">
                  <c:v>2.6159794444444442</c:v>
                </c:pt>
                <c:pt idx="10">
                  <c:v>2.8537316666666666</c:v>
                </c:pt>
                <c:pt idx="11">
                  <c:v>3.0915727777777779</c:v>
                </c:pt>
                <c:pt idx="12">
                  <c:v>3.3293372222222222</c:v>
                </c:pt>
                <c:pt idx="13">
                  <c:v>3.5670933333333332</c:v>
                </c:pt>
                <c:pt idx="14">
                  <c:v>3.8049416666666671</c:v>
                </c:pt>
                <c:pt idx="15">
                  <c:v>4.0427038888888891</c:v>
                </c:pt>
                <c:pt idx="16">
                  <c:v>4.2804622222222228</c:v>
                </c:pt>
                <c:pt idx="17">
                  <c:v>4.5183066666666667</c:v>
                </c:pt>
                <c:pt idx="18">
                  <c:v>4.7560597222222221</c:v>
                </c:pt>
                <c:pt idx="19">
                  <c:v>4.9938205555555601</c:v>
                </c:pt>
                <c:pt idx="20">
                  <c:v>5.2316730555555555</c:v>
                </c:pt>
                <c:pt idx="21">
                  <c:v>5.4694311111111116</c:v>
                </c:pt>
                <c:pt idx="22">
                  <c:v>5.7071944444444451</c:v>
                </c:pt>
                <c:pt idx="23">
                  <c:v>5.9450247222222226</c:v>
                </c:pt>
                <c:pt idx="24">
                  <c:v>6.1827869444444445</c:v>
                </c:pt>
                <c:pt idx="25">
                  <c:v>6.4205563888888895</c:v>
                </c:pt>
                <c:pt idx="26">
                  <c:v>6.658389722222223</c:v>
                </c:pt>
                <c:pt idx="27">
                  <c:v>6.8961552777777779</c:v>
                </c:pt>
                <c:pt idx="28">
                  <c:v>7.1339474999999997</c:v>
                </c:pt>
                <c:pt idx="29">
                  <c:v>7.3717841666666661</c:v>
                </c:pt>
                <c:pt idx="30">
                  <c:v>7.609548055555555</c:v>
                </c:pt>
                <c:pt idx="31">
                  <c:v>7.8473716666666666</c:v>
                </c:pt>
                <c:pt idx="32">
                  <c:v>8.085210833333333</c:v>
                </c:pt>
              </c:numCache>
            </c:numRef>
          </c:xVal>
          <c:yVal>
            <c:numRef>
              <c:f>Sheet6!$BR$7:$BR$39</c:f>
              <c:numCache>
                <c:formatCode>General</c:formatCode>
                <c:ptCount val="33"/>
                <c:pt idx="0">
                  <c:v>0</c:v>
                </c:pt>
                <c:pt idx="1">
                  <c:v>1.6999999999999932E-3</c:v>
                </c:pt>
                <c:pt idx="2">
                  <c:v>5.5999999999999939E-3</c:v>
                </c:pt>
                <c:pt idx="3">
                  <c:v>1.2299999999999991E-2</c:v>
                </c:pt>
                <c:pt idx="4">
                  <c:v>1.9699999999999995E-2</c:v>
                </c:pt>
                <c:pt idx="5">
                  <c:v>2.5700000000000001E-2</c:v>
                </c:pt>
                <c:pt idx="6">
                  <c:v>4.5300000000000007E-2</c:v>
                </c:pt>
                <c:pt idx="7">
                  <c:v>7.1099999999999997E-2</c:v>
                </c:pt>
                <c:pt idx="8">
                  <c:v>9.5899999999999985E-2</c:v>
                </c:pt>
                <c:pt idx="9">
                  <c:v>0.1552</c:v>
                </c:pt>
                <c:pt idx="10">
                  <c:v>0.19919999999999999</c:v>
                </c:pt>
                <c:pt idx="11">
                  <c:v>0.26569999999999999</c:v>
                </c:pt>
                <c:pt idx="12">
                  <c:v>0.33119999999999999</c:v>
                </c:pt>
                <c:pt idx="13">
                  <c:v>0.36509999999999998</c:v>
                </c:pt>
                <c:pt idx="14">
                  <c:v>0.39780000000000004</c:v>
                </c:pt>
                <c:pt idx="15">
                  <c:v>0.44550000000000001</c:v>
                </c:pt>
                <c:pt idx="16">
                  <c:v>0.47640000000000005</c:v>
                </c:pt>
                <c:pt idx="17">
                  <c:v>0.49009999999999998</c:v>
                </c:pt>
                <c:pt idx="18">
                  <c:v>0.5071</c:v>
                </c:pt>
                <c:pt idx="19">
                  <c:v>0.51349999999999996</c:v>
                </c:pt>
                <c:pt idx="20">
                  <c:v>0.5212</c:v>
                </c:pt>
                <c:pt idx="21">
                  <c:v>0.51890000000000003</c:v>
                </c:pt>
                <c:pt idx="22">
                  <c:v>0.53710000000000002</c:v>
                </c:pt>
                <c:pt idx="23">
                  <c:v>0.52729999999999999</c:v>
                </c:pt>
                <c:pt idx="24">
                  <c:v>0.51300000000000001</c:v>
                </c:pt>
                <c:pt idx="25">
                  <c:v>0.53600000000000003</c:v>
                </c:pt>
                <c:pt idx="26">
                  <c:v>0.52839999999999998</c:v>
                </c:pt>
                <c:pt idx="27">
                  <c:v>0.51780000000000004</c:v>
                </c:pt>
                <c:pt idx="28">
                  <c:v>0.52539999999999998</c:v>
                </c:pt>
                <c:pt idx="29">
                  <c:v>0.52969999999999995</c:v>
                </c:pt>
                <c:pt idx="30">
                  <c:v>0.54679999999999995</c:v>
                </c:pt>
                <c:pt idx="31">
                  <c:v>0.51929999999999998</c:v>
                </c:pt>
                <c:pt idx="32">
                  <c:v>0.54979999999999996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B4-434D-8E93-41467B95F2F5}"/>
            </c:ext>
          </c:extLst>
        </c:ser>
        <c:ser>
          <c:idx val="2"/>
          <c:order val="2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Sheet6!$A$7:$A$39</c:f>
              <c:numCache>
                <c:formatCode>General</c:formatCode>
                <c:ptCount val="33"/>
                <c:pt idx="0">
                  <c:v>0.4757197222222222</c:v>
                </c:pt>
                <c:pt idx="1">
                  <c:v>0.7135488888888889</c:v>
                </c:pt>
                <c:pt idx="2">
                  <c:v>0.95137944444444444</c:v>
                </c:pt>
                <c:pt idx="3">
                  <c:v>1.1891449999999999</c:v>
                </c:pt>
                <c:pt idx="4">
                  <c:v>1.4269777777777777</c:v>
                </c:pt>
                <c:pt idx="5">
                  <c:v>1.6648077777777779</c:v>
                </c:pt>
                <c:pt idx="6">
                  <c:v>1.9025777777777777</c:v>
                </c:pt>
                <c:pt idx="7">
                  <c:v>2.1403772222222224</c:v>
                </c:pt>
                <c:pt idx="8">
                  <c:v>2.3782172222222222</c:v>
                </c:pt>
                <c:pt idx="9">
                  <c:v>2.6159794444444442</c:v>
                </c:pt>
                <c:pt idx="10">
                  <c:v>2.8537316666666666</c:v>
                </c:pt>
                <c:pt idx="11">
                  <c:v>3.0915727777777779</c:v>
                </c:pt>
                <c:pt idx="12">
                  <c:v>3.3293372222222222</c:v>
                </c:pt>
                <c:pt idx="13">
                  <c:v>3.5670933333333332</c:v>
                </c:pt>
                <c:pt idx="14">
                  <c:v>3.8049416666666671</c:v>
                </c:pt>
                <c:pt idx="15">
                  <c:v>4.0427038888888891</c:v>
                </c:pt>
                <c:pt idx="16">
                  <c:v>4.2804622222222228</c:v>
                </c:pt>
                <c:pt idx="17">
                  <c:v>4.5183066666666667</c:v>
                </c:pt>
                <c:pt idx="18">
                  <c:v>4.7560597222222221</c:v>
                </c:pt>
                <c:pt idx="19">
                  <c:v>4.9938205555555601</c:v>
                </c:pt>
                <c:pt idx="20">
                  <c:v>5.2316730555555555</c:v>
                </c:pt>
                <c:pt idx="21">
                  <c:v>5.4694311111111116</c:v>
                </c:pt>
                <c:pt idx="22">
                  <c:v>5.7071944444444451</c:v>
                </c:pt>
                <c:pt idx="23">
                  <c:v>5.9450247222222226</c:v>
                </c:pt>
                <c:pt idx="24">
                  <c:v>6.1827869444444445</c:v>
                </c:pt>
                <c:pt idx="25">
                  <c:v>6.4205563888888895</c:v>
                </c:pt>
                <c:pt idx="26">
                  <c:v>6.658389722222223</c:v>
                </c:pt>
                <c:pt idx="27">
                  <c:v>6.8961552777777779</c:v>
                </c:pt>
                <c:pt idx="28">
                  <c:v>7.1339474999999997</c:v>
                </c:pt>
                <c:pt idx="29">
                  <c:v>7.3717841666666661</c:v>
                </c:pt>
                <c:pt idx="30">
                  <c:v>7.609548055555555</c:v>
                </c:pt>
                <c:pt idx="31">
                  <c:v>7.8473716666666666</c:v>
                </c:pt>
                <c:pt idx="32">
                  <c:v>8.085210833333333</c:v>
                </c:pt>
              </c:numCache>
            </c:numRef>
          </c:xVal>
          <c:yVal>
            <c:numRef>
              <c:f>Sheet6!$BU$7:$BU$39</c:f>
              <c:numCache>
                <c:formatCode>General</c:formatCode>
                <c:ptCount val="33"/>
                <c:pt idx="0">
                  <c:v>0</c:v>
                </c:pt>
                <c:pt idx="1">
                  <c:v>2.1000000000000046E-3</c:v>
                </c:pt>
                <c:pt idx="2">
                  <c:v>6.6000000000000086E-3</c:v>
                </c:pt>
                <c:pt idx="3">
                  <c:v>1.4200000000000004E-2</c:v>
                </c:pt>
                <c:pt idx="4">
                  <c:v>2.2200000000000011E-2</c:v>
                </c:pt>
                <c:pt idx="5">
                  <c:v>2.9100000000000001E-2</c:v>
                </c:pt>
                <c:pt idx="6">
                  <c:v>5.1299999999999998E-2</c:v>
                </c:pt>
                <c:pt idx="7">
                  <c:v>8.4400000000000017E-2</c:v>
                </c:pt>
                <c:pt idx="8">
                  <c:v>0.12100000000000001</c:v>
                </c:pt>
                <c:pt idx="9">
                  <c:v>0.1905</c:v>
                </c:pt>
                <c:pt idx="10">
                  <c:v>0.24390000000000001</c:v>
                </c:pt>
                <c:pt idx="11">
                  <c:v>0.3276</c:v>
                </c:pt>
                <c:pt idx="12">
                  <c:v>0.41259999999999997</c:v>
                </c:pt>
                <c:pt idx="13">
                  <c:v>0.47570000000000001</c:v>
                </c:pt>
                <c:pt idx="14">
                  <c:v>0.49229999999999996</c:v>
                </c:pt>
                <c:pt idx="15">
                  <c:v>0.54649999999999999</c:v>
                </c:pt>
                <c:pt idx="16">
                  <c:v>0.56459999999999999</c:v>
                </c:pt>
                <c:pt idx="17">
                  <c:v>0.57030000000000003</c:v>
                </c:pt>
                <c:pt idx="18">
                  <c:v>0.58099999999999996</c:v>
                </c:pt>
                <c:pt idx="19">
                  <c:v>0.57950000000000002</c:v>
                </c:pt>
                <c:pt idx="20">
                  <c:v>0.5786</c:v>
                </c:pt>
                <c:pt idx="21">
                  <c:v>0.56720000000000004</c:v>
                </c:pt>
                <c:pt idx="22">
                  <c:v>0.56699999999999995</c:v>
                </c:pt>
                <c:pt idx="23">
                  <c:v>0.56089999999999995</c:v>
                </c:pt>
                <c:pt idx="24">
                  <c:v>0.55000000000000004</c:v>
                </c:pt>
                <c:pt idx="25">
                  <c:v>0.54879999999999995</c:v>
                </c:pt>
                <c:pt idx="26">
                  <c:v>0.54259999999999997</c:v>
                </c:pt>
                <c:pt idx="27">
                  <c:v>0.53779999999999994</c:v>
                </c:pt>
                <c:pt idx="28">
                  <c:v>0.52359999999999995</c:v>
                </c:pt>
                <c:pt idx="29">
                  <c:v>0.52349999999999997</c:v>
                </c:pt>
                <c:pt idx="30">
                  <c:v>0.52529999999999999</c:v>
                </c:pt>
                <c:pt idx="31">
                  <c:v>0.51500000000000001</c:v>
                </c:pt>
                <c:pt idx="32">
                  <c:v>0.51619999999999999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B4-434D-8E93-41467B95F2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2971408"/>
        <c:axId val="1833953680"/>
      </c:scatterChart>
      <c:valAx>
        <c:axId val="183297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833953680"/>
        <c:crosses val="autoZero"/>
        <c:crossBetween val="midCat"/>
      </c:valAx>
      <c:valAx>
        <c:axId val="183395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832971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5143810148731416"/>
                  <c:y val="0.166537255759696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001"/>
                </a:p>
              </c:txPr>
            </c:trendlineLbl>
          </c:trendline>
          <c:xVal>
            <c:numRef>
              <c:f>Sheet6!$A$16:$A$21</c:f>
              <c:numCache>
                <c:formatCode>General</c:formatCode>
                <c:ptCount val="6"/>
                <c:pt idx="0">
                  <c:v>2.6159794444444442</c:v>
                </c:pt>
                <c:pt idx="1">
                  <c:v>2.8537316666666666</c:v>
                </c:pt>
                <c:pt idx="2">
                  <c:v>3.0915727777777779</c:v>
                </c:pt>
                <c:pt idx="3">
                  <c:v>3.3293372222222222</c:v>
                </c:pt>
                <c:pt idx="4">
                  <c:v>3.5670933333333332</c:v>
                </c:pt>
                <c:pt idx="5">
                  <c:v>3.8049416666666671</c:v>
                </c:pt>
              </c:numCache>
            </c:numRef>
          </c:xVal>
          <c:yVal>
            <c:numRef>
              <c:f>Sheet6!$E$16:$E$21</c:f>
              <c:numCache>
                <c:formatCode>General</c:formatCode>
                <c:ptCount val="6"/>
                <c:pt idx="0">
                  <c:v>-2.523231764109668</c:v>
                </c:pt>
                <c:pt idx="1">
                  <c:v>-2.1567546447825059</c:v>
                </c:pt>
                <c:pt idx="2">
                  <c:v>-1.7164664851926239</c:v>
                </c:pt>
                <c:pt idx="3">
                  <c:v>-1.5906161581935128</c:v>
                </c:pt>
                <c:pt idx="4">
                  <c:v>-1.5136732904497212</c:v>
                </c:pt>
                <c:pt idx="5">
                  <c:v>-1.3424688815798611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3F-7E4B-A66B-A85FEB998ECE}"/>
            </c:ext>
          </c:extLst>
        </c:ser>
        <c:ser>
          <c:idx val="1"/>
          <c:order val="1"/>
          <c:spPr>
            <a:ln w="38100" cap="rnd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5.0328083989501318E-4"/>
                  <c:y val="0.2021624380285797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001"/>
                </a:p>
              </c:txPr>
            </c:trendlineLbl>
          </c:trendline>
          <c:xVal>
            <c:numRef>
              <c:f>Sheet6!$A$16:$A$21</c:f>
              <c:numCache>
                <c:formatCode>General</c:formatCode>
                <c:ptCount val="6"/>
                <c:pt idx="0">
                  <c:v>2.6159794444444442</c:v>
                </c:pt>
                <c:pt idx="1">
                  <c:v>2.8537316666666666</c:v>
                </c:pt>
                <c:pt idx="2">
                  <c:v>3.0915727777777779</c:v>
                </c:pt>
                <c:pt idx="3">
                  <c:v>3.3293372222222222</c:v>
                </c:pt>
                <c:pt idx="4">
                  <c:v>3.5670933333333332</c:v>
                </c:pt>
                <c:pt idx="5">
                  <c:v>3.8049416666666671</c:v>
                </c:pt>
              </c:numCache>
            </c:numRef>
          </c:xVal>
          <c:yVal>
            <c:numRef>
              <c:f>Sheet6!$H$16:$H$21</c:f>
              <c:numCache>
                <c:formatCode>General</c:formatCode>
                <c:ptCount val="6"/>
                <c:pt idx="0">
                  <c:v>-4.3428059215206005</c:v>
                </c:pt>
                <c:pt idx="1">
                  <c:v>-3.8632328412587138</c:v>
                </c:pt>
                <c:pt idx="2">
                  <c:v>-3.3902574416238207</c:v>
                </c:pt>
                <c:pt idx="3">
                  <c:v>-3.0618720760585356</c:v>
                </c:pt>
                <c:pt idx="4">
                  <c:v>-2.7854713480707947</c:v>
                </c:pt>
                <c:pt idx="5">
                  <c:v>-2.4046178185591973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83F-7E4B-A66B-A85FEB998ECE}"/>
            </c:ext>
          </c:extLst>
        </c:ser>
        <c:ser>
          <c:idx val="2"/>
          <c:order val="2"/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7272550306211723"/>
                  <c:y val="2.686351706036745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001"/>
                </a:p>
              </c:txPr>
            </c:trendlineLbl>
          </c:trendline>
          <c:xVal>
            <c:numRef>
              <c:f>Sheet6!$A$16:$A$21</c:f>
              <c:numCache>
                <c:formatCode>General</c:formatCode>
                <c:ptCount val="6"/>
                <c:pt idx="0">
                  <c:v>2.6159794444444442</c:v>
                </c:pt>
                <c:pt idx="1">
                  <c:v>2.8537316666666666</c:v>
                </c:pt>
                <c:pt idx="2">
                  <c:v>3.0915727777777779</c:v>
                </c:pt>
                <c:pt idx="3">
                  <c:v>3.3293372222222222</c:v>
                </c:pt>
                <c:pt idx="4">
                  <c:v>3.5670933333333332</c:v>
                </c:pt>
                <c:pt idx="5">
                  <c:v>3.8049416666666671</c:v>
                </c:pt>
              </c:numCache>
            </c:numRef>
          </c:xVal>
          <c:yVal>
            <c:numRef>
              <c:f>Sheet6!$K$16:$K$21</c:f>
              <c:numCache>
                <c:formatCode>General</c:formatCode>
                <c:ptCount val="6"/>
                <c:pt idx="0">
                  <c:v>-1.9761631922263343</c:v>
                </c:pt>
                <c:pt idx="1">
                  <c:v>-1.6544352783648362</c:v>
                </c:pt>
                <c:pt idx="2">
                  <c:v>-1.3493840070997938</c:v>
                </c:pt>
                <c:pt idx="3">
                  <c:v>-1.1666770195822391</c:v>
                </c:pt>
                <c:pt idx="4">
                  <c:v>-1.1294839523351967</c:v>
                </c:pt>
                <c:pt idx="5">
                  <c:v>-0.89894209353954213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3F-7E4B-A66B-A85FEB998E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895584"/>
        <c:axId val="725369696"/>
      </c:scatterChart>
      <c:valAx>
        <c:axId val="795895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725369696"/>
        <c:crosses val="autoZero"/>
        <c:crossBetween val="midCat"/>
      </c:valAx>
      <c:valAx>
        <c:axId val="725369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795895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Sheet6!$A$63</c:f>
              <c:strCache>
                <c:ptCount val="1"/>
                <c:pt idx="0">
                  <c:v>growth_rate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Sheet6!$B$66:$I$66</c:f>
                <c:numCache>
                  <c:formatCode>General</c:formatCode>
                  <c:ptCount val="8"/>
                  <c:pt idx="0">
                    <c:v>0.23224625551379915</c:v>
                  </c:pt>
                  <c:pt idx="1">
                    <c:v>0.11190370309582603</c:v>
                  </c:pt>
                  <c:pt idx="2">
                    <c:v>9.0943426089870508E-2</c:v>
                  </c:pt>
                  <c:pt idx="3">
                    <c:v>6.5848195599859591E-2</c:v>
                  </c:pt>
                  <c:pt idx="4">
                    <c:v>0.11929646986868665</c:v>
                  </c:pt>
                  <c:pt idx="5">
                    <c:v>3.4924769728847067E-2</c:v>
                  </c:pt>
                  <c:pt idx="6">
                    <c:v>0.10625063026174673</c:v>
                  </c:pt>
                  <c:pt idx="7">
                    <c:v>0.17803042809611877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Sheet6!$B$62:$I$62</c:f>
              <c:strCache>
                <c:ptCount val="8"/>
                <c:pt idx="0">
                  <c:v>V1</c:v>
                </c:pt>
                <c:pt idx="1">
                  <c:v>V2</c:v>
                </c:pt>
                <c:pt idx="2">
                  <c:v>V3</c:v>
                </c:pt>
                <c:pt idx="3">
                  <c:v>V4</c:v>
                </c:pt>
                <c:pt idx="4">
                  <c:v>V5</c:v>
                </c:pt>
                <c:pt idx="5">
                  <c:v>V6</c:v>
                </c:pt>
                <c:pt idx="6">
                  <c:v>low_GFP</c:v>
                </c:pt>
                <c:pt idx="7">
                  <c:v>high_GFP</c:v>
                </c:pt>
              </c:strCache>
            </c:strRef>
          </c:cat>
          <c:val>
            <c:numRef>
              <c:f>Sheet6!$B$63:$I$63</c:f>
              <c:numCache>
                <c:formatCode>General</c:formatCode>
                <c:ptCount val="8"/>
                <c:pt idx="0">
                  <c:v>1.5447476261263589</c:v>
                </c:pt>
                <c:pt idx="1">
                  <c:v>1.4721785786419435</c:v>
                </c:pt>
                <c:pt idx="2">
                  <c:v>1.4224969887161454</c:v>
                </c:pt>
                <c:pt idx="3">
                  <c:v>1.3437219535574141</c:v>
                </c:pt>
                <c:pt idx="4">
                  <c:v>1.3941085920197185</c:v>
                </c:pt>
                <c:pt idx="5">
                  <c:v>1.167311732812556</c:v>
                </c:pt>
                <c:pt idx="6">
                  <c:v>1.1799624395714365</c:v>
                </c:pt>
                <c:pt idx="7">
                  <c:v>1.3991346128928974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A8-D44F-AA4D-46DC40403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7627087"/>
        <c:axId val="517628799"/>
      </c:barChart>
      <c:catAx>
        <c:axId val="517627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517628799"/>
        <c:crosses val="autoZero"/>
        <c:auto val="1"/>
        <c:lblAlgn val="ctr"/>
        <c:lblOffset val="100"/>
        <c:noMultiLvlLbl val="0"/>
      </c:catAx>
      <c:valAx>
        <c:axId val="51762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517627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doubeling_time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Sheet6!$A$65</c:f>
              <c:strCache>
                <c:ptCount val="1"/>
                <c:pt idx="0">
                  <c:v>min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Sheet6!$B$62:$I$62</c:f>
              <c:strCache>
                <c:ptCount val="8"/>
                <c:pt idx="0">
                  <c:v>V1</c:v>
                </c:pt>
                <c:pt idx="1">
                  <c:v>V2</c:v>
                </c:pt>
                <c:pt idx="2">
                  <c:v>V3</c:v>
                </c:pt>
                <c:pt idx="3">
                  <c:v>V4</c:v>
                </c:pt>
                <c:pt idx="4">
                  <c:v>V5</c:v>
                </c:pt>
                <c:pt idx="5">
                  <c:v>V6</c:v>
                </c:pt>
                <c:pt idx="6">
                  <c:v>low_GFP</c:v>
                </c:pt>
                <c:pt idx="7">
                  <c:v>high_GFP</c:v>
                </c:pt>
              </c:strCache>
            </c:strRef>
          </c:cat>
          <c:val>
            <c:numRef>
              <c:f>Sheet6!$B$65:$I$65</c:f>
              <c:numCache>
                <c:formatCode>General</c:formatCode>
                <c:ptCount val="8"/>
                <c:pt idx="0">
                  <c:v>26.922734905173947</c:v>
                </c:pt>
                <c:pt idx="1">
                  <c:v>28.249854628343812</c:v>
                </c:pt>
                <c:pt idx="2">
                  <c:v>29.236498328992688</c:v>
                </c:pt>
                <c:pt idx="3">
                  <c:v>30.950473588299324</c:v>
                </c:pt>
                <c:pt idx="4">
                  <c:v>29.831844571981861</c:v>
                </c:pt>
                <c:pt idx="5">
                  <c:v>35.627870143471739</c:v>
                </c:pt>
                <c:pt idx="6">
                  <c:v>35.245893800400815</c:v>
                </c:pt>
                <c:pt idx="7">
                  <c:v>29.724681564132176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5D-5E4F-AA42-97C39197438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Sheet6!$B$62:$I$62</c:f>
              <c:strCache>
                <c:ptCount val="8"/>
                <c:pt idx="0">
                  <c:v>V1</c:v>
                </c:pt>
                <c:pt idx="1">
                  <c:v>V2</c:v>
                </c:pt>
                <c:pt idx="2">
                  <c:v>V3</c:v>
                </c:pt>
                <c:pt idx="3">
                  <c:v>V4</c:v>
                </c:pt>
                <c:pt idx="4">
                  <c:v>V5</c:v>
                </c:pt>
                <c:pt idx="5">
                  <c:v>V6</c:v>
                </c:pt>
                <c:pt idx="6">
                  <c:v>low_GFP</c:v>
                </c:pt>
                <c:pt idx="7">
                  <c:v>high_GFP</c:v>
                </c:pt>
              </c:strCache>
            </c:strRef>
          </c:cat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B95D-5E4F-AA42-97C391974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4606959"/>
        <c:axId val="1695501791"/>
      </c:barChart>
      <c:catAx>
        <c:axId val="169460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695501791"/>
        <c:crosses val="autoZero"/>
        <c:auto val="1"/>
        <c:lblAlgn val="ctr"/>
        <c:lblOffset val="100"/>
        <c:noMultiLvlLbl val="0"/>
      </c:catAx>
      <c:valAx>
        <c:axId val="169550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694606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Sheet4!$A$14:$A$39</c:f>
              <c:numCache>
                <c:formatCode>General</c:formatCode>
                <c:ptCount val="26"/>
                <c:pt idx="0">
                  <c:v>2.1403772222222224</c:v>
                </c:pt>
                <c:pt idx="1">
                  <c:v>2.3782172222222222</c:v>
                </c:pt>
                <c:pt idx="2">
                  <c:v>2.6159794444444442</c:v>
                </c:pt>
                <c:pt idx="3">
                  <c:v>2.8537316666666666</c:v>
                </c:pt>
                <c:pt idx="4">
                  <c:v>3.0915727777777779</c:v>
                </c:pt>
                <c:pt idx="5">
                  <c:v>3.3293372222222222</c:v>
                </c:pt>
                <c:pt idx="6">
                  <c:v>3.5670933333333332</c:v>
                </c:pt>
                <c:pt idx="7">
                  <c:v>3.8049416666666671</c:v>
                </c:pt>
                <c:pt idx="8">
                  <c:v>4.0427038888888891</c:v>
                </c:pt>
                <c:pt idx="9">
                  <c:v>4.2804622222222228</c:v>
                </c:pt>
                <c:pt idx="10">
                  <c:v>4.5183066666666667</c:v>
                </c:pt>
                <c:pt idx="11">
                  <c:v>4.7560597222222221</c:v>
                </c:pt>
                <c:pt idx="12">
                  <c:v>4.9938205555555557</c:v>
                </c:pt>
                <c:pt idx="13">
                  <c:v>5.2316730555555555</c:v>
                </c:pt>
                <c:pt idx="14">
                  <c:v>5.4694311111111116</c:v>
                </c:pt>
                <c:pt idx="15">
                  <c:v>5.7071944444444451</c:v>
                </c:pt>
                <c:pt idx="16">
                  <c:v>5.9450247222222226</c:v>
                </c:pt>
                <c:pt idx="17">
                  <c:v>6.1827869444444445</c:v>
                </c:pt>
                <c:pt idx="18">
                  <c:v>6.4205563888888895</c:v>
                </c:pt>
                <c:pt idx="19">
                  <c:v>6.658389722222223</c:v>
                </c:pt>
                <c:pt idx="20">
                  <c:v>6.8961552777777779</c:v>
                </c:pt>
                <c:pt idx="21">
                  <c:v>7.1339474999999997</c:v>
                </c:pt>
                <c:pt idx="22">
                  <c:v>7.3717841666666661</c:v>
                </c:pt>
                <c:pt idx="23">
                  <c:v>7.609548055555555</c:v>
                </c:pt>
                <c:pt idx="24">
                  <c:v>7.8473716666666666</c:v>
                </c:pt>
                <c:pt idx="25">
                  <c:v>8.085210833333333</c:v>
                </c:pt>
              </c:numCache>
            </c:numRef>
          </c:xVal>
          <c:yVal>
            <c:numRef>
              <c:f>Sheet4!$AY$14:$AY$39</c:f>
              <c:numCache>
                <c:formatCode>General</c:formatCode>
                <c:ptCount val="26"/>
                <c:pt idx="0">
                  <c:v>5.5299999999999988E-2</c:v>
                </c:pt>
                <c:pt idx="1">
                  <c:v>5.8799999999999991E-2</c:v>
                </c:pt>
                <c:pt idx="2">
                  <c:v>0.10089999999999999</c:v>
                </c:pt>
                <c:pt idx="3">
                  <c:v>0.1336</c:v>
                </c:pt>
                <c:pt idx="4">
                  <c:v>0.2208</c:v>
                </c:pt>
                <c:pt idx="5">
                  <c:v>0.27050000000000002</c:v>
                </c:pt>
                <c:pt idx="6">
                  <c:v>0.25929999999999997</c:v>
                </c:pt>
                <c:pt idx="7">
                  <c:v>0.30230000000000001</c:v>
                </c:pt>
                <c:pt idx="8">
                  <c:v>0.3654</c:v>
                </c:pt>
                <c:pt idx="9">
                  <c:v>0.37869999999999998</c:v>
                </c:pt>
                <c:pt idx="10">
                  <c:v>0.40129999999999999</c:v>
                </c:pt>
                <c:pt idx="11">
                  <c:v>0.45020000000000004</c:v>
                </c:pt>
                <c:pt idx="12">
                  <c:v>0.46399999999999997</c:v>
                </c:pt>
                <c:pt idx="13">
                  <c:v>0.48080000000000001</c:v>
                </c:pt>
                <c:pt idx="14">
                  <c:v>0.49949999999999994</c:v>
                </c:pt>
                <c:pt idx="15">
                  <c:v>0.51329999999999998</c:v>
                </c:pt>
                <c:pt idx="16">
                  <c:v>0.53759999999999997</c:v>
                </c:pt>
                <c:pt idx="17">
                  <c:v>0.53400000000000003</c:v>
                </c:pt>
                <c:pt idx="18">
                  <c:v>0.5413</c:v>
                </c:pt>
                <c:pt idx="19">
                  <c:v>0.54959999999999998</c:v>
                </c:pt>
                <c:pt idx="20">
                  <c:v>0.53490000000000004</c:v>
                </c:pt>
                <c:pt idx="21">
                  <c:v>0.53210000000000002</c:v>
                </c:pt>
                <c:pt idx="22">
                  <c:v>0.52380000000000004</c:v>
                </c:pt>
                <c:pt idx="23">
                  <c:v>0.52200000000000002</c:v>
                </c:pt>
                <c:pt idx="24">
                  <c:v>0.51119999999999999</c:v>
                </c:pt>
                <c:pt idx="25">
                  <c:v>0.51319999999999999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84-1B45-96BA-3C0FB0904D66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Sheet4!$A$14:$A$39</c:f>
              <c:numCache>
                <c:formatCode>General</c:formatCode>
                <c:ptCount val="26"/>
                <c:pt idx="0">
                  <c:v>2.1403772222222224</c:v>
                </c:pt>
                <c:pt idx="1">
                  <c:v>2.3782172222222222</c:v>
                </c:pt>
                <c:pt idx="2">
                  <c:v>2.6159794444444442</c:v>
                </c:pt>
                <c:pt idx="3">
                  <c:v>2.8537316666666666</c:v>
                </c:pt>
                <c:pt idx="4">
                  <c:v>3.0915727777777779</c:v>
                </c:pt>
                <c:pt idx="5">
                  <c:v>3.3293372222222222</c:v>
                </c:pt>
                <c:pt idx="6">
                  <c:v>3.5670933333333332</c:v>
                </c:pt>
                <c:pt idx="7">
                  <c:v>3.8049416666666671</c:v>
                </c:pt>
                <c:pt idx="8">
                  <c:v>4.0427038888888891</c:v>
                </c:pt>
                <c:pt idx="9">
                  <c:v>4.2804622222222228</c:v>
                </c:pt>
                <c:pt idx="10">
                  <c:v>4.5183066666666667</c:v>
                </c:pt>
                <c:pt idx="11">
                  <c:v>4.7560597222222221</c:v>
                </c:pt>
                <c:pt idx="12">
                  <c:v>4.9938205555555557</c:v>
                </c:pt>
                <c:pt idx="13">
                  <c:v>5.2316730555555555</c:v>
                </c:pt>
                <c:pt idx="14">
                  <c:v>5.4694311111111116</c:v>
                </c:pt>
                <c:pt idx="15">
                  <c:v>5.7071944444444451</c:v>
                </c:pt>
                <c:pt idx="16">
                  <c:v>5.9450247222222226</c:v>
                </c:pt>
                <c:pt idx="17">
                  <c:v>6.1827869444444445</c:v>
                </c:pt>
                <c:pt idx="18">
                  <c:v>6.4205563888888895</c:v>
                </c:pt>
                <c:pt idx="19">
                  <c:v>6.658389722222223</c:v>
                </c:pt>
                <c:pt idx="20">
                  <c:v>6.8961552777777779</c:v>
                </c:pt>
                <c:pt idx="21">
                  <c:v>7.1339474999999997</c:v>
                </c:pt>
                <c:pt idx="22">
                  <c:v>7.3717841666666661</c:v>
                </c:pt>
                <c:pt idx="23">
                  <c:v>7.609548055555555</c:v>
                </c:pt>
                <c:pt idx="24">
                  <c:v>7.8473716666666666</c:v>
                </c:pt>
                <c:pt idx="25">
                  <c:v>8.085210833333333</c:v>
                </c:pt>
              </c:numCache>
            </c:numRef>
          </c:xVal>
          <c:yVal>
            <c:numRef>
              <c:f>Sheet4!$BA$14:$BA$39</c:f>
              <c:numCache>
                <c:formatCode>General</c:formatCode>
                <c:ptCount val="26"/>
                <c:pt idx="0">
                  <c:v>1.0216998191681739</c:v>
                </c:pt>
                <c:pt idx="1">
                  <c:v>1.5532879818594107</c:v>
                </c:pt>
                <c:pt idx="2">
                  <c:v>1.133135117277833</c:v>
                </c:pt>
                <c:pt idx="3">
                  <c:v>1.1102794411177646</c:v>
                </c:pt>
                <c:pt idx="4">
                  <c:v>0.80842391304347838</c:v>
                </c:pt>
                <c:pt idx="5">
                  <c:v>0.64386937769562536</c:v>
                </c:pt>
                <c:pt idx="6">
                  <c:v>0.79444658696490555</c:v>
                </c:pt>
                <c:pt idx="7">
                  <c:v>0.77186018304112913</c:v>
                </c:pt>
                <c:pt idx="8">
                  <c:v>0.60755336617405586</c:v>
                </c:pt>
                <c:pt idx="9">
                  <c:v>0.64122876507349713</c:v>
                </c:pt>
                <c:pt idx="10">
                  <c:v>0.63294293545975577</c:v>
                </c:pt>
                <c:pt idx="11">
                  <c:v>0.52754331408262989</c:v>
                </c:pt>
                <c:pt idx="12">
                  <c:v>0.5276580459770116</c:v>
                </c:pt>
                <c:pt idx="13">
                  <c:v>0.49431503050471437</c:v>
                </c:pt>
                <c:pt idx="14">
                  <c:v>0.45512178845512186</c:v>
                </c:pt>
                <c:pt idx="15">
                  <c:v>0.43704136632248847</c:v>
                </c:pt>
                <c:pt idx="16">
                  <c:v>0.37295386904761901</c:v>
                </c:pt>
                <c:pt idx="17">
                  <c:v>0.37016229712858922</c:v>
                </c:pt>
                <c:pt idx="18">
                  <c:v>0.33899870681692224</c:v>
                </c:pt>
                <c:pt idx="19">
                  <c:v>0.29536632702571569</c:v>
                </c:pt>
                <c:pt idx="20">
                  <c:v>0.2972518227706113</c:v>
                </c:pt>
                <c:pt idx="21">
                  <c:v>0.26342166259475036</c:v>
                </c:pt>
                <c:pt idx="22">
                  <c:v>0.26250477281405116</c:v>
                </c:pt>
                <c:pt idx="23">
                  <c:v>0.23084291187739461</c:v>
                </c:pt>
                <c:pt idx="24">
                  <c:v>0.24843505477308298</c:v>
                </c:pt>
                <c:pt idx="25">
                  <c:v>0.22538321641984929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84-1B45-96BA-3C0FB0904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756223"/>
        <c:axId val="495757935"/>
      </c:scatterChart>
      <c:valAx>
        <c:axId val="4957562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495757935"/>
        <c:crosses val="autoZero"/>
        <c:crossBetween val="midCat"/>
      </c:valAx>
      <c:valAx>
        <c:axId val="49575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4957562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Sheet4!$A$9:$A$39</c:f>
              <c:numCache>
                <c:formatCode>General</c:formatCode>
                <c:ptCount val="31"/>
                <c:pt idx="0">
                  <c:v>0.95137944444444444</c:v>
                </c:pt>
                <c:pt idx="1">
                  <c:v>1.1891449999999999</c:v>
                </c:pt>
                <c:pt idx="2">
                  <c:v>1.4269777777777777</c:v>
                </c:pt>
                <c:pt idx="3">
                  <c:v>1.6648077777777779</c:v>
                </c:pt>
                <c:pt idx="4">
                  <c:v>1.9025777777777777</c:v>
                </c:pt>
                <c:pt idx="5">
                  <c:v>2.1403772222222224</c:v>
                </c:pt>
                <c:pt idx="6">
                  <c:v>2.3782172222222222</c:v>
                </c:pt>
                <c:pt idx="7">
                  <c:v>2.6159794444444442</c:v>
                </c:pt>
                <c:pt idx="8">
                  <c:v>2.8537316666666666</c:v>
                </c:pt>
                <c:pt idx="9">
                  <c:v>3.0915727777777779</c:v>
                </c:pt>
                <c:pt idx="10">
                  <c:v>3.3293372222222222</c:v>
                </c:pt>
                <c:pt idx="11">
                  <c:v>3.5670933333333332</c:v>
                </c:pt>
                <c:pt idx="12">
                  <c:v>3.8049416666666671</c:v>
                </c:pt>
                <c:pt idx="13">
                  <c:v>4.0427038888888891</c:v>
                </c:pt>
                <c:pt idx="14">
                  <c:v>4.2804622222222228</c:v>
                </c:pt>
                <c:pt idx="15">
                  <c:v>4.5183066666666667</c:v>
                </c:pt>
                <c:pt idx="16">
                  <c:v>4.7560597222222221</c:v>
                </c:pt>
                <c:pt idx="17">
                  <c:v>4.9938205555555557</c:v>
                </c:pt>
                <c:pt idx="18">
                  <c:v>5.2316730555555555</c:v>
                </c:pt>
                <c:pt idx="19">
                  <c:v>5.4694311111111116</c:v>
                </c:pt>
                <c:pt idx="20">
                  <c:v>5.7071944444444451</c:v>
                </c:pt>
                <c:pt idx="21">
                  <c:v>5.9450247222222226</c:v>
                </c:pt>
                <c:pt idx="22">
                  <c:v>6.1827869444444445</c:v>
                </c:pt>
                <c:pt idx="23">
                  <c:v>6.4205563888888895</c:v>
                </c:pt>
                <c:pt idx="24">
                  <c:v>6.658389722222223</c:v>
                </c:pt>
                <c:pt idx="25">
                  <c:v>6.8961552777777779</c:v>
                </c:pt>
                <c:pt idx="26">
                  <c:v>7.1339474999999997</c:v>
                </c:pt>
                <c:pt idx="27">
                  <c:v>7.3717841666666661</c:v>
                </c:pt>
                <c:pt idx="28">
                  <c:v>7.609548055555555</c:v>
                </c:pt>
                <c:pt idx="29">
                  <c:v>7.8473716666666666</c:v>
                </c:pt>
                <c:pt idx="30">
                  <c:v>8.085210833333333</c:v>
                </c:pt>
              </c:numCache>
            </c:numRef>
          </c:xVal>
          <c:yVal>
            <c:numRef>
              <c:f>Sheet4!$AI$9:$AI$39</c:f>
              <c:numCache>
                <c:formatCode>General</c:formatCode>
                <c:ptCount val="31"/>
                <c:pt idx="0">
                  <c:v>1.0700000000000001E-2</c:v>
                </c:pt>
                <c:pt idx="1">
                  <c:v>1.960000000000002E-2</c:v>
                </c:pt>
                <c:pt idx="2">
                  <c:v>2.5099999999999997E-2</c:v>
                </c:pt>
                <c:pt idx="3">
                  <c:v>2.8899999999999995E-2</c:v>
                </c:pt>
                <c:pt idx="4">
                  <c:v>4.4100000000000014E-2</c:v>
                </c:pt>
                <c:pt idx="5">
                  <c:v>6.0100000000000001E-2</c:v>
                </c:pt>
                <c:pt idx="6">
                  <c:v>7.2800000000000017E-2</c:v>
                </c:pt>
                <c:pt idx="7">
                  <c:v>0.1065</c:v>
                </c:pt>
                <c:pt idx="8">
                  <c:v>0.14410000000000001</c:v>
                </c:pt>
                <c:pt idx="9">
                  <c:v>0.1991</c:v>
                </c:pt>
                <c:pt idx="10">
                  <c:v>0.21289999999999998</c:v>
                </c:pt>
                <c:pt idx="11">
                  <c:v>0.22589999999999999</c:v>
                </c:pt>
                <c:pt idx="12">
                  <c:v>0.25219999999999998</c:v>
                </c:pt>
                <c:pt idx="13">
                  <c:v>0.28649999999999998</c:v>
                </c:pt>
                <c:pt idx="14">
                  <c:v>0.30659999999999998</c:v>
                </c:pt>
                <c:pt idx="15">
                  <c:v>0.32240000000000002</c:v>
                </c:pt>
                <c:pt idx="16">
                  <c:v>0.35289999999999999</c:v>
                </c:pt>
                <c:pt idx="17">
                  <c:v>0.3639</c:v>
                </c:pt>
                <c:pt idx="18">
                  <c:v>0.38159999999999999</c:v>
                </c:pt>
                <c:pt idx="19">
                  <c:v>0.38079999999999997</c:v>
                </c:pt>
                <c:pt idx="20">
                  <c:v>0.40919999999999995</c:v>
                </c:pt>
                <c:pt idx="21">
                  <c:v>0.41399999999999998</c:v>
                </c:pt>
                <c:pt idx="22">
                  <c:v>0.40840000000000004</c:v>
                </c:pt>
                <c:pt idx="23">
                  <c:v>0.43260000000000004</c:v>
                </c:pt>
                <c:pt idx="24">
                  <c:v>0.42670000000000002</c:v>
                </c:pt>
                <c:pt idx="25">
                  <c:v>0.40479999999999999</c:v>
                </c:pt>
                <c:pt idx="26">
                  <c:v>0.40809999999999996</c:v>
                </c:pt>
                <c:pt idx="27">
                  <c:v>0.40499999999999997</c:v>
                </c:pt>
                <c:pt idx="28">
                  <c:v>0.40670000000000001</c:v>
                </c:pt>
                <c:pt idx="29">
                  <c:v>0.3977</c:v>
                </c:pt>
                <c:pt idx="30">
                  <c:v>0.40119999999999995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B5-B944-A190-8CEA2F9B5FCE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Sheet4!$A$9:$A$39</c:f>
              <c:numCache>
                <c:formatCode>General</c:formatCode>
                <c:ptCount val="31"/>
                <c:pt idx="0">
                  <c:v>0.95137944444444444</c:v>
                </c:pt>
                <c:pt idx="1">
                  <c:v>1.1891449999999999</c:v>
                </c:pt>
                <c:pt idx="2">
                  <c:v>1.4269777777777777</c:v>
                </c:pt>
                <c:pt idx="3">
                  <c:v>1.6648077777777779</c:v>
                </c:pt>
                <c:pt idx="4">
                  <c:v>1.9025777777777777</c:v>
                </c:pt>
                <c:pt idx="5">
                  <c:v>2.1403772222222224</c:v>
                </c:pt>
                <c:pt idx="6">
                  <c:v>2.3782172222222222</c:v>
                </c:pt>
                <c:pt idx="7">
                  <c:v>2.6159794444444442</c:v>
                </c:pt>
                <c:pt idx="8">
                  <c:v>2.8537316666666666</c:v>
                </c:pt>
                <c:pt idx="9">
                  <c:v>3.0915727777777779</c:v>
                </c:pt>
                <c:pt idx="10">
                  <c:v>3.3293372222222222</c:v>
                </c:pt>
                <c:pt idx="11">
                  <c:v>3.5670933333333332</c:v>
                </c:pt>
                <c:pt idx="12">
                  <c:v>3.8049416666666671</c:v>
                </c:pt>
                <c:pt idx="13">
                  <c:v>4.0427038888888891</c:v>
                </c:pt>
                <c:pt idx="14">
                  <c:v>4.2804622222222228</c:v>
                </c:pt>
                <c:pt idx="15">
                  <c:v>4.5183066666666667</c:v>
                </c:pt>
                <c:pt idx="16">
                  <c:v>4.7560597222222221</c:v>
                </c:pt>
                <c:pt idx="17">
                  <c:v>4.9938205555555557</c:v>
                </c:pt>
                <c:pt idx="18">
                  <c:v>5.2316730555555555</c:v>
                </c:pt>
                <c:pt idx="19">
                  <c:v>5.4694311111111116</c:v>
                </c:pt>
                <c:pt idx="20">
                  <c:v>5.7071944444444451</c:v>
                </c:pt>
                <c:pt idx="21">
                  <c:v>5.9450247222222226</c:v>
                </c:pt>
                <c:pt idx="22">
                  <c:v>6.1827869444444445</c:v>
                </c:pt>
                <c:pt idx="23">
                  <c:v>6.4205563888888895</c:v>
                </c:pt>
                <c:pt idx="24">
                  <c:v>6.658389722222223</c:v>
                </c:pt>
                <c:pt idx="25">
                  <c:v>6.8961552777777779</c:v>
                </c:pt>
                <c:pt idx="26">
                  <c:v>7.1339474999999997</c:v>
                </c:pt>
                <c:pt idx="27">
                  <c:v>7.3717841666666661</c:v>
                </c:pt>
                <c:pt idx="28">
                  <c:v>7.609548055555555</c:v>
                </c:pt>
                <c:pt idx="29">
                  <c:v>7.8473716666666666</c:v>
                </c:pt>
                <c:pt idx="30">
                  <c:v>8.085210833333333</c:v>
                </c:pt>
              </c:numCache>
            </c:numRef>
          </c:xVal>
          <c:yVal>
            <c:numRef>
              <c:f>Sheet4!$AK$9:$AK$39</c:f>
              <c:numCache>
                <c:formatCode>General</c:formatCode>
                <c:ptCount val="31"/>
                <c:pt idx="0">
                  <c:v>-0.60747663551401865</c:v>
                </c:pt>
                <c:pt idx="1">
                  <c:v>4.2517006802721045E-2</c:v>
                </c:pt>
                <c:pt idx="2">
                  <c:v>-0.31208499335989376</c:v>
                </c:pt>
                <c:pt idx="3">
                  <c:v>0</c:v>
                </c:pt>
                <c:pt idx="4">
                  <c:v>0.12849584278155704</c:v>
                </c:pt>
                <c:pt idx="5">
                  <c:v>0.19966722129783693</c:v>
                </c:pt>
                <c:pt idx="6">
                  <c:v>0.24954212454212449</c:v>
                </c:pt>
                <c:pt idx="7">
                  <c:v>0.30203442879499215</c:v>
                </c:pt>
                <c:pt idx="8">
                  <c:v>0.32037936618089291</c:v>
                </c:pt>
                <c:pt idx="9">
                  <c:v>0.29549640046877618</c:v>
                </c:pt>
                <c:pt idx="10">
                  <c:v>0.23954908407703152</c:v>
                </c:pt>
                <c:pt idx="11">
                  <c:v>0.25379961634941717</c:v>
                </c:pt>
                <c:pt idx="12">
                  <c:v>0.25244514935236584</c:v>
                </c:pt>
                <c:pt idx="13">
                  <c:v>0.19429901105293776</c:v>
                </c:pt>
                <c:pt idx="14">
                  <c:v>0.21689497716894979</c:v>
                </c:pt>
                <c:pt idx="15">
                  <c:v>0.19489247311827956</c:v>
                </c:pt>
                <c:pt idx="16">
                  <c:v>0.1572683479739303</c:v>
                </c:pt>
                <c:pt idx="17">
                  <c:v>0.15663643858202803</c:v>
                </c:pt>
                <c:pt idx="18">
                  <c:v>0.14893431167016075</c:v>
                </c:pt>
                <c:pt idx="19">
                  <c:v>0.15012254901960784</c:v>
                </c:pt>
                <c:pt idx="20">
                  <c:v>0.12952101661779084</c:v>
                </c:pt>
                <c:pt idx="21">
                  <c:v>0.11030595813204509</c:v>
                </c:pt>
                <c:pt idx="22">
                  <c:v>0.126101860920666</c:v>
                </c:pt>
                <c:pt idx="23">
                  <c:v>0.10671906302974263</c:v>
                </c:pt>
                <c:pt idx="24">
                  <c:v>8.9446137020545255E-2</c:v>
                </c:pt>
                <c:pt idx="25">
                  <c:v>9.469696969696971E-2</c:v>
                </c:pt>
                <c:pt idx="26">
                  <c:v>9.311443273707426E-2</c:v>
                </c:pt>
                <c:pt idx="27">
                  <c:v>9.5061728395061745E-2</c:v>
                </c:pt>
                <c:pt idx="28">
                  <c:v>7.0895828210802397E-2</c:v>
                </c:pt>
                <c:pt idx="29">
                  <c:v>8.4234347498114162E-2</c:v>
                </c:pt>
                <c:pt idx="30">
                  <c:v>8.1422399468261894E-2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B5-B944-A190-8CEA2F9B5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88063"/>
        <c:axId val="91359375"/>
      </c:scatterChart>
      <c:valAx>
        <c:axId val="114688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91359375"/>
        <c:crosses val="autoZero"/>
        <c:crossBetween val="midCat"/>
      </c:valAx>
      <c:valAx>
        <c:axId val="9135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146880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Sheet4!$A$7:$A$39</c:f>
              <c:numCache>
                <c:formatCode>General</c:formatCode>
                <c:ptCount val="33"/>
                <c:pt idx="0">
                  <c:v>0.4757197222222222</c:v>
                </c:pt>
                <c:pt idx="1">
                  <c:v>0.7135488888888889</c:v>
                </c:pt>
                <c:pt idx="2">
                  <c:v>0.95137944444444444</c:v>
                </c:pt>
                <c:pt idx="3">
                  <c:v>1.1891449999999999</c:v>
                </c:pt>
                <c:pt idx="4">
                  <c:v>1.4269777777777777</c:v>
                </c:pt>
                <c:pt idx="5">
                  <c:v>1.6648077777777779</c:v>
                </c:pt>
                <c:pt idx="6">
                  <c:v>1.9025777777777777</c:v>
                </c:pt>
                <c:pt idx="7">
                  <c:v>2.1403772222222224</c:v>
                </c:pt>
                <c:pt idx="8">
                  <c:v>2.3782172222222222</c:v>
                </c:pt>
                <c:pt idx="9">
                  <c:v>2.6159794444444442</c:v>
                </c:pt>
                <c:pt idx="10">
                  <c:v>2.8537316666666666</c:v>
                </c:pt>
                <c:pt idx="11">
                  <c:v>3.0915727777777779</c:v>
                </c:pt>
                <c:pt idx="12">
                  <c:v>3.3293372222222222</c:v>
                </c:pt>
                <c:pt idx="13">
                  <c:v>3.5670933333333332</c:v>
                </c:pt>
                <c:pt idx="14">
                  <c:v>3.8049416666666671</c:v>
                </c:pt>
                <c:pt idx="15">
                  <c:v>4.0427038888888891</c:v>
                </c:pt>
                <c:pt idx="16">
                  <c:v>4.2804622222222228</c:v>
                </c:pt>
                <c:pt idx="17">
                  <c:v>4.5183066666666667</c:v>
                </c:pt>
                <c:pt idx="18">
                  <c:v>4.7560597222222221</c:v>
                </c:pt>
                <c:pt idx="19">
                  <c:v>4.9938205555555557</c:v>
                </c:pt>
                <c:pt idx="20">
                  <c:v>5.2316730555555555</c:v>
                </c:pt>
                <c:pt idx="21">
                  <c:v>5.4694311111111116</c:v>
                </c:pt>
                <c:pt idx="22">
                  <c:v>5.7071944444444451</c:v>
                </c:pt>
                <c:pt idx="23">
                  <c:v>5.9450247222222226</c:v>
                </c:pt>
                <c:pt idx="24">
                  <c:v>6.1827869444444445</c:v>
                </c:pt>
                <c:pt idx="25">
                  <c:v>6.4205563888888895</c:v>
                </c:pt>
                <c:pt idx="26">
                  <c:v>6.658389722222223</c:v>
                </c:pt>
                <c:pt idx="27">
                  <c:v>6.8961552777777779</c:v>
                </c:pt>
                <c:pt idx="28">
                  <c:v>7.1339474999999997</c:v>
                </c:pt>
                <c:pt idx="29">
                  <c:v>7.3717841666666661</c:v>
                </c:pt>
                <c:pt idx="30">
                  <c:v>7.609548055555555</c:v>
                </c:pt>
                <c:pt idx="31">
                  <c:v>7.8473716666666666</c:v>
                </c:pt>
                <c:pt idx="32">
                  <c:v>8.085210833333333</c:v>
                </c:pt>
              </c:numCache>
            </c:numRef>
          </c:xVal>
          <c:yVal>
            <c:numRef>
              <c:f>Sheet4!$AE$8:$AE$39</c:f>
              <c:numCache>
                <c:formatCode>General</c:formatCode>
                <c:ptCount val="32"/>
                <c:pt idx="0">
                  <c:v>0</c:v>
                </c:pt>
                <c:pt idx="1">
                  <c:v>0.44270833333333309</c:v>
                </c:pt>
                <c:pt idx="2">
                  <c:v>0.83333333333333315</c:v>
                </c:pt>
                <c:pt idx="3">
                  <c:v>3.4965034965034947E-2</c:v>
                </c:pt>
                <c:pt idx="4">
                  <c:v>0.82840236686390545</c:v>
                </c:pt>
                <c:pt idx="5">
                  <c:v>0.86666666666666681</c:v>
                </c:pt>
                <c:pt idx="6">
                  <c:v>0.72943172179813398</c:v>
                </c:pt>
                <c:pt idx="7">
                  <c:v>0.96026490066225156</c:v>
                </c:pt>
                <c:pt idx="8">
                  <c:v>0.83218072844628854</c:v>
                </c:pt>
                <c:pt idx="9">
                  <c:v>0.80569514237855944</c:v>
                </c:pt>
                <c:pt idx="10">
                  <c:v>0.65278681414009976</c:v>
                </c:pt>
                <c:pt idx="11">
                  <c:v>0.49544908122960679</c:v>
                </c:pt>
                <c:pt idx="12">
                  <c:v>0.54671968190854869</c:v>
                </c:pt>
                <c:pt idx="13">
                  <c:v>0.5340104647583872</c:v>
                </c:pt>
                <c:pt idx="14">
                  <c:v>0.45116341991341991</c:v>
                </c:pt>
                <c:pt idx="15">
                  <c:v>0.46482724335073333</c:v>
                </c:pt>
                <c:pt idx="16">
                  <c:v>0.40380749674825589</c:v>
                </c:pt>
                <c:pt idx="17">
                  <c:v>0.33605955751284472</c:v>
                </c:pt>
                <c:pt idx="18">
                  <c:v>0.32544378698224846</c:v>
                </c:pt>
                <c:pt idx="19">
                  <c:v>0.32708455379808632</c:v>
                </c:pt>
                <c:pt idx="20">
                  <c:v>0.31891292290626733</c:v>
                </c:pt>
                <c:pt idx="21">
                  <c:v>0.28619980323763528</c:v>
                </c:pt>
                <c:pt idx="22">
                  <c:v>0.23354015856601174</c:v>
                </c:pt>
                <c:pt idx="23">
                  <c:v>0.23994649276816321</c:v>
                </c:pt>
                <c:pt idx="24">
                  <c:v>0.23138998682476947</c:v>
                </c:pt>
                <c:pt idx="25">
                  <c:v>0.19921298573536644</c:v>
                </c:pt>
                <c:pt idx="26">
                  <c:v>0.19915883226125683</c:v>
                </c:pt>
                <c:pt idx="27">
                  <c:v>0.19047619047619049</c:v>
                </c:pt>
                <c:pt idx="28">
                  <c:v>0.20116355293346447</c:v>
                </c:pt>
                <c:pt idx="29">
                  <c:v>0.15132823422978861</c:v>
                </c:pt>
                <c:pt idx="30">
                  <c:v>0.16856717897868118</c:v>
                </c:pt>
                <c:pt idx="31">
                  <c:v>0.16691830229827209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D6-CD4F-A28D-51434B056F94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Sheet4!$A$7:$A$39</c:f>
              <c:numCache>
                <c:formatCode>General</c:formatCode>
                <c:ptCount val="33"/>
                <c:pt idx="0">
                  <c:v>0.4757197222222222</c:v>
                </c:pt>
                <c:pt idx="1">
                  <c:v>0.7135488888888889</c:v>
                </c:pt>
                <c:pt idx="2">
                  <c:v>0.95137944444444444</c:v>
                </c:pt>
                <c:pt idx="3">
                  <c:v>1.1891449999999999</c:v>
                </c:pt>
                <c:pt idx="4">
                  <c:v>1.4269777777777777</c:v>
                </c:pt>
                <c:pt idx="5">
                  <c:v>1.6648077777777779</c:v>
                </c:pt>
                <c:pt idx="6">
                  <c:v>1.9025777777777777</c:v>
                </c:pt>
                <c:pt idx="7">
                  <c:v>2.1403772222222224</c:v>
                </c:pt>
                <c:pt idx="8">
                  <c:v>2.3782172222222222</c:v>
                </c:pt>
                <c:pt idx="9">
                  <c:v>2.6159794444444442</c:v>
                </c:pt>
                <c:pt idx="10">
                  <c:v>2.8537316666666666</c:v>
                </c:pt>
                <c:pt idx="11">
                  <c:v>3.0915727777777779</c:v>
                </c:pt>
                <c:pt idx="12">
                  <c:v>3.3293372222222222</c:v>
                </c:pt>
                <c:pt idx="13">
                  <c:v>3.5670933333333332</c:v>
                </c:pt>
                <c:pt idx="14">
                  <c:v>3.8049416666666671</c:v>
                </c:pt>
                <c:pt idx="15">
                  <c:v>4.0427038888888891</c:v>
                </c:pt>
                <c:pt idx="16">
                  <c:v>4.2804622222222228</c:v>
                </c:pt>
                <c:pt idx="17">
                  <c:v>4.5183066666666667</c:v>
                </c:pt>
                <c:pt idx="18">
                  <c:v>4.7560597222222221</c:v>
                </c:pt>
                <c:pt idx="19">
                  <c:v>4.9938205555555557</c:v>
                </c:pt>
                <c:pt idx="20">
                  <c:v>5.2316730555555555</c:v>
                </c:pt>
                <c:pt idx="21">
                  <c:v>5.4694311111111116</c:v>
                </c:pt>
                <c:pt idx="22">
                  <c:v>5.7071944444444451</c:v>
                </c:pt>
                <c:pt idx="23">
                  <c:v>5.9450247222222226</c:v>
                </c:pt>
                <c:pt idx="24">
                  <c:v>6.1827869444444445</c:v>
                </c:pt>
                <c:pt idx="25">
                  <c:v>6.4205563888888895</c:v>
                </c:pt>
                <c:pt idx="26">
                  <c:v>6.658389722222223</c:v>
                </c:pt>
                <c:pt idx="27">
                  <c:v>6.8961552777777779</c:v>
                </c:pt>
                <c:pt idx="28">
                  <c:v>7.1339474999999997</c:v>
                </c:pt>
                <c:pt idx="29">
                  <c:v>7.3717841666666661</c:v>
                </c:pt>
                <c:pt idx="30">
                  <c:v>7.609548055555555</c:v>
                </c:pt>
                <c:pt idx="31">
                  <c:v>7.8473716666666666</c:v>
                </c:pt>
                <c:pt idx="32">
                  <c:v>8.085210833333333</c:v>
                </c:pt>
              </c:numCache>
            </c:numRef>
          </c:xVal>
          <c:yVal>
            <c:numRef>
              <c:f>Sheet4!$AC$8:$AC$39</c:f>
              <c:numCache>
                <c:formatCode>General</c:formatCode>
                <c:ptCount val="32"/>
                <c:pt idx="0">
                  <c:v>2.1000000000000046E-3</c:v>
                </c:pt>
                <c:pt idx="1">
                  <c:v>6.4000000000000029E-3</c:v>
                </c:pt>
                <c:pt idx="2">
                  <c:v>1.2200000000000003E-2</c:v>
                </c:pt>
                <c:pt idx="3">
                  <c:v>1.4300000000000007E-2</c:v>
                </c:pt>
                <c:pt idx="4">
                  <c:v>1.6899999999999998E-2</c:v>
                </c:pt>
                <c:pt idx="5">
                  <c:v>2.7499999999999997E-2</c:v>
                </c:pt>
                <c:pt idx="6">
                  <c:v>3.9300000000000002E-2</c:v>
                </c:pt>
                <c:pt idx="7">
                  <c:v>4.5300000000000007E-2</c:v>
                </c:pt>
                <c:pt idx="8">
                  <c:v>7.2300000000000003E-2</c:v>
                </c:pt>
                <c:pt idx="9">
                  <c:v>9.9500000000000005E-2</c:v>
                </c:pt>
                <c:pt idx="10">
                  <c:v>0.1537</c:v>
                </c:pt>
                <c:pt idx="11">
                  <c:v>0.19409999999999999</c:v>
                </c:pt>
                <c:pt idx="12">
                  <c:v>0.20119999999999999</c:v>
                </c:pt>
                <c:pt idx="13">
                  <c:v>0.21660000000000001</c:v>
                </c:pt>
                <c:pt idx="14">
                  <c:v>0.24640000000000001</c:v>
                </c:pt>
                <c:pt idx="15">
                  <c:v>0.26819999999999999</c:v>
                </c:pt>
                <c:pt idx="16">
                  <c:v>0.28189999999999998</c:v>
                </c:pt>
                <c:pt idx="17">
                  <c:v>0.31790000000000002</c:v>
                </c:pt>
                <c:pt idx="18">
                  <c:v>0.33800000000000002</c:v>
                </c:pt>
                <c:pt idx="19">
                  <c:v>0.34139999999999998</c:v>
                </c:pt>
                <c:pt idx="20">
                  <c:v>0.36059999999999998</c:v>
                </c:pt>
                <c:pt idx="21">
                  <c:v>0.37269999999999998</c:v>
                </c:pt>
                <c:pt idx="22">
                  <c:v>0.38679999999999998</c:v>
                </c:pt>
                <c:pt idx="23">
                  <c:v>0.3987</c:v>
                </c:pt>
                <c:pt idx="24">
                  <c:v>0.40479999999999999</c:v>
                </c:pt>
                <c:pt idx="25">
                  <c:v>0.40660000000000002</c:v>
                </c:pt>
                <c:pt idx="26">
                  <c:v>0.40419999999999995</c:v>
                </c:pt>
                <c:pt idx="27">
                  <c:v>0.40599999999999997</c:v>
                </c:pt>
                <c:pt idx="28">
                  <c:v>0.40679999999999999</c:v>
                </c:pt>
                <c:pt idx="29">
                  <c:v>0.40530000000000005</c:v>
                </c:pt>
                <c:pt idx="30">
                  <c:v>0.40340000000000004</c:v>
                </c:pt>
                <c:pt idx="31">
                  <c:v>0.39740000000000003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D6-CD4F-A28D-51434B056F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474464"/>
        <c:axId val="532555184"/>
      </c:scatterChart>
      <c:valAx>
        <c:axId val="532474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532555184"/>
        <c:crosses val="autoZero"/>
        <c:crossBetween val="midCat"/>
      </c:valAx>
      <c:valAx>
        <c:axId val="53255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5324744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Sheet4!$A$11:$A$39</c:f>
              <c:numCache>
                <c:formatCode>General</c:formatCode>
                <c:ptCount val="29"/>
                <c:pt idx="0">
                  <c:v>1.4269777777777777</c:v>
                </c:pt>
                <c:pt idx="1">
                  <c:v>1.6648077777777779</c:v>
                </c:pt>
                <c:pt idx="2">
                  <c:v>1.9025777777777777</c:v>
                </c:pt>
                <c:pt idx="3">
                  <c:v>2.1403772222222224</c:v>
                </c:pt>
                <c:pt idx="4">
                  <c:v>2.3782172222222222</c:v>
                </c:pt>
                <c:pt idx="5">
                  <c:v>2.6159794444444442</c:v>
                </c:pt>
                <c:pt idx="6">
                  <c:v>2.8537316666666666</c:v>
                </c:pt>
                <c:pt idx="7">
                  <c:v>3.0915727777777779</c:v>
                </c:pt>
                <c:pt idx="8">
                  <c:v>3.3293372222222222</c:v>
                </c:pt>
                <c:pt idx="9">
                  <c:v>3.5670933333333332</c:v>
                </c:pt>
                <c:pt idx="10">
                  <c:v>3.8049416666666671</c:v>
                </c:pt>
                <c:pt idx="11">
                  <c:v>4.0427038888888891</c:v>
                </c:pt>
                <c:pt idx="12">
                  <c:v>4.2804622222222228</c:v>
                </c:pt>
                <c:pt idx="13">
                  <c:v>4.5183066666666667</c:v>
                </c:pt>
                <c:pt idx="14">
                  <c:v>4.7560597222222221</c:v>
                </c:pt>
                <c:pt idx="15">
                  <c:v>4.9938205555555557</c:v>
                </c:pt>
                <c:pt idx="16">
                  <c:v>5.2316730555555555</c:v>
                </c:pt>
                <c:pt idx="17">
                  <c:v>5.4694311111111116</c:v>
                </c:pt>
                <c:pt idx="18">
                  <c:v>5.7071944444444451</c:v>
                </c:pt>
                <c:pt idx="19">
                  <c:v>5.9450247222222226</c:v>
                </c:pt>
                <c:pt idx="20">
                  <c:v>6.1827869444444445</c:v>
                </c:pt>
                <c:pt idx="21">
                  <c:v>6.4205563888888895</c:v>
                </c:pt>
                <c:pt idx="22">
                  <c:v>6.658389722222223</c:v>
                </c:pt>
                <c:pt idx="23">
                  <c:v>6.8961552777777779</c:v>
                </c:pt>
                <c:pt idx="24">
                  <c:v>7.1339474999999997</c:v>
                </c:pt>
                <c:pt idx="25">
                  <c:v>7.3717841666666661</c:v>
                </c:pt>
                <c:pt idx="26">
                  <c:v>7.609548055555555</c:v>
                </c:pt>
                <c:pt idx="27">
                  <c:v>7.8473716666666666</c:v>
                </c:pt>
                <c:pt idx="28">
                  <c:v>8.085210833333333</c:v>
                </c:pt>
              </c:numCache>
            </c:numRef>
          </c:xVal>
          <c:yVal>
            <c:numRef>
              <c:f>Sheet4!$Q$11:$Q$39</c:f>
              <c:numCache>
                <c:formatCode>General</c:formatCode>
                <c:ptCount val="29"/>
                <c:pt idx="0">
                  <c:v>1.5199999999999991E-2</c:v>
                </c:pt>
                <c:pt idx="1">
                  <c:v>1.7899999999999999E-2</c:v>
                </c:pt>
                <c:pt idx="2">
                  <c:v>2.679999999999999E-2</c:v>
                </c:pt>
                <c:pt idx="3">
                  <c:v>3.8199999999999984E-2</c:v>
                </c:pt>
                <c:pt idx="4">
                  <c:v>4.6999999999999986E-2</c:v>
                </c:pt>
                <c:pt idx="5">
                  <c:v>7.2699999999999987E-2</c:v>
                </c:pt>
                <c:pt idx="6">
                  <c:v>0.1038</c:v>
                </c:pt>
                <c:pt idx="7">
                  <c:v>0.15299999999999997</c:v>
                </c:pt>
                <c:pt idx="8">
                  <c:v>0.19329999999999997</c:v>
                </c:pt>
                <c:pt idx="9">
                  <c:v>0.18929999999999997</c:v>
                </c:pt>
                <c:pt idx="10">
                  <c:v>0.22149999999999997</c:v>
                </c:pt>
                <c:pt idx="11">
                  <c:v>0.25829999999999997</c:v>
                </c:pt>
                <c:pt idx="12">
                  <c:v>0.27239999999999998</c:v>
                </c:pt>
                <c:pt idx="13">
                  <c:v>0.29549999999999998</c:v>
                </c:pt>
                <c:pt idx="14">
                  <c:v>0.33700000000000002</c:v>
                </c:pt>
                <c:pt idx="15">
                  <c:v>0.35580000000000001</c:v>
                </c:pt>
                <c:pt idx="16">
                  <c:v>0.35759999999999997</c:v>
                </c:pt>
                <c:pt idx="17">
                  <c:v>0.379</c:v>
                </c:pt>
                <c:pt idx="18">
                  <c:v>0.39360000000000001</c:v>
                </c:pt>
                <c:pt idx="19">
                  <c:v>0.40179999999999999</c:v>
                </c:pt>
                <c:pt idx="20">
                  <c:v>0.41419999999999996</c:v>
                </c:pt>
                <c:pt idx="21">
                  <c:v>0.42519999999999997</c:v>
                </c:pt>
                <c:pt idx="22">
                  <c:v>0.4209</c:v>
                </c:pt>
                <c:pt idx="23">
                  <c:v>0.42429999999999995</c:v>
                </c:pt>
                <c:pt idx="24">
                  <c:v>0.42660000000000003</c:v>
                </c:pt>
                <c:pt idx="25">
                  <c:v>0.42450000000000004</c:v>
                </c:pt>
                <c:pt idx="26">
                  <c:v>0.41209999999999997</c:v>
                </c:pt>
                <c:pt idx="27">
                  <c:v>0.43809999999999999</c:v>
                </c:pt>
                <c:pt idx="28">
                  <c:v>0.41029999999999994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2C-C642-9DDE-5A2B7C74BD15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Sheet4!$A$11:$A$39</c:f>
              <c:numCache>
                <c:formatCode>General</c:formatCode>
                <c:ptCount val="29"/>
                <c:pt idx="0">
                  <c:v>1.4269777777777777</c:v>
                </c:pt>
                <c:pt idx="1">
                  <c:v>1.6648077777777779</c:v>
                </c:pt>
                <c:pt idx="2">
                  <c:v>1.9025777777777777</c:v>
                </c:pt>
                <c:pt idx="3">
                  <c:v>2.1403772222222224</c:v>
                </c:pt>
                <c:pt idx="4">
                  <c:v>2.3782172222222222</c:v>
                </c:pt>
                <c:pt idx="5">
                  <c:v>2.6159794444444442</c:v>
                </c:pt>
                <c:pt idx="6">
                  <c:v>2.8537316666666666</c:v>
                </c:pt>
                <c:pt idx="7">
                  <c:v>3.0915727777777779</c:v>
                </c:pt>
                <c:pt idx="8">
                  <c:v>3.3293372222222222</c:v>
                </c:pt>
                <c:pt idx="9">
                  <c:v>3.5670933333333332</c:v>
                </c:pt>
                <c:pt idx="10">
                  <c:v>3.8049416666666671</c:v>
                </c:pt>
                <c:pt idx="11">
                  <c:v>4.0427038888888891</c:v>
                </c:pt>
                <c:pt idx="12">
                  <c:v>4.2804622222222228</c:v>
                </c:pt>
                <c:pt idx="13">
                  <c:v>4.5183066666666667</c:v>
                </c:pt>
                <c:pt idx="14">
                  <c:v>4.7560597222222221</c:v>
                </c:pt>
                <c:pt idx="15">
                  <c:v>4.9938205555555557</c:v>
                </c:pt>
                <c:pt idx="16">
                  <c:v>5.2316730555555555</c:v>
                </c:pt>
                <c:pt idx="17">
                  <c:v>5.4694311111111116</c:v>
                </c:pt>
                <c:pt idx="18">
                  <c:v>5.7071944444444451</c:v>
                </c:pt>
                <c:pt idx="19">
                  <c:v>5.9450247222222226</c:v>
                </c:pt>
                <c:pt idx="20">
                  <c:v>6.1827869444444445</c:v>
                </c:pt>
                <c:pt idx="21">
                  <c:v>6.4205563888888895</c:v>
                </c:pt>
                <c:pt idx="22">
                  <c:v>6.658389722222223</c:v>
                </c:pt>
                <c:pt idx="23">
                  <c:v>6.8961552777777779</c:v>
                </c:pt>
                <c:pt idx="24">
                  <c:v>7.1339474999999997</c:v>
                </c:pt>
                <c:pt idx="25">
                  <c:v>7.3717841666666661</c:v>
                </c:pt>
                <c:pt idx="26">
                  <c:v>7.609548055555555</c:v>
                </c:pt>
                <c:pt idx="27">
                  <c:v>7.8473716666666666</c:v>
                </c:pt>
                <c:pt idx="28">
                  <c:v>8.085210833333333</c:v>
                </c:pt>
              </c:numCache>
            </c:numRef>
          </c:xVal>
          <c:yVal>
            <c:numRef>
              <c:f>Sheet4!$S$11:$S$39</c:f>
              <c:numCache>
                <c:formatCode>General</c:formatCode>
                <c:ptCount val="29"/>
                <c:pt idx="0">
                  <c:v>0</c:v>
                </c:pt>
                <c:pt idx="1">
                  <c:v>0.26070763500931099</c:v>
                </c:pt>
                <c:pt idx="2">
                  <c:v>0.14303482587064681</c:v>
                </c:pt>
                <c:pt idx="3">
                  <c:v>0.1178010471204189</c:v>
                </c:pt>
                <c:pt idx="4">
                  <c:v>0.124113475177305</c:v>
                </c:pt>
                <c:pt idx="5">
                  <c:v>0.12150389729481892</c:v>
                </c:pt>
                <c:pt idx="6">
                  <c:v>0.18143866409762363</c:v>
                </c:pt>
                <c:pt idx="7">
                  <c:v>0.10784313725490199</c:v>
                </c:pt>
                <c:pt idx="8">
                  <c:v>7.2426280393171241E-2</c:v>
                </c:pt>
                <c:pt idx="9">
                  <c:v>9.0684979749955985E-2</c:v>
                </c:pt>
                <c:pt idx="10">
                  <c:v>0.10383747178329573</c:v>
                </c:pt>
                <c:pt idx="11">
                  <c:v>0.10194863853400439</c:v>
                </c:pt>
                <c:pt idx="12">
                  <c:v>0.10768477728830152</c:v>
                </c:pt>
                <c:pt idx="13">
                  <c:v>0.10603496897913142</c:v>
                </c:pt>
                <c:pt idx="14">
                  <c:v>7.9129574678536096E-2</c:v>
                </c:pt>
                <c:pt idx="15">
                  <c:v>0.11476484916619825</c:v>
                </c:pt>
                <c:pt idx="16">
                  <c:v>0.11558538404175989</c:v>
                </c:pt>
                <c:pt idx="17">
                  <c:v>0.10246262093227793</c:v>
                </c:pt>
                <c:pt idx="18">
                  <c:v>8.511178861788618E-2</c:v>
                </c:pt>
                <c:pt idx="19">
                  <c:v>6.2220009955201591E-2</c:v>
                </c:pt>
                <c:pt idx="20">
                  <c:v>8.0878802510864323E-2</c:v>
                </c:pt>
                <c:pt idx="21">
                  <c:v>8.2314205079962371E-2</c:v>
                </c:pt>
                <c:pt idx="22">
                  <c:v>7.0087906866239016E-2</c:v>
                </c:pt>
                <c:pt idx="23">
                  <c:v>8.013198208814519E-2</c:v>
                </c:pt>
                <c:pt idx="24">
                  <c:v>7.3058290357868413E-2</c:v>
                </c:pt>
                <c:pt idx="25">
                  <c:v>7.9701609736945414E-2</c:v>
                </c:pt>
                <c:pt idx="26">
                  <c:v>7.1180134271616929E-2</c:v>
                </c:pt>
                <c:pt idx="27">
                  <c:v>7.9129574678536096E-2</c:v>
                </c:pt>
                <c:pt idx="28">
                  <c:v>7.9210333902022922E-2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2C-C642-9DDE-5A2B7C74BD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425055"/>
        <c:axId val="495656511"/>
      </c:scatterChart>
      <c:valAx>
        <c:axId val="495425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495656511"/>
        <c:crosses val="autoZero"/>
        <c:crossBetween val="midCat"/>
      </c:valAx>
      <c:valAx>
        <c:axId val="49565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495425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Sheet4!$A$6:$A$39</c:f>
              <c:numCache>
                <c:formatCode>General</c:formatCode>
                <c:ptCount val="34"/>
                <c:pt idx="0">
                  <c:v>0.23793277777777777</c:v>
                </c:pt>
                <c:pt idx="1">
                  <c:v>0.4757197222222222</c:v>
                </c:pt>
                <c:pt idx="2">
                  <c:v>0.7135488888888889</c:v>
                </c:pt>
                <c:pt idx="3">
                  <c:v>0.95137944444444444</c:v>
                </c:pt>
                <c:pt idx="4">
                  <c:v>1.1891449999999999</c:v>
                </c:pt>
                <c:pt idx="5">
                  <c:v>1.4269777777777777</c:v>
                </c:pt>
                <c:pt idx="6">
                  <c:v>1.6648077777777779</c:v>
                </c:pt>
                <c:pt idx="7">
                  <c:v>1.9025777777777777</c:v>
                </c:pt>
                <c:pt idx="8">
                  <c:v>2.1403772222222224</c:v>
                </c:pt>
                <c:pt idx="9">
                  <c:v>2.3782172222222222</c:v>
                </c:pt>
                <c:pt idx="10">
                  <c:v>2.6159794444444442</c:v>
                </c:pt>
                <c:pt idx="11">
                  <c:v>2.8537316666666666</c:v>
                </c:pt>
                <c:pt idx="12">
                  <c:v>3.0915727777777779</c:v>
                </c:pt>
                <c:pt idx="13">
                  <c:v>3.3293372222222222</c:v>
                </c:pt>
                <c:pt idx="14">
                  <c:v>3.5670933333333332</c:v>
                </c:pt>
                <c:pt idx="15">
                  <c:v>3.8049416666666671</c:v>
                </c:pt>
                <c:pt idx="16">
                  <c:v>4.0427038888888891</c:v>
                </c:pt>
                <c:pt idx="17">
                  <c:v>4.2804622222222228</c:v>
                </c:pt>
                <c:pt idx="18">
                  <c:v>4.5183066666666667</c:v>
                </c:pt>
                <c:pt idx="19">
                  <c:v>4.7560597222222221</c:v>
                </c:pt>
                <c:pt idx="20">
                  <c:v>4.9938205555555557</c:v>
                </c:pt>
                <c:pt idx="21">
                  <c:v>5.2316730555555555</c:v>
                </c:pt>
                <c:pt idx="22">
                  <c:v>5.4694311111111116</c:v>
                </c:pt>
                <c:pt idx="23">
                  <c:v>5.7071944444444451</c:v>
                </c:pt>
                <c:pt idx="24">
                  <c:v>5.9450247222222226</c:v>
                </c:pt>
                <c:pt idx="25">
                  <c:v>6.1827869444444445</c:v>
                </c:pt>
                <c:pt idx="26">
                  <c:v>6.4205563888888895</c:v>
                </c:pt>
                <c:pt idx="27">
                  <c:v>6.658389722222223</c:v>
                </c:pt>
                <c:pt idx="28">
                  <c:v>6.8961552777777779</c:v>
                </c:pt>
                <c:pt idx="29">
                  <c:v>7.1339474999999997</c:v>
                </c:pt>
                <c:pt idx="30">
                  <c:v>7.3717841666666661</c:v>
                </c:pt>
                <c:pt idx="31">
                  <c:v>7.609548055555555</c:v>
                </c:pt>
                <c:pt idx="32">
                  <c:v>7.8473716666666666</c:v>
                </c:pt>
                <c:pt idx="33">
                  <c:v>8.085210833333333</c:v>
                </c:pt>
              </c:numCache>
            </c:numRef>
          </c:xVal>
          <c:yVal>
            <c:numRef>
              <c:f>Sheet4!$K$6:$K$39</c:f>
              <c:numCache>
                <c:formatCode>General</c:formatCode>
                <c:ptCount val="34"/>
                <c:pt idx="0">
                  <c:v>0</c:v>
                </c:pt>
                <c:pt idx="1">
                  <c:v>3.9999999999999758E-4</c:v>
                </c:pt>
                <c:pt idx="2">
                  <c:v>2.1000000000000046E-3</c:v>
                </c:pt>
                <c:pt idx="3">
                  <c:v>6.8000000000000005E-3</c:v>
                </c:pt>
                <c:pt idx="4">
                  <c:v>1.1700000000000002E-2</c:v>
                </c:pt>
                <c:pt idx="5">
                  <c:v>1.3100000000000001E-2</c:v>
                </c:pt>
                <c:pt idx="6">
                  <c:v>1.4899999999999997E-2</c:v>
                </c:pt>
                <c:pt idx="7">
                  <c:v>2.4199999999999999E-2</c:v>
                </c:pt>
                <c:pt idx="8">
                  <c:v>3.3400000000000013E-2</c:v>
                </c:pt>
                <c:pt idx="9">
                  <c:v>4.3399999999999994E-2</c:v>
                </c:pt>
                <c:pt idx="10">
                  <c:v>6.88E-2</c:v>
                </c:pt>
                <c:pt idx="11">
                  <c:v>9.7200000000000009E-2</c:v>
                </c:pt>
                <c:pt idx="12">
                  <c:v>0.14859999999999998</c:v>
                </c:pt>
                <c:pt idx="13">
                  <c:v>0.19260000000000002</c:v>
                </c:pt>
                <c:pt idx="14">
                  <c:v>0.19020000000000001</c:v>
                </c:pt>
                <c:pt idx="15">
                  <c:v>0.23169999999999999</c:v>
                </c:pt>
                <c:pt idx="16">
                  <c:v>0.27449999999999997</c:v>
                </c:pt>
                <c:pt idx="17">
                  <c:v>0.28780000000000006</c:v>
                </c:pt>
                <c:pt idx="18">
                  <c:v>0.31769999999999998</c:v>
                </c:pt>
                <c:pt idx="19">
                  <c:v>0.36109999999999998</c:v>
                </c:pt>
                <c:pt idx="20">
                  <c:v>0.37160000000000004</c:v>
                </c:pt>
                <c:pt idx="21">
                  <c:v>0.38339999999999996</c:v>
                </c:pt>
                <c:pt idx="22">
                  <c:v>0.40069999999999995</c:v>
                </c:pt>
                <c:pt idx="23">
                  <c:v>0.40949999999999998</c:v>
                </c:pt>
                <c:pt idx="24">
                  <c:v>0.42930000000000001</c:v>
                </c:pt>
                <c:pt idx="25">
                  <c:v>0.43519999999999992</c:v>
                </c:pt>
                <c:pt idx="26">
                  <c:v>0.43609999999999993</c:v>
                </c:pt>
                <c:pt idx="27">
                  <c:v>0.4335</c:v>
                </c:pt>
                <c:pt idx="28">
                  <c:v>0.43340000000000001</c:v>
                </c:pt>
                <c:pt idx="29">
                  <c:v>0.43219999999999992</c:v>
                </c:pt>
                <c:pt idx="30">
                  <c:v>0.44259999999999999</c:v>
                </c:pt>
                <c:pt idx="31">
                  <c:v>0.42309999999999992</c:v>
                </c:pt>
                <c:pt idx="32">
                  <c:v>0.44419999999999993</c:v>
                </c:pt>
                <c:pt idx="33">
                  <c:v>0.43149999999999999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DF-F04E-89EF-87996EB47CF6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Sheet4!$A$6:$A$39</c:f>
              <c:numCache>
                <c:formatCode>General</c:formatCode>
                <c:ptCount val="34"/>
                <c:pt idx="0">
                  <c:v>0.23793277777777777</c:v>
                </c:pt>
                <c:pt idx="1">
                  <c:v>0.4757197222222222</c:v>
                </c:pt>
                <c:pt idx="2">
                  <c:v>0.7135488888888889</c:v>
                </c:pt>
                <c:pt idx="3">
                  <c:v>0.95137944444444444</c:v>
                </c:pt>
                <c:pt idx="4">
                  <c:v>1.1891449999999999</c:v>
                </c:pt>
                <c:pt idx="5">
                  <c:v>1.4269777777777777</c:v>
                </c:pt>
                <c:pt idx="6">
                  <c:v>1.6648077777777779</c:v>
                </c:pt>
                <c:pt idx="7">
                  <c:v>1.9025777777777777</c:v>
                </c:pt>
                <c:pt idx="8">
                  <c:v>2.1403772222222224</c:v>
                </c:pt>
                <c:pt idx="9">
                  <c:v>2.3782172222222222</c:v>
                </c:pt>
                <c:pt idx="10">
                  <c:v>2.6159794444444442</c:v>
                </c:pt>
                <c:pt idx="11">
                  <c:v>2.8537316666666666</c:v>
                </c:pt>
                <c:pt idx="12">
                  <c:v>3.0915727777777779</c:v>
                </c:pt>
                <c:pt idx="13">
                  <c:v>3.3293372222222222</c:v>
                </c:pt>
                <c:pt idx="14">
                  <c:v>3.5670933333333332</c:v>
                </c:pt>
                <c:pt idx="15">
                  <c:v>3.8049416666666671</c:v>
                </c:pt>
                <c:pt idx="16">
                  <c:v>4.0427038888888891</c:v>
                </c:pt>
                <c:pt idx="17">
                  <c:v>4.2804622222222228</c:v>
                </c:pt>
                <c:pt idx="18">
                  <c:v>4.5183066666666667</c:v>
                </c:pt>
                <c:pt idx="19">
                  <c:v>4.7560597222222221</c:v>
                </c:pt>
                <c:pt idx="20">
                  <c:v>4.9938205555555557</c:v>
                </c:pt>
                <c:pt idx="21">
                  <c:v>5.2316730555555555</c:v>
                </c:pt>
                <c:pt idx="22">
                  <c:v>5.4694311111111116</c:v>
                </c:pt>
                <c:pt idx="23">
                  <c:v>5.7071944444444451</c:v>
                </c:pt>
                <c:pt idx="24">
                  <c:v>5.9450247222222226</c:v>
                </c:pt>
                <c:pt idx="25">
                  <c:v>6.1827869444444445</c:v>
                </c:pt>
                <c:pt idx="26">
                  <c:v>6.4205563888888895</c:v>
                </c:pt>
                <c:pt idx="27">
                  <c:v>6.658389722222223</c:v>
                </c:pt>
                <c:pt idx="28">
                  <c:v>6.8961552777777779</c:v>
                </c:pt>
                <c:pt idx="29">
                  <c:v>7.1339474999999997</c:v>
                </c:pt>
                <c:pt idx="30">
                  <c:v>7.3717841666666661</c:v>
                </c:pt>
                <c:pt idx="31">
                  <c:v>7.609548055555555</c:v>
                </c:pt>
                <c:pt idx="32">
                  <c:v>7.8473716666666666</c:v>
                </c:pt>
                <c:pt idx="33">
                  <c:v>8.085210833333333</c:v>
                </c:pt>
              </c:numCache>
            </c:numRef>
          </c:xVal>
          <c:yVal>
            <c:numRef>
              <c:f>Sheet4!$M$6:$M$39</c:f>
              <c:numCache>
                <c:formatCode>General</c:formatCode>
                <c:ptCount val="34"/>
                <c:pt idx="0">
                  <c:v>3.0833333333333334E-2</c:v>
                </c:pt>
                <c:pt idx="1">
                  <c:v>2.4833266666666666E-2</c:v>
                </c:pt>
                <c:pt idx="2">
                  <c:v>1.8832983333333334E-2</c:v>
                </c:pt>
                <c:pt idx="3">
                  <c:v>1.5832200000000001E-2</c:v>
                </c:pt>
                <c:pt idx="4">
                  <c:v>8.6647166666666674E-3</c:v>
                </c:pt>
                <c:pt idx="5">
                  <c:v>1.9978166666666667E-3</c:v>
                </c:pt>
                <c:pt idx="6">
                  <c:v>5.8308500000000003E-3</c:v>
                </c:pt>
                <c:pt idx="7">
                  <c:v>5.4959666666666669E-3</c:v>
                </c:pt>
                <c:pt idx="8">
                  <c:v>-5.5666666666666687E-6</c:v>
                </c:pt>
                <c:pt idx="9">
                  <c:v>3.3261000000000002E-3</c:v>
                </c:pt>
                <c:pt idx="10">
                  <c:v>4.3218666666666669E-3</c:v>
                </c:pt>
                <c:pt idx="11">
                  <c:v>3.317133333333333E-3</c:v>
                </c:pt>
                <c:pt idx="12">
                  <c:v>5.1419000000000005E-3</c:v>
                </c:pt>
                <c:pt idx="13">
                  <c:v>8.1345666666666674E-3</c:v>
                </c:pt>
                <c:pt idx="14">
                  <c:v>8.8016333333333346E-3</c:v>
                </c:pt>
                <c:pt idx="15">
                  <c:v>1.3128049999999999E-2</c:v>
                </c:pt>
                <c:pt idx="16">
                  <c:v>1.1287583333333333E-2</c:v>
                </c:pt>
                <c:pt idx="17">
                  <c:v>2.5785366666666667E-2</c:v>
                </c:pt>
                <c:pt idx="18">
                  <c:v>2.294705E-2</c:v>
                </c:pt>
                <c:pt idx="19">
                  <c:v>1.7939816666666667E-2</c:v>
                </c:pt>
                <c:pt idx="20">
                  <c:v>2.1104733333333334E-2</c:v>
                </c:pt>
                <c:pt idx="21">
                  <c:v>2.4769433333333334E-2</c:v>
                </c:pt>
                <c:pt idx="22">
                  <c:v>2.8099883333333332E-2</c:v>
                </c:pt>
                <c:pt idx="23">
                  <c:v>2.7098416666666666E-2</c:v>
                </c:pt>
                <c:pt idx="24">
                  <c:v>2.5261783333333333E-2</c:v>
                </c:pt>
                <c:pt idx="25">
                  <c:v>2.7594133333333333E-2</c:v>
                </c:pt>
                <c:pt idx="26">
                  <c:v>3.659398333333333E-2</c:v>
                </c:pt>
                <c:pt idx="27">
                  <c:v>2.2261083333333331E-2</c:v>
                </c:pt>
                <c:pt idx="28">
                  <c:v>3.0927766666666665E-2</c:v>
                </c:pt>
                <c:pt idx="29">
                  <c:v>3.0261300000000001E-2</c:v>
                </c:pt>
                <c:pt idx="30">
                  <c:v>3.3092900000000001E-2</c:v>
                </c:pt>
                <c:pt idx="31">
                  <c:v>2.809615E-2</c:v>
                </c:pt>
                <c:pt idx="32">
                  <c:v>3.7925966666666665E-2</c:v>
                </c:pt>
                <c:pt idx="33">
                  <c:v>3.2428083333333337E-2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DF-F04E-89EF-87996EB47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334623"/>
        <c:axId val="114872399"/>
      </c:scatterChart>
      <c:valAx>
        <c:axId val="115334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14872399"/>
        <c:crosses val="autoZero"/>
        <c:crossBetween val="midCat"/>
      </c:valAx>
      <c:valAx>
        <c:axId val="11487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153346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Sheet4!$A$9:$A$39</c:f>
              <c:numCache>
                <c:formatCode>General</c:formatCode>
                <c:ptCount val="31"/>
                <c:pt idx="0">
                  <c:v>0.95137944444444444</c:v>
                </c:pt>
                <c:pt idx="1">
                  <c:v>1.1891449999999999</c:v>
                </c:pt>
                <c:pt idx="2">
                  <c:v>1.4269777777777777</c:v>
                </c:pt>
                <c:pt idx="3">
                  <c:v>1.6648077777777779</c:v>
                </c:pt>
                <c:pt idx="4">
                  <c:v>1.9025777777777777</c:v>
                </c:pt>
                <c:pt idx="5">
                  <c:v>2.1403772222222224</c:v>
                </c:pt>
                <c:pt idx="6">
                  <c:v>2.3782172222222222</c:v>
                </c:pt>
                <c:pt idx="7">
                  <c:v>2.6159794444444442</c:v>
                </c:pt>
                <c:pt idx="8">
                  <c:v>2.8537316666666666</c:v>
                </c:pt>
                <c:pt idx="9">
                  <c:v>3.0915727777777779</c:v>
                </c:pt>
                <c:pt idx="10">
                  <c:v>3.3293372222222222</c:v>
                </c:pt>
                <c:pt idx="11">
                  <c:v>3.5670933333333332</c:v>
                </c:pt>
                <c:pt idx="12">
                  <c:v>3.8049416666666671</c:v>
                </c:pt>
                <c:pt idx="13">
                  <c:v>4.0427038888888891</c:v>
                </c:pt>
                <c:pt idx="14">
                  <c:v>4.2804622222222228</c:v>
                </c:pt>
                <c:pt idx="15">
                  <c:v>4.5183066666666667</c:v>
                </c:pt>
                <c:pt idx="16">
                  <c:v>4.7560597222222221</c:v>
                </c:pt>
                <c:pt idx="17">
                  <c:v>4.9938205555555557</c:v>
                </c:pt>
                <c:pt idx="18">
                  <c:v>5.2316730555555555</c:v>
                </c:pt>
                <c:pt idx="19">
                  <c:v>5.4694311111111116</c:v>
                </c:pt>
                <c:pt idx="20">
                  <c:v>5.7071944444444451</c:v>
                </c:pt>
                <c:pt idx="21">
                  <c:v>5.9450247222222226</c:v>
                </c:pt>
                <c:pt idx="22">
                  <c:v>6.1827869444444445</c:v>
                </c:pt>
                <c:pt idx="23">
                  <c:v>6.4205563888888895</c:v>
                </c:pt>
                <c:pt idx="24">
                  <c:v>6.658389722222223</c:v>
                </c:pt>
                <c:pt idx="25">
                  <c:v>6.8961552777777779</c:v>
                </c:pt>
                <c:pt idx="26">
                  <c:v>7.1339474999999997</c:v>
                </c:pt>
                <c:pt idx="27">
                  <c:v>7.3717841666666661</c:v>
                </c:pt>
                <c:pt idx="28">
                  <c:v>7.609548055555555</c:v>
                </c:pt>
                <c:pt idx="29">
                  <c:v>7.8473716666666666</c:v>
                </c:pt>
                <c:pt idx="30">
                  <c:v>8.085210833333333</c:v>
                </c:pt>
              </c:numCache>
            </c:numRef>
          </c:xVal>
          <c:yVal>
            <c:numRef>
              <c:f>Sheet4!$E$9:$E$39</c:f>
              <c:numCache>
                <c:formatCode>General</c:formatCode>
                <c:ptCount val="31"/>
                <c:pt idx="0">
                  <c:v>6.6999999999999976E-3</c:v>
                </c:pt>
                <c:pt idx="1">
                  <c:v>1.0899999999999993E-2</c:v>
                </c:pt>
                <c:pt idx="2">
                  <c:v>1.3499999999999998E-2</c:v>
                </c:pt>
                <c:pt idx="3">
                  <c:v>2.0500000000000004E-2</c:v>
                </c:pt>
                <c:pt idx="4">
                  <c:v>2.76E-2</c:v>
                </c:pt>
                <c:pt idx="5">
                  <c:v>3.9400000000000004E-2</c:v>
                </c:pt>
                <c:pt idx="6">
                  <c:v>5.0500000000000003E-2</c:v>
                </c:pt>
                <c:pt idx="7">
                  <c:v>8.0200000000000007E-2</c:v>
                </c:pt>
                <c:pt idx="8">
                  <c:v>0.11570000000000001</c:v>
                </c:pt>
                <c:pt idx="9">
                  <c:v>0.17969999999999997</c:v>
                </c:pt>
                <c:pt idx="10">
                  <c:v>0.20379999999999998</c:v>
                </c:pt>
                <c:pt idx="11">
                  <c:v>0.22009999999999996</c:v>
                </c:pt>
                <c:pt idx="12">
                  <c:v>0.26119999999999999</c:v>
                </c:pt>
                <c:pt idx="13">
                  <c:v>0.30690000000000001</c:v>
                </c:pt>
                <c:pt idx="14">
                  <c:v>0.32289999999999996</c:v>
                </c:pt>
                <c:pt idx="15">
                  <c:v>0.3367</c:v>
                </c:pt>
                <c:pt idx="16">
                  <c:v>0.3735</c:v>
                </c:pt>
                <c:pt idx="17">
                  <c:v>0.39329999999999998</c:v>
                </c:pt>
                <c:pt idx="18">
                  <c:v>0.39329999999999998</c:v>
                </c:pt>
                <c:pt idx="19">
                  <c:v>0.41309999999999997</c:v>
                </c:pt>
                <c:pt idx="20">
                  <c:v>0.4138</c:v>
                </c:pt>
                <c:pt idx="21">
                  <c:v>0.42329999999999995</c:v>
                </c:pt>
                <c:pt idx="22">
                  <c:v>0.43390000000000001</c:v>
                </c:pt>
                <c:pt idx="23">
                  <c:v>0.42480000000000001</c:v>
                </c:pt>
                <c:pt idx="24">
                  <c:v>0.42370000000000002</c:v>
                </c:pt>
                <c:pt idx="25">
                  <c:v>0.42219999999999996</c:v>
                </c:pt>
                <c:pt idx="26">
                  <c:v>0.41729999999999995</c:v>
                </c:pt>
                <c:pt idx="27">
                  <c:v>0.41660000000000003</c:v>
                </c:pt>
                <c:pt idx="28">
                  <c:v>0.40750000000000003</c:v>
                </c:pt>
                <c:pt idx="29">
                  <c:v>0.41460000000000002</c:v>
                </c:pt>
                <c:pt idx="30">
                  <c:v>0.39960000000000001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87-A648-B29C-3831140BE221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Sheet4!$A$9:$A$39</c:f>
              <c:numCache>
                <c:formatCode>General</c:formatCode>
                <c:ptCount val="31"/>
                <c:pt idx="0">
                  <c:v>0.95137944444444444</c:v>
                </c:pt>
                <c:pt idx="1">
                  <c:v>1.1891449999999999</c:v>
                </c:pt>
                <c:pt idx="2">
                  <c:v>1.4269777777777777</c:v>
                </c:pt>
                <c:pt idx="3">
                  <c:v>1.6648077777777779</c:v>
                </c:pt>
                <c:pt idx="4">
                  <c:v>1.9025777777777777</c:v>
                </c:pt>
                <c:pt idx="5">
                  <c:v>2.1403772222222224</c:v>
                </c:pt>
                <c:pt idx="6">
                  <c:v>2.3782172222222222</c:v>
                </c:pt>
                <c:pt idx="7">
                  <c:v>2.6159794444444442</c:v>
                </c:pt>
                <c:pt idx="8">
                  <c:v>2.8537316666666666</c:v>
                </c:pt>
                <c:pt idx="9">
                  <c:v>3.0915727777777779</c:v>
                </c:pt>
                <c:pt idx="10">
                  <c:v>3.3293372222222222</c:v>
                </c:pt>
                <c:pt idx="11">
                  <c:v>3.5670933333333332</c:v>
                </c:pt>
                <c:pt idx="12">
                  <c:v>3.8049416666666671</c:v>
                </c:pt>
                <c:pt idx="13">
                  <c:v>4.0427038888888891</c:v>
                </c:pt>
                <c:pt idx="14">
                  <c:v>4.2804622222222228</c:v>
                </c:pt>
                <c:pt idx="15">
                  <c:v>4.5183066666666667</c:v>
                </c:pt>
                <c:pt idx="16">
                  <c:v>4.7560597222222221</c:v>
                </c:pt>
                <c:pt idx="17">
                  <c:v>4.9938205555555557</c:v>
                </c:pt>
                <c:pt idx="18">
                  <c:v>5.2316730555555555</c:v>
                </c:pt>
                <c:pt idx="19">
                  <c:v>5.4694311111111116</c:v>
                </c:pt>
                <c:pt idx="20">
                  <c:v>5.7071944444444451</c:v>
                </c:pt>
                <c:pt idx="21">
                  <c:v>5.9450247222222226</c:v>
                </c:pt>
                <c:pt idx="22">
                  <c:v>6.1827869444444445</c:v>
                </c:pt>
                <c:pt idx="23">
                  <c:v>6.4205563888888895</c:v>
                </c:pt>
                <c:pt idx="24">
                  <c:v>6.658389722222223</c:v>
                </c:pt>
                <c:pt idx="25">
                  <c:v>6.8961552777777779</c:v>
                </c:pt>
                <c:pt idx="26">
                  <c:v>7.1339474999999997</c:v>
                </c:pt>
                <c:pt idx="27">
                  <c:v>7.3717841666666661</c:v>
                </c:pt>
                <c:pt idx="28">
                  <c:v>7.609548055555555</c:v>
                </c:pt>
                <c:pt idx="29">
                  <c:v>7.8473716666666666</c:v>
                </c:pt>
                <c:pt idx="30">
                  <c:v>8.085210833333333</c:v>
                </c:pt>
              </c:numCache>
            </c:numRef>
          </c:xVal>
          <c:yVal>
            <c:numRef>
              <c:f>Sheet4!$G$9:$G$39</c:f>
              <c:numCache>
                <c:formatCode>General</c:formatCode>
                <c:ptCount val="31"/>
                <c:pt idx="0">
                  <c:v>0</c:v>
                </c:pt>
                <c:pt idx="1">
                  <c:v>9.1743119266055106E-2</c:v>
                </c:pt>
                <c:pt idx="2">
                  <c:v>-0.39506172839506182</c:v>
                </c:pt>
                <c:pt idx="3">
                  <c:v>5.691056910569104E-2</c:v>
                </c:pt>
                <c:pt idx="4">
                  <c:v>6.0386473429951688E-2</c:v>
                </c:pt>
                <c:pt idx="5">
                  <c:v>-1.2690355329949237E-2</c:v>
                </c:pt>
                <c:pt idx="6">
                  <c:v>0.16501650165016502</c:v>
                </c:pt>
                <c:pt idx="7">
                  <c:v>0.13507896924355778</c:v>
                </c:pt>
                <c:pt idx="8">
                  <c:v>0.15701526937481991</c:v>
                </c:pt>
                <c:pt idx="9">
                  <c:v>0.12242626599888706</c:v>
                </c:pt>
                <c:pt idx="10">
                  <c:v>0.10549558390579</c:v>
                </c:pt>
                <c:pt idx="11">
                  <c:v>0.14538845979100412</c:v>
                </c:pt>
                <c:pt idx="12">
                  <c:v>0.12761613067891783</c:v>
                </c:pt>
                <c:pt idx="13">
                  <c:v>0.1075268817204301</c:v>
                </c:pt>
                <c:pt idx="14">
                  <c:v>0.12903891813771035</c:v>
                </c:pt>
                <c:pt idx="15">
                  <c:v>0.12424512424512424</c:v>
                </c:pt>
                <c:pt idx="16">
                  <c:v>0.10932619366354307</c:v>
                </c:pt>
                <c:pt idx="17">
                  <c:v>0.11780659377913383</c:v>
                </c:pt>
                <c:pt idx="18">
                  <c:v>0.12034918213407918</c:v>
                </c:pt>
                <c:pt idx="19">
                  <c:v>0.11861534737351731</c:v>
                </c:pt>
                <c:pt idx="20">
                  <c:v>0.10310939262123409</c:v>
                </c:pt>
                <c:pt idx="21">
                  <c:v>0.10945743759351131</c:v>
                </c:pt>
                <c:pt idx="22">
                  <c:v>0.10678343704386571</c:v>
                </c:pt>
                <c:pt idx="23">
                  <c:v>0.10318581293157564</c:v>
                </c:pt>
                <c:pt idx="24">
                  <c:v>9.5586499881991971E-2</c:v>
                </c:pt>
                <c:pt idx="25">
                  <c:v>0.11053213327017211</c:v>
                </c:pt>
                <c:pt idx="26">
                  <c:v>9.1061586388689206E-2</c:v>
                </c:pt>
                <c:pt idx="27">
                  <c:v>0.10761721875500078</c:v>
                </c:pt>
                <c:pt idx="28">
                  <c:v>8.875255623721881E-2</c:v>
                </c:pt>
                <c:pt idx="29">
                  <c:v>0.11054831966554109</c:v>
                </c:pt>
                <c:pt idx="30">
                  <c:v>0.10802469135802469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87-A648-B29C-3831140BE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9354895"/>
        <c:axId val="488728367"/>
      </c:scatterChart>
      <c:valAx>
        <c:axId val="4893548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488728367"/>
        <c:crosses val="autoZero"/>
        <c:crossBetween val="midCat"/>
      </c:valAx>
      <c:valAx>
        <c:axId val="488728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4893548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Sheet4!$A$10:$A$39</c:f>
              <c:numCache>
                <c:formatCode>General</c:formatCode>
                <c:ptCount val="30"/>
                <c:pt idx="0">
                  <c:v>1.1891449999999999</c:v>
                </c:pt>
                <c:pt idx="1">
                  <c:v>1.4269777777777777</c:v>
                </c:pt>
                <c:pt idx="2">
                  <c:v>1.6648077777777779</c:v>
                </c:pt>
                <c:pt idx="3">
                  <c:v>1.9025777777777777</c:v>
                </c:pt>
                <c:pt idx="4">
                  <c:v>2.1403772222222224</c:v>
                </c:pt>
                <c:pt idx="5">
                  <c:v>2.3782172222222222</c:v>
                </c:pt>
                <c:pt idx="6">
                  <c:v>2.6159794444444442</c:v>
                </c:pt>
                <c:pt idx="7">
                  <c:v>2.8537316666666666</c:v>
                </c:pt>
                <c:pt idx="8">
                  <c:v>3.0915727777777779</c:v>
                </c:pt>
                <c:pt idx="9">
                  <c:v>3.3293372222222222</c:v>
                </c:pt>
                <c:pt idx="10">
                  <c:v>3.5670933333333332</c:v>
                </c:pt>
                <c:pt idx="11">
                  <c:v>3.8049416666666671</c:v>
                </c:pt>
                <c:pt idx="12">
                  <c:v>4.0427038888888891</c:v>
                </c:pt>
                <c:pt idx="13">
                  <c:v>4.2804622222222228</c:v>
                </c:pt>
                <c:pt idx="14">
                  <c:v>4.5183066666666667</c:v>
                </c:pt>
                <c:pt idx="15">
                  <c:v>4.7560597222222221</c:v>
                </c:pt>
                <c:pt idx="16">
                  <c:v>4.9938205555555557</c:v>
                </c:pt>
                <c:pt idx="17">
                  <c:v>5.2316730555555555</c:v>
                </c:pt>
                <c:pt idx="18">
                  <c:v>5.4694311111111116</c:v>
                </c:pt>
                <c:pt idx="19">
                  <c:v>5.7071944444444451</c:v>
                </c:pt>
                <c:pt idx="20">
                  <c:v>5.9450247222222226</c:v>
                </c:pt>
                <c:pt idx="21">
                  <c:v>6.1827869444444445</c:v>
                </c:pt>
                <c:pt idx="22">
                  <c:v>6.4205563888888895</c:v>
                </c:pt>
                <c:pt idx="23">
                  <c:v>6.658389722222223</c:v>
                </c:pt>
                <c:pt idx="24">
                  <c:v>6.8961552777777779</c:v>
                </c:pt>
                <c:pt idx="25">
                  <c:v>7.1339474999999997</c:v>
                </c:pt>
                <c:pt idx="26">
                  <c:v>7.3717841666666661</c:v>
                </c:pt>
                <c:pt idx="27">
                  <c:v>7.609548055555555</c:v>
                </c:pt>
                <c:pt idx="28">
                  <c:v>7.8473716666666666</c:v>
                </c:pt>
                <c:pt idx="29">
                  <c:v>8.085210833333333</c:v>
                </c:pt>
              </c:numCache>
            </c:numRef>
          </c:xVal>
          <c:yVal>
            <c:numRef>
              <c:f>Sheet4!$BD$10:$BD$39</c:f>
              <c:numCache>
                <c:formatCode>General</c:formatCode>
                <c:ptCount val="30"/>
                <c:pt idx="0">
                  <c:v>0.1023</c:v>
                </c:pt>
                <c:pt idx="1">
                  <c:v>0.1031</c:v>
                </c:pt>
                <c:pt idx="2">
                  <c:v>0.1036</c:v>
                </c:pt>
                <c:pt idx="3">
                  <c:v>0.1048</c:v>
                </c:pt>
                <c:pt idx="4">
                  <c:v>0.107</c:v>
                </c:pt>
                <c:pt idx="5">
                  <c:v>0.10920000000000001</c:v>
                </c:pt>
                <c:pt idx="6">
                  <c:v>0.1138</c:v>
                </c:pt>
                <c:pt idx="7">
                  <c:v>0.12180000000000001</c:v>
                </c:pt>
                <c:pt idx="8">
                  <c:v>0.13450000000000001</c:v>
                </c:pt>
                <c:pt idx="9">
                  <c:v>0.14760000000000001</c:v>
                </c:pt>
                <c:pt idx="10">
                  <c:v>0.16250000000000001</c:v>
                </c:pt>
                <c:pt idx="11">
                  <c:v>0.19109999999999999</c:v>
                </c:pt>
                <c:pt idx="12">
                  <c:v>0.2266</c:v>
                </c:pt>
                <c:pt idx="13">
                  <c:v>0.26219999999999999</c:v>
                </c:pt>
                <c:pt idx="14">
                  <c:v>0.29389999999999999</c:v>
                </c:pt>
                <c:pt idx="15">
                  <c:v>0.34189999999999998</c:v>
                </c:pt>
                <c:pt idx="16">
                  <c:v>0.37080000000000002</c:v>
                </c:pt>
                <c:pt idx="17">
                  <c:v>0.40839999999999999</c:v>
                </c:pt>
                <c:pt idx="18">
                  <c:v>0.4491</c:v>
                </c:pt>
                <c:pt idx="19">
                  <c:v>0.49280000000000002</c:v>
                </c:pt>
                <c:pt idx="20">
                  <c:v>0.52710000000000001</c:v>
                </c:pt>
                <c:pt idx="21">
                  <c:v>0.54810000000000003</c:v>
                </c:pt>
                <c:pt idx="22">
                  <c:v>0.56510000000000005</c:v>
                </c:pt>
                <c:pt idx="23">
                  <c:v>0.57750000000000001</c:v>
                </c:pt>
                <c:pt idx="24">
                  <c:v>0.58919999999999995</c:v>
                </c:pt>
                <c:pt idx="25">
                  <c:v>0.60629999999999995</c:v>
                </c:pt>
                <c:pt idx="26">
                  <c:v>0.59609999999999996</c:v>
                </c:pt>
                <c:pt idx="27">
                  <c:v>0.60589999999999999</c:v>
                </c:pt>
                <c:pt idx="28">
                  <c:v>0.60940000000000005</c:v>
                </c:pt>
                <c:pt idx="29">
                  <c:v>0.59560000000000002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75-3840-9A8A-00C863B8F457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Sheet4!$A$10:$A$39</c:f>
              <c:numCache>
                <c:formatCode>General</c:formatCode>
                <c:ptCount val="30"/>
                <c:pt idx="0">
                  <c:v>1.1891449999999999</c:v>
                </c:pt>
                <c:pt idx="1">
                  <c:v>1.4269777777777777</c:v>
                </c:pt>
                <c:pt idx="2">
                  <c:v>1.6648077777777779</c:v>
                </c:pt>
                <c:pt idx="3">
                  <c:v>1.9025777777777777</c:v>
                </c:pt>
                <c:pt idx="4">
                  <c:v>2.1403772222222224</c:v>
                </c:pt>
                <c:pt idx="5">
                  <c:v>2.3782172222222222</c:v>
                </c:pt>
                <c:pt idx="6">
                  <c:v>2.6159794444444442</c:v>
                </c:pt>
                <c:pt idx="7">
                  <c:v>2.8537316666666666</c:v>
                </c:pt>
                <c:pt idx="8">
                  <c:v>3.0915727777777779</c:v>
                </c:pt>
                <c:pt idx="9">
                  <c:v>3.3293372222222222</c:v>
                </c:pt>
                <c:pt idx="10">
                  <c:v>3.5670933333333332</c:v>
                </c:pt>
                <c:pt idx="11">
                  <c:v>3.8049416666666671</c:v>
                </c:pt>
                <c:pt idx="12">
                  <c:v>4.0427038888888891</c:v>
                </c:pt>
                <c:pt idx="13">
                  <c:v>4.2804622222222228</c:v>
                </c:pt>
                <c:pt idx="14">
                  <c:v>4.5183066666666667</c:v>
                </c:pt>
                <c:pt idx="15">
                  <c:v>4.7560597222222221</c:v>
                </c:pt>
                <c:pt idx="16">
                  <c:v>4.9938205555555557</c:v>
                </c:pt>
                <c:pt idx="17">
                  <c:v>5.2316730555555555</c:v>
                </c:pt>
                <c:pt idx="18">
                  <c:v>5.4694311111111116</c:v>
                </c:pt>
                <c:pt idx="19">
                  <c:v>5.7071944444444451</c:v>
                </c:pt>
                <c:pt idx="20">
                  <c:v>5.9450247222222226</c:v>
                </c:pt>
                <c:pt idx="21">
                  <c:v>6.1827869444444445</c:v>
                </c:pt>
                <c:pt idx="22">
                  <c:v>6.4205563888888895</c:v>
                </c:pt>
                <c:pt idx="23">
                  <c:v>6.658389722222223</c:v>
                </c:pt>
                <c:pt idx="24">
                  <c:v>6.8961552777777779</c:v>
                </c:pt>
                <c:pt idx="25">
                  <c:v>7.1339474999999997</c:v>
                </c:pt>
                <c:pt idx="26">
                  <c:v>7.3717841666666661</c:v>
                </c:pt>
                <c:pt idx="27">
                  <c:v>7.609548055555555</c:v>
                </c:pt>
                <c:pt idx="28">
                  <c:v>7.8473716666666666</c:v>
                </c:pt>
                <c:pt idx="29">
                  <c:v>8.085210833333333</c:v>
                </c:pt>
              </c:numCache>
            </c:numRef>
          </c:xVal>
          <c:yVal>
            <c:numRef>
              <c:f>Sheet4!$BG$10:$BG$39</c:f>
              <c:numCache>
                <c:formatCode>General</c:formatCode>
                <c:ptCount val="30"/>
                <c:pt idx="0">
                  <c:v>0</c:v>
                </c:pt>
                <c:pt idx="1">
                  <c:v>-3.5564177174264466E-2</c:v>
                </c:pt>
                <c:pt idx="2">
                  <c:v>-6.1132561132561138E-2</c:v>
                </c:pt>
                <c:pt idx="3">
                  <c:v>-0.12245547073791348</c:v>
                </c:pt>
                <c:pt idx="4">
                  <c:v>-0.1355140186915888</c:v>
                </c:pt>
                <c:pt idx="5">
                  <c:v>-8.6996336996336993E-2</c:v>
                </c:pt>
                <c:pt idx="6">
                  <c:v>-0.11423550087873463</c:v>
                </c:pt>
                <c:pt idx="7">
                  <c:v>-5.6102900930487136E-2</c:v>
                </c:pt>
                <c:pt idx="8">
                  <c:v>-7.5588599752168528E-2</c:v>
                </c:pt>
                <c:pt idx="9">
                  <c:v>-6.4363143631436304E-2</c:v>
                </c:pt>
                <c:pt idx="10">
                  <c:v>-9.2307692307692299E-3</c:v>
                </c:pt>
                <c:pt idx="11">
                  <c:v>-3.4885749171463458E-3</c:v>
                </c:pt>
                <c:pt idx="12">
                  <c:v>-4.4130626654898496E-3</c:v>
                </c:pt>
                <c:pt idx="13">
                  <c:v>1.398423595219934E-2</c:v>
                </c:pt>
                <c:pt idx="14">
                  <c:v>3.2891006011114894E-2</c:v>
                </c:pt>
                <c:pt idx="15">
                  <c:v>2.5836014429170325E-2</c:v>
                </c:pt>
                <c:pt idx="16">
                  <c:v>3.9104638619201722E-2</c:v>
                </c:pt>
                <c:pt idx="17">
                  <c:v>4.9379693111328768E-2</c:v>
                </c:pt>
                <c:pt idx="18">
                  <c:v>5.5295776738662511E-2</c:v>
                </c:pt>
                <c:pt idx="19">
                  <c:v>5.1068722943722944E-2</c:v>
                </c:pt>
                <c:pt idx="20">
                  <c:v>3.2568140137861253E-2</c:v>
                </c:pt>
                <c:pt idx="21">
                  <c:v>4.834884145228973E-2</c:v>
                </c:pt>
                <c:pt idx="22">
                  <c:v>3.8046363475491056E-2</c:v>
                </c:pt>
                <c:pt idx="23">
                  <c:v>3.5786435786435783E-2</c:v>
                </c:pt>
                <c:pt idx="24">
                  <c:v>4.4410500113147774E-2</c:v>
                </c:pt>
                <c:pt idx="25">
                  <c:v>3.7660124250920884E-2</c:v>
                </c:pt>
                <c:pt idx="26">
                  <c:v>4.2218867080467487E-2</c:v>
                </c:pt>
                <c:pt idx="27">
                  <c:v>3.8235132310062168E-2</c:v>
                </c:pt>
                <c:pt idx="28">
                  <c:v>4.4579367684060817E-2</c:v>
                </c:pt>
                <c:pt idx="29">
                  <c:v>4.785090664875756E-2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75-3840-9A8A-00C863B8F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5745311"/>
        <c:axId val="495747023"/>
      </c:scatterChart>
      <c:valAx>
        <c:axId val="4957453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495747023"/>
        <c:crosses val="autoZero"/>
        <c:crossBetween val="midCat"/>
      </c:valAx>
      <c:valAx>
        <c:axId val="49574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4957453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Sheet4!$A$12:$A$39</c:f>
              <c:numCache>
                <c:formatCode>General</c:formatCode>
                <c:ptCount val="28"/>
                <c:pt idx="0">
                  <c:v>1.6648077777777779</c:v>
                </c:pt>
                <c:pt idx="1">
                  <c:v>1.9025777777777777</c:v>
                </c:pt>
                <c:pt idx="2">
                  <c:v>2.1403772222222224</c:v>
                </c:pt>
                <c:pt idx="3">
                  <c:v>2.3782172222222222</c:v>
                </c:pt>
                <c:pt idx="4">
                  <c:v>2.6159794444444442</c:v>
                </c:pt>
                <c:pt idx="5">
                  <c:v>2.8537316666666666</c:v>
                </c:pt>
                <c:pt idx="6">
                  <c:v>3.0915727777777779</c:v>
                </c:pt>
                <c:pt idx="7">
                  <c:v>3.3293372222222222</c:v>
                </c:pt>
                <c:pt idx="8">
                  <c:v>3.5670933333333332</c:v>
                </c:pt>
                <c:pt idx="9">
                  <c:v>3.8049416666666671</c:v>
                </c:pt>
                <c:pt idx="10">
                  <c:v>4.0427038888888891</c:v>
                </c:pt>
                <c:pt idx="11">
                  <c:v>4.2804622222222228</c:v>
                </c:pt>
                <c:pt idx="12">
                  <c:v>4.5183066666666667</c:v>
                </c:pt>
                <c:pt idx="13">
                  <c:v>4.7560597222222221</c:v>
                </c:pt>
                <c:pt idx="14">
                  <c:v>4.9938205555555557</c:v>
                </c:pt>
                <c:pt idx="15">
                  <c:v>5.2316730555555555</c:v>
                </c:pt>
                <c:pt idx="16">
                  <c:v>5.4694311111111116</c:v>
                </c:pt>
                <c:pt idx="17">
                  <c:v>5.7071944444444451</c:v>
                </c:pt>
                <c:pt idx="18">
                  <c:v>5.9450247222222226</c:v>
                </c:pt>
                <c:pt idx="19">
                  <c:v>6.1827869444444445</c:v>
                </c:pt>
                <c:pt idx="20">
                  <c:v>6.4205563888888895</c:v>
                </c:pt>
                <c:pt idx="21">
                  <c:v>6.658389722222223</c:v>
                </c:pt>
                <c:pt idx="22">
                  <c:v>6.8961552777777779</c:v>
                </c:pt>
                <c:pt idx="23">
                  <c:v>7.1339474999999997</c:v>
                </c:pt>
                <c:pt idx="24">
                  <c:v>7.3717841666666661</c:v>
                </c:pt>
                <c:pt idx="25">
                  <c:v>7.609548055555555</c:v>
                </c:pt>
                <c:pt idx="26">
                  <c:v>7.8473716666666666</c:v>
                </c:pt>
                <c:pt idx="27">
                  <c:v>8.085210833333333</c:v>
                </c:pt>
              </c:numCache>
            </c:numRef>
          </c:xVal>
          <c:yVal>
            <c:numRef>
              <c:f>Sheet4!$BJ$12:$BJ$39</c:f>
              <c:numCache>
                <c:formatCode>General</c:formatCode>
                <c:ptCount val="28"/>
                <c:pt idx="0">
                  <c:v>0.1229</c:v>
                </c:pt>
                <c:pt idx="1">
                  <c:v>0.13220000000000001</c:v>
                </c:pt>
                <c:pt idx="2">
                  <c:v>0.1462</c:v>
                </c:pt>
                <c:pt idx="3">
                  <c:v>0.1585</c:v>
                </c:pt>
                <c:pt idx="4">
                  <c:v>0.18820000000000001</c:v>
                </c:pt>
                <c:pt idx="5">
                  <c:v>0.23350000000000001</c:v>
                </c:pt>
                <c:pt idx="6">
                  <c:v>0.30299999999999999</c:v>
                </c:pt>
                <c:pt idx="7">
                  <c:v>0.32869999999999999</c:v>
                </c:pt>
                <c:pt idx="8">
                  <c:v>0.34970000000000001</c:v>
                </c:pt>
                <c:pt idx="9">
                  <c:v>0.39129999999999998</c:v>
                </c:pt>
                <c:pt idx="10">
                  <c:v>0.4481</c:v>
                </c:pt>
                <c:pt idx="11">
                  <c:v>0.48349999999999999</c:v>
                </c:pt>
                <c:pt idx="12">
                  <c:v>0.49959999999999999</c:v>
                </c:pt>
                <c:pt idx="13">
                  <c:v>0.53959999999999997</c:v>
                </c:pt>
                <c:pt idx="14">
                  <c:v>0.56020000000000003</c:v>
                </c:pt>
                <c:pt idx="15">
                  <c:v>0.55930000000000002</c:v>
                </c:pt>
                <c:pt idx="16">
                  <c:v>0.57679999999999998</c:v>
                </c:pt>
                <c:pt idx="17">
                  <c:v>0.58699999999999997</c:v>
                </c:pt>
                <c:pt idx="18">
                  <c:v>0.59279999999999999</c:v>
                </c:pt>
                <c:pt idx="19">
                  <c:v>0.59589999999999999</c:v>
                </c:pt>
                <c:pt idx="20">
                  <c:v>0.59930000000000005</c:v>
                </c:pt>
                <c:pt idx="21">
                  <c:v>0.59540000000000004</c:v>
                </c:pt>
                <c:pt idx="22">
                  <c:v>0.59119999999999995</c:v>
                </c:pt>
                <c:pt idx="23">
                  <c:v>0.59240000000000004</c:v>
                </c:pt>
                <c:pt idx="24">
                  <c:v>0.5776</c:v>
                </c:pt>
                <c:pt idx="25">
                  <c:v>0.5827</c:v>
                </c:pt>
                <c:pt idx="26">
                  <c:v>0.58130000000000004</c:v>
                </c:pt>
                <c:pt idx="27">
                  <c:v>0.57020000000000004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AF-A845-847B-C27DFAC84278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Sheet4!$A$12:$A$39</c:f>
              <c:numCache>
                <c:formatCode>General</c:formatCode>
                <c:ptCount val="28"/>
                <c:pt idx="0">
                  <c:v>1.6648077777777779</c:v>
                </c:pt>
                <c:pt idx="1">
                  <c:v>1.9025777777777777</c:v>
                </c:pt>
                <c:pt idx="2">
                  <c:v>2.1403772222222224</c:v>
                </c:pt>
                <c:pt idx="3">
                  <c:v>2.3782172222222222</c:v>
                </c:pt>
                <c:pt idx="4">
                  <c:v>2.6159794444444442</c:v>
                </c:pt>
                <c:pt idx="5">
                  <c:v>2.8537316666666666</c:v>
                </c:pt>
                <c:pt idx="6">
                  <c:v>3.0915727777777779</c:v>
                </c:pt>
                <c:pt idx="7">
                  <c:v>3.3293372222222222</c:v>
                </c:pt>
                <c:pt idx="8">
                  <c:v>3.5670933333333332</c:v>
                </c:pt>
                <c:pt idx="9">
                  <c:v>3.8049416666666671</c:v>
                </c:pt>
                <c:pt idx="10">
                  <c:v>4.0427038888888891</c:v>
                </c:pt>
                <c:pt idx="11">
                  <c:v>4.2804622222222228</c:v>
                </c:pt>
                <c:pt idx="12">
                  <c:v>4.5183066666666667</c:v>
                </c:pt>
                <c:pt idx="13">
                  <c:v>4.7560597222222221</c:v>
                </c:pt>
                <c:pt idx="14">
                  <c:v>4.9938205555555557</c:v>
                </c:pt>
                <c:pt idx="15">
                  <c:v>5.2316730555555555</c:v>
                </c:pt>
                <c:pt idx="16">
                  <c:v>5.4694311111111116</c:v>
                </c:pt>
                <c:pt idx="17">
                  <c:v>5.7071944444444451</c:v>
                </c:pt>
                <c:pt idx="18">
                  <c:v>5.9450247222222226</c:v>
                </c:pt>
                <c:pt idx="19">
                  <c:v>6.1827869444444445</c:v>
                </c:pt>
                <c:pt idx="20">
                  <c:v>6.4205563888888895</c:v>
                </c:pt>
                <c:pt idx="21">
                  <c:v>6.658389722222223</c:v>
                </c:pt>
                <c:pt idx="22">
                  <c:v>6.8961552777777779</c:v>
                </c:pt>
                <c:pt idx="23">
                  <c:v>7.1339474999999997</c:v>
                </c:pt>
                <c:pt idx="24">
                  <c:v>7.3717841666666661</c:v>
                </c:pt>
                <c:pt idx="25">
                  <c:v>7.609548055555555</c:v>
                </c:pt>
                <c:pt idx="26">
                  <c:v>7.8473716666666666</c:v>
                </c:pt>
                <c:pt idx="27">
                  <c:v>8.085210833333333</c:v>
                </c:pt>
              </c:numCache>
            </c:numRef>
          </c:xVal>
          <c:yVal>
            <c:numRef>
              <c:f>Sheet4!$BL$12:$BL$39</c:f>
              <c:numCache>
                <c:formatCode>General</c:formatCode>
                <c:ptCount val="28"/>
                <c:pt idx="0">
                  <c:v>0.22782750203417412</c:v>
                </c:pt>
                <c:pt idx="1">
                  <c:v>0.16893595562279373</c:v>
                </c:pt>
                <c:pt idx="2">
                  <c:v>0.10487916096671228</c:v>
                </c:pt>
                <c:pt idx="3">
                  <c:v>0.11987381703470032</c:v>
                </c:pt>
                <c:pt idx="4">
                  <c:v>9.2100602196245121E-2</c:v>
                </c:pt>
                <c:pt idx="5">
                  <c:v>5.5674518201284801E-2</c:v>
                </c:pt>
                <c:pt idx="6">
                  <c:v>1.7601760176017601E-2</c:v>
                </c:pt>
                <c:pt idx="7">
                  <c:v>2.1296014602981441E-2</c:v>
                </c:pt>
                <c:pt idx="8">
                  <c:v>1.8110761605185398E-2</c:v>
                </c:pt>
                <c:pt idx="9">
                  <c:v>-3.4074452679103847E-3</c:v>
                </c:pt>
                <c:pt idx="10">
                  <c:v>4.4632894443204646E-3</c:v>
                </c:pt>
                <c:pt idx="11">
                  <c:v>1.0341261633919339E-3</c:v>
                </c:pt>
                <c:pt idx="12">
                  <c:v>9.007205764611689E-3</c:v>
                </c:pt>
                <c:pt idx="13">
                  <c:v>6.7951569063503829E-3</c:v>
                </c:pt>
                <c:pt idx="14">
                  <c:v>6.5452814471022251E-3</c:v>
                </c:pt>
                <c:pt idx="15">
                  <c:v>1.2217653018654269E-2</c:v>
                </c:pt>
                <c:pt idx="16">
                  <c:v>-5.7790106333795654E-4</c:v>
                </c:pt>
                <c:pt idx="17">
                  <c:v>3.1232254400908577E-3</c:v>
                </c:pt>
                <c:pt idx="18">
                  <c:v>4.2172739541160593E-3</c:v>
                </c:pt>
                <c:pt idx="19">
                  <c:v>-5.5937797169547463E-4</c:v>
                </c:pt>
                <c:pt idx="20">
                  <c:v>0</c:v>
                </c:pt>
                <c:pt idx="21">
                  <c:v>-5.5984772141977387E-3</c:v>
                </c:pt>
                <c:pt idx="22">
                  <c:v>0.48573522778529554</c:v>
                </c:pt>
                <c:pt idx="23">
                  <c:v>0.48475129417060542</c:v>
                </c:pt>
                <c:pt idx="24">
                  <c:v>0.49717220683287161</c:v>
                </c:pt>
                <c:pt idx="25">
                  <c:v>0.49282077684343001</c:v>
                </c:pt>
                <c:pt idx="26">
                  <c:v>0.49400768392683064</c:v>
                </c:pt>
                <c:pt idx="27">
                  <c:v>0.50362445925406285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AF-A845-847B-C27DFAC84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3192192"/>
        <c:axId val="1874032928"/>
      </c:scatterChart>
      <c:valAx>
        <c:axId val="2093192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874032928"/>
        <c:crosses val="autoZero"/>
        <c:crossBetween val="midCat"/>
      </c:valAx>
      <c:valAx>
        <c:axId val="187403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2093192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Sheet4!$A$8:$A$39</c:f>
              <c:numCache>
                <c:formatCode>General</c:formatCode>
                <c:ptCount val="32"/>
                <c:pt idx="0">
                  <c:v>0.7135488888888889</c:v>
                </c:pt>
                <c:pt idx="1">
                  <c:v>0.95137944444444444</c:v>
                </c:pt>
                <c:pt idx="2">
                  <c:v>1.1891449999999999</c:v>
                </c:pt>
                <c:pt idx="3">
                  <c:v>1.4269777777777777</c:v>
                </c:pt>
                <c:pt idx="4">
                  <c:v>1.6648077777777779</c:v>
                </c:pt>
                <c:pt idx="5">
                  <c:v>1.9025777777777777</c:v>
                </c:pt>
                <c:pt idx="6">
                  <c:v>2.1403772222222224</c:v>
                </c:pt>
                <c:pt idx="7">
                  <c:v>2.3782172222222222</c:v>
                </c:pt>
                <c:pt idx="8">
                  <c:v>2.6159794444444442</c:v>
                </c:pt>
                <c:pt idx="9">
                  <c:v>2.8537316666666666</c:v>
                </c:pt>
                <c:pt idx="10">
                  <c:v>3.0915727777777779</c:v>
                </c:pt>
                <c:pt idx="11">
                  <c:v>3.3293372222222222</c:v>
                </c:pt>
                <c:pt idx="12">
                  <c:v>3.5670933333333332</c:v>
                </c:pt>
                <c:pt idx="13">
                  <c:v>3.8049416666666671</c:v>
                </c:pt>
                <c:pt idx="14">
                  <c:v>4.0427038888888891</c:v>
                </c:pt>
                <c:pt idx="15">
                  <c:v>4.2804622222222228</c:v>
                </c:pt>
                <c:pt idx="16">
                  <c:v>4.5183066666666667</c:v>
                </c:pt>
                <c:pt idx="17">
                  <c:v>4.7560597222222221</c:v>
                </c:pt>
                <c:pt idx="18">
                  <c:v>4.9938205555555557</c:v>
                </c:pt>
                <c:pt idx="19">
                  <c:v>5.2316730555555555</c:v>
                </c:pt>
                <c:pt idx="20">
                  <c:v>5.4694311111111116</c:v>
                </c:pt>
                <c:pt idx="21">
                  <c:v>5.7071944444444451</c:v>
                </c:pt>
                <c:pt idx="22">
                  <c:v>5.9450247222222226</c:v>
                </c:pt>
                <c:pt idx="23">
                  <c:v>6.1827869444444445</c:v>
                </c:pt>
                <c:pt idx="24">
                  <c:v>6.4205563888888895</c:v>
                </c:pt>
                <c:pt idx="25">
                  <c:v>6.658389722222223</c:v>
                </c:pt>
                <c:pt idx="26">
                  <c:v>6.8961552777777779</c:v>
                </c:pt>
                <c:pt idx="27">
                  <c:v>7.1339474999999997</c:v>
                </c:pt>
                <c:pt idx="28">
                  <c:v>7.3717841666666661</c:v>
                </c:pt>
                <c:pt idx="29">
                  <c:v>7.609548055555555</c:v>
                </c:pt>
                <c:pt idx="30">
                  <c:v>7.8473716666666666</c:v>
                </c:pt>
                <c:pt idx="31">
                  <c:v>8.085210833333333</c:v>
                </c:pt>
              </c:numCache>
            </c:numRef>
          </c:xVal>
          <c:yVal>
            <c:numRef>
              <c:f>Sheet4!$BO$8:$BO$39</c:f>
              <c:numCache>
                <c:formatCode>General</c:formatCode>
                <c:ptCount val="32"/>
                <c:pt idx="0">
                  <c:v>0.10639999999999999</c:v>
                </c:pt>
                <c:pt idx="1">
                  <c:v>0.111</c:v>
                </c:pt>
                <c:pt idx="2">
                  <c:v>0.11609999999999999</c:v>
                </c:pt>
                <c:pt idx="3">
                  <c:v>0.1202</c:v>
                </c:pt>
                <c:pt idx="4">
                  <c:v>0.12379999999999999</c:v>
                </c:pt>
                <c:pt idx="5">
                  <c:v>0.1343</c:v>
                </c:pt>
                <c:pt idx="6">
                  <c:v>0.14810000000000001</c:v>
                </c:pt>
                <c:pt idx="7">
                  <c:v>0.15989999999999999</c:v>
                </c:pt>
                <c:pt idx="8">
                  <c:v>0.18970000000000001</c:v>
                </c:pt>
                <c:pt idx="9">
                  <c:v>0.23230000000000001</c:v>
                </c:pt>
                <c:pt idx="10">
                  <c:v>0.30280000000000001</c:v>
                </c:pt>
                <c:pt idx="11">
                  <c:v>0.32679999999999998</c:v>
                </c:pt>
                <c:pt idx="12">
                  <c:v>0.34520000000000001</c:v>
                </c:pt>
                <c:pt idx="13">
                  <c:v>0.38159999999999999</c:v>
                </c:pt>
                <c:pt idx="14">
                  <c:v>0.43419999999999997</c:v>
                </c:pt>
                <c:pt idx="15">
                  <c:v>0.4627</c:v>
                </c:pt>
                <c:pt idx="16">
                  <c:v>0.48220000000000002</c:v>
                </c:pt>
                <c:pt idx="17">
                  <c:v>0.51939999999999997</c:v>
                </c:pt>
                <c:pt idx="18">
                  <c:v>0.54069999999999996</c:v>
                </c:pt>
                <c:pt idx="19">
                  <c:v>0.54300000000000004</c:v>
                </c:pt>
                <c:pt idx="20">
                  <c:v>0.55989999999999995</c:v>
                </c:pt>
                <c:pt idx="21">
                  <c:v>0.57410000000000005</c:v>
                </c:pt>
                <c:pt idx="22">
                  <c:v>0.58309999999999995</c:v>
                </c:pt>
                <c:pt idx="23">
                  <c:v>0.58250000000000002</c:v>
                </c:pt>
                <c:pt idx="24">
                  <c:v>0.59130000000000005</c:v>
                </c:pt>
                <c:pt idx="25">
                  <c:v>0.58760000000000001</c:v>
                </c:pt>
                <c:pt idx="26">
                  <c:v>0.57830000000000004</c:v>
                </c:pt>
                <c:pt idx="27">
                  <c:v>0.57999999999999996</c:v>
                </c:pt>
                <c:pt idx="28">
                  <c:v>0.56999999999999995</c:v>
                </c:pt>
                <c:pt idx="29">
                  <c:v>0.57089999999999996</c:v>
                </c:pt>
                <c:pt idx="30">
                  <c:v>0.56679999999999997</c:v>
                </c:pt>
                <c:pt idx="31">
                  <c:v>0.56120000000000003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96-1A42-B409-F0EBCC2BF00F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Sheet4!$A$8:$A$39</c:f>
              <c:numCache>
                <c:formatCode>General</c:formatCode>
                <c:ptCount val="32"/>
                <c:pt idx="0">
                  <c:v>0.7135488888888889</c:v>
                </c:pt>
                <c:pt idx="1">
                  <c:v>0.95137944444444444</c:v>
                </c:pt>
                <c:pt idx="2">
                  <c:v>1.1891449999999999</c:v>
                </c:pt>
                <c:pt idx="3">
                  <c:v>1.4269777777777777</c:v>
                </c:pt>
                <c:pt idx="4">
                  <c:v>1.6648077777777779</c:v>
                </c:pt>
                <c:pt idx="5">
                  <c:v>1.9025777777777777</c:v>
                </c:pt>
                <c:pt idx="6">
                  <c:v>2.1403772222222224</c:v>
                </c:pt>
                <c:pt idx="7">
                  <c:v>2.3782172222222222</c:v>
                </c:pt>
                <c:pt idx="8">
                  <c:v>2.6159794444444442</c:v>
                </c:pt>
                <c:pt idx="9">
                  <c:v>2.8537316666666666</c:v>
                </c:pt>
                <c:pt idx="10">
                  <c:v>3.0915727777777779</c:v>
                </c:pt>
                <c:pt idx="11">
                  <c:v>3.3293372222222222</c:v>
                </c:pt>
                <c:pt idx="12">
                  <c:v>3.5670933333333332</c:v>
                </c:pt>
                <c:pt idx="13">
                  <c:v>3.8049416666666671</c:v>
                </c:pt>
                <c:pt idx="14">
                  <c:v>4.0427038888888891</c:v>
                </c:pt>
                <c:pt idx="15">
                  <c:v>4.2804622222222228</c:v>
                </c:pt>
                <c:pt idx="16">
                  <c:v>4.5183066666666667</c:v>
                </c:pt>
                <c:pt idx="17">
                  <c:v>4.7560597222222221</c:v>
                </c:pt>
                <c:pt idx="18">
                  <c:v>4.9938205555555557</c:v>
                </c:pt>
                <c:pt idx="19">
                  <c:v>5.2316730555555555</c:v>
                </c:pt>
                <c:pt idx="20">
                  <c:v>5.4694311111111116</c:v>
                </c:pt>
                <c:pt idx="21">
                  <c:v>5.7071944444444451</c:v>
                </c:pt>
                <c:pt idx="22">
                  <c:v>5.9450247222222226</c:v>
                </c:pt>
                <c:pt idx="23">
                  <c:v>6.1827869444444445</c:v>
                </c:pt>
                <c:pt idx="24">
                  <c:v>6.4205563888888895</c:v>
                </c:pt>
                <c:pt idx="25">
                  <c:v>6.658389722222223</c:v>
                </c:pt>
                <c:pt idx="26">
                  <c:v>6.8961552777777779</c:v>
                </c:pt>
                <c:pt idx="27">
                  <c:v>7.1339474999999997</c:v>
                </c:pt>
                <c:pt idx="28">
                  <c:v>7.3717841666666661</c:v>
                </c:pt>
                <c:pt idx="29">
                  <c:v>7.609548055555555</c:v>
                </c:pt>
                <c:pt idx="30">
                  <c:v>7.8473716666666666</c:v>
                </c:pt>
                <c:pt idx="31">
                  <c:v>8.085210833333333</c:v>
                </c:pt>
              </c:numCache>
            </c:numRef>
          </c:xVal>
          <c:yVal>
            <c:numRef>
              <c:f>Sheet4!$BQ$8:$BQ$39</c:f>
              <c:numCache>
                <c:formatCode>General</c:formatCode>
                <c:ptCount val="32"/>
                <c:pt idx="0">
                  <c:v>0.12687969924812031</c:v>
                </c:pt>
                <c:pt idx="1">
                  <c:v>0.12462462462462463</c:v>
                </c:pt>
                <c:pt idx="2">
                  <c:v>9.6181452770600057E-2</c:v>
                </c:pt>
                <c:pt idx="3">
                  <c:v>4.0210759844703271E-2</c:v>
                </c:pt>
                <c:pt idx="4">
                  <c:v>0</c:v>
                </c:pt>
                <c:pt idx="5">
                  <c:v>2.8543062794738148E-2</c:v>
                </c:pt>
                <c:pt idx="6">
                  <c:v>2.8134143596668916E-2</c:v>
                </c:pt>
                <c:pt idx="7">
                  <c:v>8.4427767354596631E-2</c:v>
                </c:pt>
                <c:pt idx="8">
                  <c:v>6.0622034791776483E-2</c:v>
                </c:pt>
                <c:pt idx="9">
                  <c:v>8.466063997704118E-2</c:v>
                </c:pt>
                <c:pt idx="10">
                  <c:v>8.7516512549537656E-2</c:v>
                </c:pt>
                <c:pt idx="11">
                  <c:v>6.3239494084047332E-2</c:v>
                </c:pt>
                <c:pt idx="12">
                  <c:v>8.9803012746234062E-2</c:v>
                </c:pt>
                <c:pt idx="13">
                  <c:v>8.6477987421383642E-2</c:v>
                </c:pt>
                <c:pt idx="14">
                  <c:v>7.4082604022723791E-2</c:v>
                </c:pt>
                <c:pt idx="15">
                  <c:v>8.6088898494344784E-2</c:v>
                </c:pt>
                <c:pt idx="16">
                  <c:v>8.2607493432877085E-2</c:v>
                </c:pt>
                <c:pt idx="17">
                  <c:v>7.5728404569374921E-2</c:v>
                </c:pt>
                <c:pt idx="18">
                  <c:v>8.5074902903643432E-2</c:v>
                </c:pt>
                <c:pt idx="19">
                  <c:v>7.704112952731737E-2</c:v>
                </c:pt>
                <c:pt idx="20">
                  <c:v>7.947847829969637E-2</c:v>
                </c:pt>
                <c:pt idx="21">
                  <c:v>8.3318817859838579E-2</c:v>
                </c:pt>
                <c:pt idx="22">
                  <c:v>6.8598868118676048E-2</c:v>
                </c:pt>
                <c:pt idx="23">
                  <c:v>8.1258941344778249E-2</c:v>
                </c:pt>
                <c:pt idx="24">
                  <c:v>5.496363943852528E-2</c:v>
                </c:pt>
                <c:pt idx="25">
                  <c:v>5.6727932834127519E-2</c:v>
                </c:pt>
                <c:pt idx="26">
                  <c:v>6.5133437085710982E-2</c:v>
                </c:pt>
                <c:pt idx="27">
                  <c:v>6.9540229885057481E-2</c:v>
                </c:pt>
                <c:pt idx="28">
                  <c:v>7.3684210526315796E-2</c:v>
                </c:pt>
                <c:pt idx="29">
                  <c:v>6.8021252992351261E-2</c:v>
                </c:pt>
                <c:pt idx="30">
                  <c:v>6.6749000235238776E-2</c:v>
                </c:pt>
                <c:pt idx="31">
                  <c:v>6.1178427179852689E-2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C96-1A42-B409-F0EBCC2BF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907119"/>
        <c:axId val="154908831"/>
      </c:scatterChart>
      <c:valAx>
        <c:axId val="154907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54908831"/>
        <c:crosses val="autoZero"/>
        <c:crossBetween val="midCat"/>
      </c:valAx>
      <c:valAx>
        <c:axId val="15490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1549071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Sheet5!$A$9:$A$40</c:f>
              <c:numCache>
                <c:formatCode>General</c:formatCode>
                <c:ptCount val="32"/>
                <c:pt idx="0">
                  <c:v>0.7135488888888889</c:v>
                </c:pt>
                <c:pt idx="1">
                  <c:v>0.95137944444444444</c:v>
                </c:pt>
                <c:pt idx="2">
                  <c:v>1.1891449999999999</c:v>
                </c:pt>
                <c:pt idx="3">
                  <c:v>1.4269777777777777</c:v>
                </c:pt>
                <c:pt idx="4">
                  <c:v>1.6648077777777779</c:v>
                </c:pt>
                <c:pt idx="5">
                  <c:v>1.9025777777777777</c:v>
                </c:pt>
                <c:pt idx="6">
                  <c:v>2.1403772222222224</c:v>
                </c:pt>
                <c:pt idx="7">
                  <c:v>2.3782172222222222</c:v>
                </c:pt>
                <c:pt idx="8">
                  <c:v>2.6159794444444442</c:v>
                </c:pt>
                <c:pt idx="9">
                  <c:v>2.8537316666666666</c:v>
                </c:pt>
                <c:pt idx="10">
                  <c:v>3.0915727777777779</c:v>
                </c:pt>
                <c:pt idx="11">
                  <c:v>3.3293372222222222</c:v>
                </c:pt>
                <c:pt idx="12">
                  <c:v>3.5670933333333332</c:v>
                </c:pt>
                <c:pt idx="13">
                  <c:v>3.8049416666666671</c:v>
                </c:pt>
                <c:pt idx="14">
                  <c:v>4.0427038888888891</c:v>
                </c:pt>
                <c:pt idx="15">
                  <c:v>4.2804622222222228</c:v>
                </c:pt>
                <c:pt idx="16">
                  <c:v>4.5183066666666667</c:v>
                </c:pt>
                <c:pt idx="17">
                  <c:v>4.7560597222222221</c:v>
                </c:pt>
                <c:pt idx="18">
                  <c:v>4.9938205555555557</c:v>
                </c:pt>
                <c:pt idx="19">
                  <c:v>5.2316730555555555</c:v>
                </c:pt>
                <c:pt idx="20">
                  <c:v>5.4694311111111116</c:v>
                </c:pt>
                <c:pt idx="21">
                  <c:v>5.7071944444444451</c:v>
                </c:pt>
                <c:pt idx="22">
                  <c:v>5.9450247222222226</c:v>
                </c:pt>
                <c:pt idx="23">
                  <c:v>6.1827869444444445</c:v>
                </c:pt>
                <c:pt idx="24">
                  <c:v>6.4205563888888895</c:v>
                </c:pt>
                <c:pt idx="25">
                  <c:v>6.658389722222223</c:v>
                </c:pt>
                <c:pt idx="26">
                  <c:v>6.8961552777777779</c:v>
                </c:pt>
                <c:pt idx="27">
                  <c:v>7.1339474999999997</c:v>
                </c:pt>
                <c:pt idx="28">
                  <c:v>7.3717841666666661</c:v>
                </c:pt>
                <c:pt idx="29">
                  <c:v>7.609548055555555</c:v>
                </c:pt>
                <c:pt idx="30">
                  <c:v>7.8473716666666666</c:v>
                </c:pt>
                <c:pt idx="31">
                  <c:v>8.085210833333333</c:v>
                </c:pt>
              </c:numCache>
            </c:numRef>
          </c:xVal>
          <c:yVal>
            <c:numRef>
              <c:f>Sheet5!$E$9:$E$40</c:f>
              <c:numCache>
                <c:formatCode>General</c:formatCode>
                <c:ptCount val="32"/>
                <c:pt idx="0">
                  <c:v>2.5000000000000022E-3</c:v>
                </c:pt>
                <c:pt idx="1">
                  <c:v>6.6999999999999976E-3</c:v>
                </c:pt>
                <c:pt idx="2">
                  <c:v>1.0899999999999993E-2</c:v>
                </c:pt>
                <c:pt idx="3">
                  <c:v>1.3499999999999998E-2</c:v>
                </c:pt>
                <c:pt idx="4">
                  <c:v>2.0500000000000004E-2</c:v>
                </c:pt>
                <c:pt idx="5">
                  <c:v>2.76E-2</c:v>
                </c:pt>
                <c:pt idx="6">
                  <c:v>3.9400000000000004E-2</c:v>
                </c:pt>
                <c:pt idx="7">
                  <c:v>5.0500000000000003E-2</c:v>
                </c:pt>
                <c:pt idx="8">
                  <c:v>8.0200000000000007E-2</c:v>
                </c:pt>
                <c:pt idx="9">
                  <c:v>0.11570000000000001</c:v>
                </c:pt>
                <c:pt idx="10">
                  <c:v>0.17969999999999997</c:v>
                </c:pt>
                <c:pt idx="11">
                  <c:v>0.20379999999999998</c:v>
                </c:pt>
                <c:pt idx="12">
                  <c:v>0.22009999999999996</c:v>
                </c:pt>
                <c:pt idx="13">
                  <c:v>0.26119999999999999</c:v>
                </c:pt>
                <c:pt idx="14">
                  <c:v>0.30690000000000001</c:v>
                </c:pt>
                <c:pt idx="15">
                  <c:v>0.32289999999999996</c:v>
                </c:pt>
                <c:pt idx="16">
                  <c:v>0.3367</c:v>
                </c:pt>
                <c:pt idx="17">
                  <c:v>0.3735</c:v>
                </c:pt>
                <c:pt idx="18">
                  <c:v>0.39329999999999998</c:v>
                </c:pt>
                <c:pt idx="19">
                  <c:v>0.39329999999999998</c:v>
                </c:pt>
                <c:pt idx="20">
                  <c:v>0.41309999999999997</c:v>
                </c:pt>
                <c:pt idx="21">
                  <c:v>0.4138</c:v>
                </c:pt>
                <c:pt idx="22">
                  <c:v>0.42329999999999995</c:v>
                </c:pt>
                <c:pt idx="23">
                  <c:v>0.43390000000000001</c:v>
                </c:pt>
                <c:pt idx="24">
                  <c:v>0.42480000000000001</c:v>
                </c:pt>
                <c:pt idx="25">
                  <c:v>0.42370000000000002</c:v>
                </c:pt>
                <c:pt idx="26">
                  <c:v>0.42219999999999996</c:v>
                </c:pt>
                <c:pt idx="27">
                  <c:v>0.41729999999999995</c:v>
                </c:pt>
                <c:pt idx="28">
                  <c:v>0.41660000000000003</c:v>
                </c:pt>
                <c:pt idx="29">
                  <c:v>0.40750000000000003</c:v>
                </c:pt>
                <c:pt idx="30">
                  <c:v>0.41460000000000002</c:v>
                </c:pt>
                <c:pt idx="31">
                  <c:v>0.39960000000000001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CE-DC49-A53C-BA421E72FD17}"/>
            </c:ext>
          </c:extLst>
        </c:ser>
        <c:ser>
          <c:idx val="1"/>
          <c:order val="1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Sheet5!$A$9:$A$40</c:f>
              <c:numCache>
                <c:formatCode>General</c:formatCode>
                <c:ptCount val="32"/>
                <c:pt idx="0">
                  <c:v>0.7135488888888889</c:v>
                </c:pt>
                <c:pt idx="1">
                  <c:v>0.95137944444444444</c:v>
                </c:pt>
                <c:pt idx="2">
                  <c:v>1.1891449999999999</c:v>
                </c:pt>
                <c:pt idx="3">
                  <c:v>1.4269777777777777</c:v>
                </c:pt>
                <c:pt idx="4">
                  <c:v>1.6648077777777779</c:v>
                </c:pt>
                <c:pt idx="5">
                  <c:v>1.9025777777777777</c:v>
                </c:pt>
                <c:pt idx="6">
                  <c:v>2.1403772222222224</c:v>
                </c:pt>
                <c:pt idx="7">
                  <c:v>2.3782172222222222</c:v>
                </c:pt>
                <c:pt idx="8">
                  <c:v>2.6159794444444442</c:v>
                </c:pt>
                <c:pt idx="9">
                  <c:v>2.8537316666666666</c:v>
                </c:pt>
                <c:pt idx="10">
                  <c:v>3.0915727777777779</c:v>
                </c:pt>
                <c:pt idx="11">
                  <c:v>3.3293372222222222</c:v>
                </c:pt>
                <c:pt idx="12">
                  <c:v>3.5670933333333332</c:v>
                </c:pt>
                <c:pt idx="13">
                  <c:v>3.8049416666666671</c:v>
                </c:pt>
                <c:pt idx="14">
                  <c:v>4.0427038888888891</c:v>
                </c:pt>
                <c:pt idx="15">
                  <c:v>4.2804622222222228</c:v>
                </c:pt>
                <c:pt idx="16">
                  <c:v>4.5183066666666667</c:v>
                </c:pt>
                <c:pt idx="17">
                  <c:v>4.7560597222222221</c:v>
                </c:pt>
                <c:pt idx="18">
                  <c:v>4.9938205555555557</c:v>
                </c:pt>
                <c:pt idx="19">
                  <c:v>5.2316730555555555</c:v>
                </c:pt>
                <c:pt idx="20">
                  <c:v>5.4694311111111116</c:v>
                </c:pt>
                <c:pt idx="21">
                  <c:v>5.7071944444444451</c:v>
                </c:pt>
                <c:pt idx="22">
                  <c:v>5.9450247222222226</c:v>
                </c:pt>
                <c:pt idx="23">
                  <c:v>6.1827869444444445</c:v>
                </c:pt>
                <c:pt idx="24">
                  <c:v>6.4205563888888895</c:v>
                </c:pt>
                <c:pt idx="25">
                  <c:v>6.658389722222223</c:v>
                </c:pt>
                <c:pt idx="26">
                  <c:v>6.8961552777777779</c:v>
                </c:pt>
                <c:pt idx="27">
                  <c:v>7.1339474999999997</c:v>
                </c:pt>
                <c:pt idx="28">
                  <c:v>7.3717841666666661</c:v>
                </c:pt>
                <c:pt idx="29">
                  <c:v>7.609548055555555</c:v>
                </c:pt>
                <c:pt idx="30">
                  <c:v>7.8473716666666666</c:v>
                </c:pt>
                <c:pt idx="31">
                  <c:v>8.085210833333333</c:v>
                </c:pt>
              </c:numCache>
            </c:numRef>
          </c:xVal>
          <c:yVal>
            <c:numRef>
              <c:f>Sheet5!$G$9:$G$40</c:f>
              <c:numCache>
                <c:formatCode>General</c:formatCode>
                <c:ptCount val="32"/>
                <c:pt idx="0">
                  <c:v>-5.1409523809523865</c:v>
                </c:pt>
                <c:pt idx="1">
                  <c:v>-2.0923951670220373</c:v>
                </c:pt>
                <c:pt idx="2">
                  <c:v>-1.1944080384447389</c:v>
                </c:pt>
                <c:pt idx="3">
                  <c:v>-1.4335097001763688</c:v>
                </c:pt>
                <c:pt idx="4">
                  <c:v>-0.6269454123112671</c:v>
                </c:pt>
                <c:pt idx="5">
                  <c:v>-0.44755003450655717</c:v>
                </c:pt>
                <c:pt idx="6">
                  <c:v>-0.36850374667633612</c:v>
                </c:pt>
                <c:pt idx="7">
                  <c:v>-0.11258840169731309</c:v>
                </c:pt>
                <c:pt idx="8">
                  <c:v>-3.9722123263270716E-2</c:v>
                </c:pt>
                <c:pt idx="9">
                  <c:v>3.5848047084001911E-2</c:v>
                </c:pt>
                <c:pt idx="10">
                  <c:v>4.4412645414314729E-2</c:v>
                </c:pt>
                <c:pt idx="11">
                  <c:v>3.670732277209203E-2</c:v>
                </c:pt>
                <c:pt idx="12">
                  <c:v>8.1694467882564098E-2</c:v>
                </c:pt>
                <c:pt idx="13">
                  <c:v>7.3944432290527135E-2</c:v>
                </c:pt>
                <c:pt idx="14">
                  <c:v>6.1847352169932729E-2</c:v>
                </c:pt>
                <c:pt idx="15">
                  <c:v>8.5622852423719489E-2</c:v>
                </c:pt>
                <c:pt idx="16">
                  <c:v>8.260851117993967E-2</c:v>
                </c:pt>
                <c:pt idx="17">
                  <c:v>7.1791929623254855E-2</c:v>
                </c:pt>
                <c:pt idx="18">
                  <c:v>8.2161926555519169E-2</c:v>
                </c:pt>
                <c:pt idx="19">
                  <c:v>8.4704514910464504E-2</c:v>
                </c:pt>
                <c:pt idx="20">
                  <c:v>8.4679139145370022E-2</c:v>
                </c:pt>
                <c:pt idx="21">
                  <c:v>6.9230592188542828E-2</c:v>
                </c:pt>
                <c:pt idx="22">
                  <c:v>7.6338969322668773E-2</c:v>
                </c:pt>
                <c:pt idx="23">
                  <c:v>7.4474039442926229E-2</c:v>
                </c:pt>
                <c:pt idx="24">
                  <c:v>7.0184288404627329E-2</c:v>
                </c:pt>
                <c:pt idx="25">
                  <c:v>6.2499297571282399E-2</c:v>
                </c:pt>
                <c:pt idx="26">
                  <c:v>7.732737813268363E-2</c:v>
                </c:pt>
                <c:pt idx="27">
                  <c:v>5.7466935971608811E-2</c:v>
                </c:pt>
                <c:pt idx="28">
                  <c:v>7.3966120293532611E-2</c:v>
                </c:pt>
                <c:pt idx="29">
                  <c:v>5.4349985392930109E-2</c:v>
                </c:pt>
                <c:pt idx="30">
                  <c:v>7.6734890772517328E-2</c:v>
                </c:pt>
                <c:pt idx="31">
                  <c:v>7.2941989608656208E-2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CE-DC49-A53C-BA421E72FD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095823"/>
        <c:axId val="536828671"/>
      </c:scatterChart>
      <c:valAx>
        <c:axId val="536095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536828671"/>
        <c:crosses val="autoZero"/>
        <c:crossBetween val="midCat"/>
      </c:valAx>
      <c:valAx>
        <c:axId val="536828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001"/>
          </a:p>
        </c:txPr>
        <c:crossAx val="5360958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001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001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6.xml"/><Relationship Id="rId3" Type="http://schemas.openxmlformats.org/officeDocument/2006/relationships/chart" Target="../charts/chart21.xml"/><Relationship Id="rId7" Type="http://schemas.openxmlformats.org/officeDocument/2006/relationships/chart" Target="../charts/chart25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11" Type="http://schemas.openxmlformats.org/officeDocument/2006/relationships/chart" Target="../charts/chart29.xml"/><Relationship Id="rId5" Type="http://schemas.openxmlformats.org/officeDocument/2006/relationships/chart" Target="../charts/chart23.xml"/><Relationship Id="rId10" Type="http://schemas.openxmlformats.org/officeDocument/2006/relationships/chart" Target="../charts/chart28.xml"/><Relationship Id="rId4" Type="http://schemas.openxmlformats.org/officeDocument/2006/relationships/chart" Target="../charts/chart22.xml"/><Relationship Id="rId9" Type="http://schemas.openxmlformats.org/officeDocument/2006/relationships/chart" Target="../charts/chart27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7.xml"/><Relationship Id="rId3" Type="http://schemas.openxmlformats.org/officeDocument/2006/relationships/chart" Target="../charts/chart32.xml"/><Relationship Id="rId7" Type="http://schemas.openxmlformats.org/officeDocument/2006/relationships/chart" Target="../charts/chart36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Relationship Id="rId6" Type="http://schemas.openxmlformats.org/officeDocument/2006/relationships/chart" Target="../charts/chart35.xml"/><Relationship Id="rId5" Type="http://schemas.openxmlformats.org/officeDocument/2006/relationships/chart" Target="../charts/chart34.xml"/><Relationship Id="rId4" Type="http://schemas.openxmlformats.org/officeDocument/2006/relationships/chart" Target="../charts/chart33.xml"/><Relationship Id="rId9" Type="http://schemas.openxmlformats.org/officeDocument/2006/relationships/chart" Target="../charts/chart3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534197</xdr:colOff>
      <xdr:row>40</xdr:row>
      <xdr:rowOff>116153</xdr:rowOff>
    </xdr:from>
    <xdr:to>
      <xdr:col>43</xdr:col>
      <xdr:colOff>16935</xdr:colOff>
      <xdr:row>48</xdr:row>
      <xdr:rowOff>118534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F484F8-A02E-E1D6-FA97-C8AD821B0D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39</xdr:col>
      <xdr:colOff>449494</xdr:colOff>
      <xdr:row>48</xdr:row>
      <xdr:rowOff>101601</xdr:rowOff>
    </xdr:from>
    <xdr:to>
      <xdr:col>42</xdr:col>
      <xdr:colOff>914399</xdr:colOff>
      <xdr:row>57</xdr:row>
      <xdr:rowOff>84667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5113AC-E50C-E078-6777-1C0532096B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803660</xdr:colOff>
      <xdr:row>40</xdr:row>
      <xdr:rowOff>16933</xdr:rowOff>
    </xdr:from>
    <xdr:to>
      <xdr:col>46</xdr:col>
      <xdr:colOff>270934</xdr:colOff>
      <xdr:row>49</xdr:row>
      <xdr:rowOff>50799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6809B59-A4CC-AE04-022C-24112723B6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42</xdr:col>
      <xdr:colOff>791449</xdr:colOff>
      <xdr:row>49</xdr:row>
      <xdr:rowOff>55216</xdr:rowOff>
    </xdr:from>
    <xdr:to>
      <xdr:col>46</xdr:col>
      <xdr:colOff>331304</xdr:colOff>
      <xdr:row>59</xdr:row>
      <xdr:rowOff>34970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001D57D-D8C4-80E8-8358-AA67CE33DF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46</xdr:col>
      <xdr:colOff>51536</xdr:colOff>
      <xdr:row>39</xdr:row>
      <xdr:rowOff>165283</xdr:rowOff>
    </xdr:from>
    <xdr:to>
      <xdr:col>49</xdr:col>
      <xdr:colOff>773043</xdr:colOff>
      <xdr:row>49</xdr:row>
      <xdr:rowOff>110434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8B67248-69AF-FAA6-70D2-22D2C51B72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45</xdr:col>
      <xdr:colOff>629018</xdr:colOff>
      <xdr:row>49</xdr:row>
      <xdr:rowOff>142605</xdr:rowOff>
    </xdr:from>
    <xdr:to>
      <xdr:col>49</xdr:col>
      <xdr:colOff>725715</xdr:colOff>
      <xdr:row>59</xdr:row>
      <xdr:rowOff>158749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9DB258B-1746-8F7F-0AEC-EE40E53A9A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49</xdr:col>
      <xdr:colOff>718912</xdr:colOff>
      <xdr:row>40</xdr:row>
      <xdr:rowOff>11793</xdr:rowOff>
    </xdr:from>
    <xdr:to>
      <xdr:col>53</xdr:col>
      <xdr:colOff>566965</xdr:colOff>
      <xdr:row>49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24176A0-948D-A3FD-3C2A-35328C414E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49</xdr:col>
      <xdr:colOff>514804</xdr:colOff>
      <xdr:row>49</xdr:row>
      <xdr:rowOff>136071</xdr:rowOff>
    </xdr:from>
    <xdr:to>
      <xdr:col>53</xdr:col>
      <xdr:colOff>430892</xdr:colOff>
      <xdr:row>60</xdr:row>
      <xdr:rowOff>68036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CD5F58E-D19E-C803-5158-45065C7DC3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53</xdr:col>
      <xdr:colOff>547669</xdr:colOff>
      <xdr:row>41</xdr:row>
      <xdr:rowOff>21526</xdr:rowOff>
    </xdr:from>
    <xdr:to>
      <xdr:col>56</xdr:col>
      <xdr:colOff>767482</xdr:colOff>
      <xdr:row>49</xdr:row>
      <xdr:rowOff>54820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FC7BDDA-AA21-8A35-0ADA-F16287472C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53</xdr:col>
      <xdr:colOff>406400</xdr:colOff>
      <xdr:row>52</xdr:row>
      <xdr:rowOff>50799</xdr:rowOff>
    </xdr:from>
    <xdr:to>
      <xdr:col>56</xdr:col>
      <xdr:colOff>541867</xdr:colOff>
      <xdr:row>59</xdr:row>
      <xdr:rowOff>110066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19C23BF-5749-FF26-7F74-5109166439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56</xdr:col>
      <xdr:colOff>278653</xdr:colOff>
      <xdr:row>40</xdr:row>
      <xdr:rowOff>165100</xdr:rowOff>
    </xdr:from>
    <xdr:to>
      <xdr:col>58</xdr:col>
      <xdr:colOff>749300</xdr:colOff>
      <xdr:row>48</xdr:row>
      <xdr:rowOff>101600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3C869C6B-F3B6-28AE-C57D-791C575F24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39</xdr:col>
      <xdr:colOff>419955</xdr:colOff>
      <xdr:row>57</xdr:row>
      <xdr:rowOff>130285</xdr:rowOff>
    </xdr:from>
    <xdr:to>
      <xdr:col>42</xdr:col>
      <xdr:colOff>774256</xdr:colOff>
      <xdr:row>64</xdr:row>
      <xdr:rowOff>123441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2DF1DA6-74CE-5FEF-07A0-0E1D3E034A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42</xdr:col>
      <xdr:colOff>642756</xdr:colOff>
      <xdr:row>57</xdr:row>
      <xdr:rowOff>118852</xdr:rowOff>
    </xdr:from>
    <xdr:to>
      <xdr:col>45</xdr:col>
      <xdr:colOff>745066</xdr:colOff>
      <xdr:row>65</xdr:row>
      <xdr:rowOff>169335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7E4DD2B-CB07-7EFB-0E7B-1FE904990D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46</xdr:col>
      <xdr:colOff>77305</xdr:colOff>
      <xdr:row>60</xdr:row>
      <xdr:rowOff>22889</xdr:rowOff>
    </xdr:from>
    <xdr:to>
      <xdr:col>49</xdr:col>
      <xdr:colOff>153939</xdr:colOff>
      <xdr:row>72</xdr:row>
      <xdr:rowOff>57728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2CBD3C69-6FAC-2474-89E3-04DC772836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39</xdr:col>
      <xdr:colOff>728877</xdr:colOff>
      <xdr:row>65</xdr:row>
      <xdr:rowOff>38788</xdr:rowOff>
    </xdr:from>
    <xdr:to>
      <xdr:col>42</xdr:col>
      <xdr:colOff>696452</xdr:colOff>
      <xdr:row>73</xdr:row>
      <xdr:rowOff>81935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C519006-FCD5-6E82-E580-4E2577AF5B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42</xdr:col>
      <xdr:colOff>772197</xdr:colOff>
      <xdr:row>65</xdr:row>
      <xdr:rowOff>152771</xdr:rowOff>
    </xdr:from>
    <xdr:to>
      <xdr:col>46</xdr:col>
      <xdr:colOff>127000</xdr:colOff>
      <xdr:row>75</xdr:row>
      <xdr:rowOff>76200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38F55C56-DF52-E41B-301F-4312637AAD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50</xdr:col>
      <xdr:colOff>165161</xdr:colOff>
      <xdr:row>61</xdr:row>
      <xdr:rowOff>177741</xdr:rowOff>
    </xdr:from>
    <xdr:to>
      <xdr:col>53</xdr:col>
      <xdr:colOff>115109</xdr:colOff>
      <xdr:row>68</xdr:row>
      <xdr:rowOff>156491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5CE4347B-0AA8-7D78-125C-DC28588D3A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53</xdr:col>
      <xdr:colOff>444500</xdr:colOff>
      <xdr:row>60</xdr:row>
      <xdr:rowOff>76200</xdr:rowOff>
    </xdr:from>
    <xdr:to>
      <xdr:col>56</xdr:col>
      <xdr:colOff>558800</xdr:colOff>
      <xdr:row>69</xdr:row>
      <xdr:rowOff>101600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CD952A6C-EAA7-AA88-911D-7A4019AFDB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597635</xdr:colOff>
      <xdr:row>39</xdr:row>
      <xdr:rowOff>120006</xdr:rowOff>
    </xdr:from>
    <xdr:to>
      <xdr:col>16</xdr:col>
      <xdr:colOff>457935</xdr:colOff>
      <xdr:row>51</xdr:row>
      <xdr:rowOff>56506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2516047-42F6-D309-B7FC-B3A9E610ED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761999</xdr:colOff>
      <xdr:row>39</xdr:row>
      <xdr:rowOff>22087</xdr:rowOff>
    </xdr:from>
    <xdr:to>
      <xdr:col>25</xdr:col>
      <xdr:colOff>107857</xdr:colOff>
      <xdr:row>53</xdr:row>
      <xdr:rowOff>69575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E9DED08-A118-0DED-A98E-8B0C0E7819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165669</xdr:colOff>
      <xdr:row>39</xdr:row>
      <xdr:rowOff>113351</xdr:rowOff>
    </xdr:from>
    <xdr:to>
      <xdr:col>5</xdr:col>
      <xdr:colOff>25401</xdr:colOff>
      <xdr:row>50</xdr:row>
      <xdr:rowOff>34877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C7FF8C0-B5CB-DE65-DED8-489A63B352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15873</xdr:colOff>
      <xdr:row>40</xdr:row>
      <xdr:rowOff>86947</xdr:rowOff>
    </xdr:from>
    <xdr:to>
      <xdr:col>35</xdr:col>
      <xdr:colOff>476105</xdr:colOff>
      <xdr:row>55</xdr:row>
      <xdr:rowOff>75930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6559455-0841-28F3-6C09-DE5FD43B4D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39</xdr:col>
      <xdr:colOff>356752</xdr:colOff>
      <xdr:row>40</xdr:row>
      <xdr:rowOff>30290</xdr:rowOff>
    </xdr:from>
    <xdr:to>
      <xdr:col>44</xdr:col>
      <xdr:colOff>801253</xdr:colOff>
      <xdr:row>54</xdr:row>
      <xdr:rowOff>107967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79AB772-E372-2F7E-490E-D6ED44F5F0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47</xdr:col>
      <xdr:colOff>751407</xdr:colOff>
      <xdr:row>40</xdr:row>
      <xdr:rowOff>183532</xdr:rowOff>
    </xdr:from>
    <xdr:to>
      <xdr:col>53</xdr:col>
      <xdr:colOff>361546</xdr:colOff>
      <xdr:row>55</xdr:row>
      <xdr:rowOff>54999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23C10A3-D317-3186-278B-727416A0BE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57</xdr:col>
      <xdr:colOff>489225</xdr:colOff>
      <xdr:row>40</xdr:row>
      <xdr:rowOff>66610</xdr:rowOff>
    </xdr:from>
    <xdr:to>
      <xdr:col>63</xdr:col>
      <xdr:colOff>117223</xdr:colOff>
      <xdr:row>54</xdr:row>
      <xdr:rowOff>171646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983768A-0851-B201-576C-E6E0EB1E66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67</xdr:col>
      <xdr:colOff>392953</xdr:colOff>
      <xdr:row>40</xdr:row>
      <xdr:rowOff>51407</xdr:rowOff>
    </xdr:from>
    <xdr:to>
      <xdr:col>73</xdr:col>
      <xdr:colOff>15688</xdr:colOff>
      <xdr:row>54</xdr:row>
      <xdr:rowOff>124900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62BB150-0619-A1A8-7BD4-5633603B4A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9549</xdr:colOff>
      <xdr:row>67</xdr:row>
      <xdr:rowOff>153276</xdr:rowOff>
    </xdr:from>
    <xdr:to>
      <xdr:col>4</xdr:col>
      <xdr:colOff>240862</xdr:colOff>
      <xdr:row>76</xdr:row>
      <xdr:rowOff>83407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143EBE8-75BC-DA1F-3277-34269BBC01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490367</xdr:colOff>
      <xdr:row>67</xdr:row>
      <xdr:rowOff>16584</xdr:rowOff>
    </xdr:from>
    <xdr:to>
      <xdr:col>8</xdr:col>
      <xdr:colOff>474838</xdr:colOff>
      <xdr:row>76</xdr:row>
      <xdr:rowOff>127662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99E02B0-7336-198A-8D78-E45EC7405D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718127</xdr:colOff>
      <xdr:row>67</xdr:row>
      <xdr:rowOff>60036</xdr:rowOff>
    </xdr:from>
    <xdr:to>
      <xdr:col>13</xdr:col>
      <xdr:colOff>178954</xdr:colOff>
      <xdr:row>76</xdr:row>
      <xdr:rowOff>193386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A01A8E8-98CF-E34D-BEA8-37EEC303AE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47</xdr:col>
      <xdr:colOff>589819</xdr:colOff>
      <xdr:row>42</xdr:row>
      <xdr:rowOff>56845</xdr:rowOff>
    </xdr:from>
    <xdr:to>
      <xdr:col>53</xdr:col>
      <xdr:colOff>224775</xdr:colOff>
      <xdr:row>56</xdr:row>
      <xdr:rowOff>179590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1ECC5E-9DF9-B0BB-BF37-BE22493AC0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287405</xdr:colOff>
      <xdr:row>39</xdr:row>
      <xdr:rowOff>160018</xdr:rowOff>
    </xdr:from>
    <xdr:to>
      <xdr:col>36</xdr:col>
      <xdr:colOff>757192</xdr:colOff>
      <xdr:row>54</xdr:row>
      <xdr:rowOff>51962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C7018C2-A24D-069F-977D-44890C1C89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150158</xdr:colOff>
      <xdr:row>40</xdr:row>
      <xdr:rowOff>19049</xdr:rowOff>
    </xdr:from>
    <xdr:to>
      <xdr:col>30</xdr:col>
      <xdr:colOff>594659</xdr:colOff>
      <xdr:row>54</xdr:row>
      <xdr:rowOff>95249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42786D15-CF2E-AA61-4183-740B85A195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482600</xdr:colOff>
      <xdr:row>40</xdr:row>
      <xdr:rowOff>146050</xdr:rowOff>
    </xdr:from>
    <xdr:to>
      <xdr:col>19</xdr:col>
      <xdr:colOff>101600</xdr:colOff>
      <xdr:row>55</xdr:row>
      <xdr:rowOff>31750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72D9CD6-4C02-C11E-A886-C12B4F0B13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67734</xdr:colOff>
      <xdr:row>41</xdr:row>
      <xdr:rowOff>67733</xdr:rowOff>
    </xdr:from>
    <xdr:to>
      <xdr:col>12</xdr:col>
      <xdr:colOff>643466</xdr:colOff>
      <xdr:row>56</xdr:row>
      <xdr:rowOff>169333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8A656C8-4CFD-0D8F-FDDA-C17AEA2BDE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33867</xdr:colOff>
      <xdr:row>41</xdr:row>
      <xdr:rowOff>135467</xdr:rowOff>
    </xdr:from>
    <xdr:to>
      <xdr:col>5</xdr:col>
      <xdr:colOff>457200</xdr:colOff>
      <xdr:row>56</xdr:row>
      <xdr:rowOff>84667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02062EA-2FEA-38A6-5495-CB8FD55C10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53</xdr:col>
      <xdr:colOff>252284</xdr:colOff>
      <xdr:row>41</xdr:row>
      <xdr:rowOff>76398</xdr:rowOff>
    </xdr:from>
    <xdr:to>
      <xdr:col>58</xdr:col>
      <xdr:colOff>681022</xdr:colOff>
      <xdr:row>55</xdr:row>
      <xdr:rowOff>163792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5B34C31-F3E9-CBAE-1CCB-3384D8306C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59</xdr:col>
      <xdr:colOff>769</xdr:colOff>
      <xdr:row>41</xdr:row>
      <xdr:rowOff>65663</xdr:rowOff>
    </xdr:from>
    <xdr:to>
      <xdr:col>64</xdr:col>
      <xdr:colOff>469335</xdr:colOff>
      <xdr:row>55</xdr:row>
      <xdr:rowOff>135179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0B84DB6-FEA2-DDD7-3E29-279CCDB15B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64</xdr:col>
      <xdr:colOff>726441</xdr:colOff>
      <xdr:row>41</xdr:row>
      <xdr:rowOff>3628</xdr:rowOff>
    </xdr:from>
    <xdr:to>
      <xdr:col>70</xdr:col>
      <xdr:colOff>349069</xdr:colOff>
      <xdr:row>55</xdr:row>
      <xdr:rowOff>44268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F9D816D5-7C56-D62C-39EE-2B06450905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499533</xdr:colOff>
      <xdr:row>41</xdr:row>
      <xdr:rowOff>14819</xdr:rowOff>
    </xdr:from>
    <xdr:to>
      <xdr:col>5</xdr:col>
      <xdr:colOff>592667</xdr:colOff>
      <xdr:row>53</xdr:row>
      <xdr:rowOff>50801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531C0E-406B-62B7-4352-EA76311841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163"/>
  <sheetViews>
    <sheetView topLeftCell="A9" zoomScaleNormal="50" workbookViewId="0">
      <selection activeCell="BH86" sqref="BH86:BH120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3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3" x14ac:dyDescent="0.2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3" x14ac:dyDescent="0.2">
      <c r="A19" s="2"/>
      <c r="B19" s="2"/>
      <c r="C19" s="2" t="s">
        <v>27</v>
      </c>
      <c r="D19" s="2"/>
      <c r="E19" s="2"/>
      <c r="F19" s="2"/>
      <c r="G19" s="2"/>
      <c r="H19" s="2"/>
      <c r="I19" s="2"/>
      <c r="J19" s="2"/>
      <c r="K19" s="2"/>
    </row>
    <row r="20" spans="1:13" x14ac:dyDescent="0.2">
      <c r="A20" s="2"/>
      <c r="B20" s="2"/>
      <c r="C20" s="2" t="s">
        <v>28</v>
      </c>
      <c r="D20" s="2"/>
      <c r="E20" s="2"/>
      <c r="F20" s="2"/>
      <c r="G20" s="2" t="s">
        <v>29</v>
      </c>
      <c r="H20" s="2"/>
      <c r="I20" s="2"/>
      <c r="J20" s="2"/>
      <c r="K20" s="2"/>
    </row>
    <row r="21" spans="1:13" x14ac:dyDescent="0.2">
      <c r="A21" s="2"/>
      <c r="B21" s="2"/>
      <c r="C21" s="2" t="s">
        <v>30</v>
      </c>
      <c r="D21" s="2"/>
      <c r="E21" s="2"/>
      <c r="F21" s="2"/>
      <c r="G21" s="2" t="s">
        <v>31</v>
      </c>
      <c r="H21" s="2"/>
      <c r="I21" s="2"/>
      <c r="J21" s="2"/>
      <c r="K21" s="2"/>
    </row>
    <row r="22" spans="1:13" x14ac:dyDescent="0.2">
      <c r="A22" s="2"/>
      <c r="B22" s="2"/>
      <c r="C22" s="2" t="s">
        <v>27</v>
      </c>
      <c r="D22" s="2"/>
      <c r="E22" s="2"/>
      <c r="F22" s="2"/>
      <c r="G22" s="2"/>
      <c r="H22" s="2"/>
      <c r="I22" s="2"/>
      <c r="J22" s="2"/>
      <c r="K22" s="2"/>
    </row>
    <row r="23" spans="1:13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3" x14ac:dyDescent="0.2">
      <c r="A24" s="1" t="s">
        <v>32</v>
      </c>
      <c r="B24" s="1"/>
      <c r="C24" s="1"/>
      <c r="D24" s="1"/>
      <c r="E24" s="1" t="s">
        <v>33</v>
      </c>
      <c r="F24" s="1"/>
      <c r="G24" s="1"/>
      <c r="H24" s="1"/>
      <c r="I24" s="1"/>
      <c r="J24" s="1"/>
      <c r="K24" s="1"/>
    </row>
    <row r="25" spans="1:13" x14ac:dyDescent="0.2">
      <c r="A25" s="1" t="s">
        <v>34</v>
      </c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3" x14ac:dyDescent="0.2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3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3" x14ac:dyDescent="0.2">
      <c r="A28" s="4" t="s">
        <v>37</v>
      </c>
      <c r="B28" s="4" t="s">
        <v>38</v>
      </c>
      <c r="C28" s="4" t="s">
        <v>39</v>
      </c>
      <c r="D28" s="4" t="s">
        <v>40</v>
      </c>
      <c r="E28" s="4" t="s">
        <v>41</v>
      </c>
      <c r="F28" s="4" t="s">
        <v>42</v>
      </c>
      <c r="G28" s="4" t="s">
        <v>43</v>
      </c>
      <c r="H28" s="4" t="s">
        <v>44</v>
      </c>
      <c r="I28" s="4" t="s">
        <v>45</v>
      </c>
      <c r="J28" s="4" t="s">
        <v>46</v>
      </c>
      <c r="K28" s="4" t="s">
        <v>47</v>
      </c>
      <c r="L28" s="4" t="s">
        <v>48</v>
      </c>
      <c r="M28" s="4" t="s">
        <v>49</v>
      </c>
    </row>
    <row r="29" spans="1:13" x14ac:dyDescent="0.2">
      <c r="A29" s="4" t="s">
        <v>50</v>
      </c>
      <c r="B29" s="3" t="s">
        <v>51</v>
      </c>
      <c r="C29" s="3" t="s">
        <v>51</v>
      </c>
      <c r="D29" s="3" t="s">
        <v>51</v>
      </c>
      <c r="E29" s="3" t="s">
        <v>51</v>
      </c>
      <c r="F29" s="3" t="s">
        <v>51</v>
      </c>
      <c r="G29" s="3" t="s">
        <v>51</v>
      </c>
      <c r="H29" s="3" t="s">
        <v>51</v>
      </c>
      <c r="I29" s="3" t="s">
        <v>51</v>
      </c>
      <c r="J29" s="3" t="s">
        <v>51</v>
      </c>
      <c r="K29" s="3" t="s">
        <v>51</v>
      </c>
      <c r="L29" s="3" t="s">
        <v>51</v>
      </c>
      <c r="M29" s="3" t="s">
        <v>51</v>
      </c>
    </row>
    <row r="30" spans="1:13" x14ac:dyDescent="0.2">
      <c r="A30" s="4" t="s">
        <v>52</v>
      </c>
      <c r="B30" s="3" t="s">
        <v>51</v>
      </c>
      <c r="C30" s="3" t="s">
        <v>51</v>
      </c>
      <c r="D30" s="3" t="s">
        <v>51</v>
      </c>
      <c r="E30" s="3" t="s">
        <v>51</v>
      </c>
      <c r="F30" s="3" t="s">
        <v>51</v>
      </c>
      <c r="G30" s="3" t="s">
        <v>51</v>
      </c>
      <c r="H30" s="3" t="s">
        <v>51</v>
      </c>
      <c r="I30" s="3" t="s">
        <v>51</v>
      </c>
      <c r="J30" s="3" t="s">
        <v>51</v>
      </c>
      <c r="K30" s="3" t="s">
        <v>51</v>
      </c>
      <c r="L30" s="3" t="s">
        <v>51</v>
      </c>
      <c r="M30" s="3" t="s">
        <v>51</v>
      </c>
    </row>
    <row r="31" spans="1:13" x14ac:dyDescent="0.2">
      <c r="A31" s="4" t="s">
        <v>53</v>
      </c>
      <c r="B31" s="3" t="s">
        <v>51</v>
      </c>
      <c r="C31" s="3" t="s">
        <v>51</v>
      </c>
      <c r="D31" s="3" t="s">
        <v>51</v>
      </c>
      <c r="E31" s="3" t="s">
        <v>51</v>
      </c>
      <c r="F31" s="3" t="s">
        <v>51</v>
      </c>
      <c r="G31" s="3" t="s">
        <v>51</v>
      </c>
      <c r="H31" s="3" t="s">
        <v>51</v>
      </c>
      <c r="I31" s="3" t="s">
        <v>51</v>
      </c>
      <c r="J31" s="3" t="s">
        <v>51</v>
      </c>
      <c r="K31" s="3" t="s">
        <v>51</v>
      </c>
      <c r="L31" s="3" t="s">
        <v>51</v>
      </c>
      <c r="M31" s="3" t="s">
        <v>51</v>
      </c>
    </row>
    <row r="32" spans="1:13" x14ac:dyDescent="0.2">
      <c r="A32" s="4" t="s">
        <v>54</v>
      </c>
      <c r="B32" s="3" t="s">
        <v>51</v>
      </c>
      <c r="C32" s="3" t="s">
        <v>51</v>
      </c>
      <c r="D32" s="3" t="s">
        <v>51</v>
      </c>
      <c r="E32" s="3" t="s">
        <v>51</v>
      </c>
      <c r="F32" s="3" t="s">
        <v>51</v>
      </c>
      <c r="G32" s="3" t="s">
        <v>51</v>
      </c>
      <c r="H32" s="3" t="s">
        <v>51</v>
      </c>
      <c r="I32" s="3" t="s">
        <v>51</v>
      </c>
      <c r="J32" s="3" t="s">
        <v>51</v>
      </c>
      <c r="K32" s="3" t="s">
        <v>51</v>
      </c>
      <c r="L32" s="3" t="s">
        <v>51</v>
      </c>
      <c r="M32" s="3" t="s">
        <v>51</v>
      </c>
    </row>
    <row r="33" spans="1:13" x14ac:dyDescent="0.2">
      <c r="A33" s="4" t="s">
        <v>55</v>
      </c>
      <c r="B33" s="3" t="s">
        <v>51</v>
      </c>
      <c r="C33" s="3" t="s">
        <v>51</v>
      </c>
      <c r="D33" s="3" t="s">
        <v>51</v>
      </c>
      <c r="E33" s="3" t="s">
        <v>51</v>
      </c>
      <c r="F33" s="3" t="s">
        <v>51</v>
      </c>
      <c r="G33" s="3" t="s">
        <v>51</v>
      </c>
      <c r="H33" s="3" t="s">
        <v>51</v>
      </c>
      <c r="I33" s="3" t="s">
        <v>51</v>
      </c>
      <c r="J33" s="3" t="s">
        <v>51</v>
      </c>
      <c r="K33" s="3" t="s">
        <v>51</v>
      </c>
      <c r="L33" s="3" t="s">
        <v>51</v>
      </c>
      <c r="M33" s="3" t="s">
        <v>51</v>
      </c>
    </row>
    <row r="34" spans="1:13" x14ac:dyDescent="0.2">
      <c r="A34" s="4" t="s">
        <v>56</v>
      </c>
      <c r="B34" s="3" t="s">
        <v>51</v>
      </c>
      <c r="C34" s="3" t="s">
        <v>51</v>
      </c>
      <c r="D34" s="3" t="s">
        <v>51</v>
      </c>
      <c r="E34" s="3" t="s">
        <v>51</v>
      </c>
      <c r="F34" s="3" t="s">
        <v>51</v>
      </c>
      <c r="G34" s="3" t="s">
        <v>51</v>
      </c>
      <c r="H34" s="3" t="s">
        <v>51</v>
      </c>
      <c r="I34" s="3" t="s">
        <v>51</v>
      </c>
      <c r="J34" s="3" t="s">
        <v>51</v>
      </c>
      <c r="K34" s="3" t="s">
        <v>51</v>
      </c>
      <c r="L34" s="3" t="s">
        <v>51</v>
      </c>
      <c r="M34" s="3" t="s">
        <v>51</v>
      </c>
    </row>
    <row r="35" spans="1:13" x14ac:dyDescent="0.2">
      <c r="A35" s="4" t="s">
        <v>57</v>
      </c>
      <c r="B35" s="3" t="s">
        <v>51</v>
      </c>
      <c r="C35" s="3" t="s">
        <v>51</v>
      </c>
      <c r="D35" s="3" t="s">
        <v>51</v>
      </c>
      <c r="E35" s="3" t="s">
        <v>51</v>
      </c>
      <c r="F35" s="3" t="s">
        <v>51</v>
      </c>
      <c r="G35" s="3" t="s">
        <v>51</v>
      </c>
      <c r="H35" s="3" t="s">
        <v>51</v>
      </c>
      <c r="I35" s="3" t="s">
        <v>51</v>
      </c>
      <c r="J35" s="3" t="s">
        <v>51</v>
      </c>
      <c r="K35" s="3" t="s">
        <v>51</v>
      </c>
      <c r="L35" s="3" t="s">
        <v>51</v>
      </c>
      <c r="M35" s="3" t="s">
        <v>51</v>
      </c>
    </row>
    <row r="36" spans="1:13" x14ac:dyDescent="0.2">
      <c r="A36" s="4" t="s">
        <v>58</v>
      </c>
      <c r="B36" s="3" t="s">
        <v>51</v>
      </c>
      <c r="C36" s="3" t="s">
        <v>51</v>
      </c>
      <c r="D36" s="3" t="s">
        <v>51</v>
      </c>
      <c r="E36" s="3" t="s">
        <v>51</v>
      </c>
      <c r="F36" s="3" t="s">
        <v>51</v>
      </c>
      <c r="G36" s="3" t="s">
        <v>51</v>
      </c>
      <c r="H36" s="3" t="s">
        <v>51</v>
      </c>
      <c r="I36" s="3" t="s">
        <v>51</v>
      </c>
      <c r="J36" s="3" t="s">
        <v>51</v>
      </c>
      <c r="K36" s="3" t="s">
        <v>51</v>
      </c>
      <c r="L36" s="3" t="s">
        <v>51</v>
      </c>
      <c r="M36" s="3" t="s">
        <v>51</v>
      </c>
    </row>
    <row r="37" spans="1:13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3" x14ac:dyDescent="0.2">
      <c r="A38" s="1" t="s">
        <v>59</v>
      </c>
      <c r="B38" s="1"/>
      <c r="C38" s="1"/>
      <c r="D38" s="1"/>
      <c r="E38" s="1" t="s">
        <v>60</v>
      </c>
      <c r="F38" s="1"/>
      <c r="G38" s="1"/>
      <c r="H38" s="1"/>
      <c r="I38" s="1"/>
      <c r="J38" s="1"/>
      <c r="K38" s="1"/>
    </row>
    <row r="39" spans="1:13" x14ac:dyDescent="0.2">
      <c r="A39" s="1" t="s">
        <v>61</v>
      </c>
      <c r="B39" s="1"/>
      <c r="C39" s="1"/>
      <c r="D39" s="1"/>
      <c r="E39" s="1" t="s">
        <v>62</v>
      </c>
      <c r="F39" s="1"/>
      <c r="G39" s="1"/>
      <c r="H39" s="1"/>
      <c r="I39" s="1"/>
      <c r="J39" s="1"/>
      <c r="K39" s="1"/>
    </row>
    <row r="40" spans="1:13" x14ac:dyDescent="0.2">
      <c r="A40" s="1" t="s">
        <v>63</v>
      </c>
      <c r="B40" s="1"/>
      <c r="C40" s="1"/>
      <c r="D40" s="1"/>
      <c r="E40" s="1">
        <v>37</v>
      </c>
      <c r="F40" s="1"/>
      <c r="G40" s="1"/>
      <c r="H40" s="1"/>
      <c r="I40" s="1"/>
      <c r="J40" s="1"/>
      <c r="K40" s="1"/>
    </row>
    <row r="41" spans="1:13" x14ac:dyDescent="0.2">
      <c r="A41" s="1" t="s">
        <v>64</v>
      </c>
      <c r="B41" s="1"/>
      <c r="C41" s="1"/>
      <c r="D41" s="1"/>
      <c r="E41" s="1" t="s">
        <v>60</v>
      </c>
      <c r="F41" s="1"/>
      <c r="G41" s="1"/>
      <c r="H41" s="1"/>
      <c r="I41" s="1"/>
      <c r="J41" s="1"/>
      <c r="K41" s="1"/>
    </row>
    <row r="42" spans="1:13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3" x14ac:dyDescent="0.2">
      <c r="A43" s="1" t="s">
        <v>65</v>
      </c>
      <c r="B43" s="1" t="s">
        <v>26</v>
      </c>
      <c r="C43" s="1"/>
      <c r="D43" s="1"/>
      <c r="E43" s="1"/>
      <c r="F43" s="1"/>
      <c r="G43" s="1"/>
      <c r="H43" s="1"/>
      <c r="I43" s="1"/>
      <c r="J43" s="1"/>
      <c r="K43" s="1"/>
    </row>
    <row r="44" spans="1:13" x14ac:dyDescent="0.2">
      <c r="A44" s="1" t="s">
        <v>66</v>
      </c>
      <c r="B44" s="1"/>
      <c r="C44" s="1"/>
      <c r="D44" s="1"/>
      <c r="E44" s="1">
        <v>35</v>
      </c>
      <c r="F44" s="1"/>
      <c r="G44" s="1"/>
      <c r="H44" s="1"/>
      <c r="I44" s="1"/>
      <c r="J44" s="1"/>
      <c r="K44" s="1"/>
    </row>
    <row r="45" spans="1:13" x14ac:dyDescent="0.2">
      <c r="A45" s="1" t="s">
        <v>67</v>
      </c>
      <c r="B45" s="1"/>
      <c r="C45" s="1"/>
      <c r="D45" s="1"/>
      <c r="E45" s="1" t="s">
        <v>68</v>
      </c>
      <c r="F45" s="1"/>
      <c r="G45" s="1"/>
      <c r="H45" s="1"/>
      <c r="I45" s="1"/>
      <c r="J45" s="1"/>
      <c r="K45" s="1"/>
    </row>
    <row r="46" spans="1:13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3" x14ac:dyDescent="0.2">
      <c r="A47" s="1" t="s">
        <v>69</v>
      </c>
      <c r="B47" s="1"/>
      <c r="C47" s="1"/>
      <c r="D47" s="1"/>
      <c r="E47" s="1">
        <v>10</v>
      </c>
      <c r="F47" s="1"/>
      <c r="G47" s="1"/>
      <c r="H47" s="1"/>
      <c r="I47" s="1"/>
      <c r="J47" s="1"/>
      <c r="K47" s="1"/>
    </row>
    <row r="48" spans="1:13" x14ac:dyDescent="0.2">
      <c r="A48" s="1" t="s">
        <v>70</v>
      </c>
      <c r="B48" s="1"/>
      <c r="C48" s="1"/>
      <c r="D48" s="1"/>
      <c r="E48" s="1" t="s">
        <v>71</v>
      </c>
      <c r="F48" s="1"/>
      <c r="G48" s="1"/>
      <c r="H48" s="1"/>
      <c r="I48" s="1"/>
      <c r="J48" s="1"/>
      <c r="K48" s="1"/>
    </row>
    <row r="49" spans="1:11" x14ac:dyDescent="0.2">
      <c r="A49" s="1" t="s">
        <v>72</v>
      </c>
      <c r="B49" s="1"/>
      <c r="C49" s="1"/>
      <c r="D49" s="1"/>
      <c r="E49" s="1">
        <v>2.5</v>
      </c>
      <c r="F49" s="1"/>
      <c r="G49" s="1"/>
      <c r="H49" s="1"/>
      <c r="I49" s="1"/>
      <c r="J49" s="1"/>
      <c r="K49" s="1"/>
    </row>
    <row r="50" spans="1:11" x14ac:dyDescent="0.2">
      <c r="A50" s="1" t="s">
        <v>73</v>
      </c>
      <c r="B50" s="1"/>
      <c r="C50" s="1"/>
      <c r="D50" s="1"/>
      <c r="E50" s="1">
        <v>216</v>
      </c>
      <c r="F50" s="1"/>
      <c r="G50" s="1"/>
      <c r="H50" s="1"/>
      <c r="I50" s="1"/>
      <c r="J50" s="1"/>
      <c r="K50" s="1"/>
    </row>
    <row r="51" spans="1:1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x14ac:dyDescent="0.2">
      <c r="A52" s="1" t="s">
        <v>65</v>
      </c>
      <c r="B52" s="1" t="s">
        <v>28</v>
      </c>
      <c r="C52" s="1"/>
      <c r="D52" s="1"/>
      <c r="E52" s="1"/>
      <c r="F52" s="1"/>
      <c r="G52" s="1"/>
      <c r="H52" s="1"/>
      <c r="I52" s="1"/>
      <c r="J52" s="1"/>
      <c r="K52" s="1"/>
    </row>
    <row r="53" spans="1:11" x14ac:dyDescent="0.2">
      <c r="A53" s="1" t="s">
        <v>32</v>
      </c>
      <c r="B53" s="1" t="s">
        <v>29</v>
      </c>
      <c r="C53" s="1"/>
      <c r="D53" s="1"/>
      <c r="E53" s="1"/>
      <c r="F53" s="1"/>
      <c r="G53" s="1"/>
      <c r="H53" s="1"/>
      <c r="I53" s="1"/>
      <c r="J53" s="1"/>
      <c r="K53" s="1"/>
    </row>
    <row r="54" spans="1:11" x14ac:dyDescent="0.2">
      <c r="A54" s="1" t="s">
        <v>74</v>
      </c>
      <c r="B54" s="1"/>
      <c r="C54" s="1"/>
      <c r="D54" s="1"/>
      <c r="E54" s="1">
        <v>600</v>
      </c>
      <c r="F54" s="1"/>
      <c r="G54" s="1"/>
      <c r="H54" s="1"/>
      <c r="I54" s="1"/>
      <c r="J54" s="1"/>
      <c r="K54" s="1"/>
    </row>
    <row r="55" spans="1:11" x14ac:dyDescent="0.2">
      <c r="A55" s="1" t="s">
        <v>75</v>
      </c>
      <c r="B55" s="1"/>
      <c r="C55" s="1"/>
      <c r="D55" s="1"/>
      <c r="E55" s="1">
        <v>5</v>
      </c>
      <c r="F55" s="1"/>
      <c r="G55" s="1"/>
      <c r="H55" s="1"/>
      <c r="I55" s="1"/>
      <c r="J55" s="1"/>
      <c r="K55" s="1"/>
    </row>
    <row r="56" spans="1:11" x14ac:dyDescent="0.2">
      <c r="A56" s="1" t="s">
        <v>76</v>
      </c>
      <c r="B56" s="1"/>
      <c r="C56" s="1"/>
      <c r="D56" s="1"/>
      <c r="E56" s="1">
        <v>0</v>
      </c>
      <c r="F56" s="1"/>
      <c r="G56" s="1"/>
      <c r="H56" s="1"/>
      <c r="I56" s="1"/>
      <c r="J56" s="1"/>
      <c r="K56" s="1"/>
    </row>
    <row r="57" spans="1:11" x14ac:dyDescent="0.2">
      <c r="A57" s="1" t="s">
        <v>77</v>
      </c>
      <c r="B57" s="1"/>
      <c r="C57" s="1"/>
      <c r="D57" s="1"/>
      <c r="E57" s="1" t="s">
        <v>36</v>
      </c>
      <c r="F57" s="1"/>
      <c r="G57" s="1"/>
      <c r="H57" s="1"/>
      <c r="I57" s="1"/>
      <c r="J57" s="1"/>
      <c r="K57" s="1"/>
    </row>
    <row r="58" spans="1:1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x14ac:dyDescent="0.2">
      <c r="A59" s="1" t="s">
        <v>65</v>
      </c>
      <c r="B59" s="1" t="s">
        <v>30</v>
      </c>
      <c r="C59" s="1"/>
      <c r="D59" s="1"/>
      <c r="E59" s="1"/>
      <c r="F59" s="1"/>
      <c r="G59" s="1"/>
      <c r="H59" s="1"/>
      <c r="I59" s="1"/>
      <c r="J59" s="1"/>
      <c r="K59" s="1"/>
    </row>
    <row r="60" spans="1:11" x14ac:dyDescent="0.2">
      <c r="A60" s="1" t="s">
        <v>32</v>
      </c>
      <c r="B60" s="1" t="s">
        <v>31</v>
      </c>
      <c r="C60" s="1"/>
      <c r="D60" s="1"/>
      <c r="E60" s="1"/>
      <c r="F60" s="1"/>
      <c r="G60" s="1"/>
      <c r="H60" s="1"/>
      <c r="I60" s="1"/>
      <c r="J60" s="1"/>
      <c r="K60" s="1"/>
    </row>
    <row r="61" spans="1:11" x14ac:dyDescent="0.2">
      <c r="A61" s="1" t="s">
        <v>78</v>
      </c>
      <c r="B61" s="1"/>
      <c r="C61" s="1"/>
      <c r="D61" s="1"/>
      <c r="E61" s="1" t="s">
        <v>79</v>
      </c>
      <c r="F61" s="1"/>
      <c r="G61" s="1"/>
      <c r="H61" s="1"/>
      <c r="I61" s="1"/>
      <c r="J61" s="1"/>
      <c r="K61" s="1"/>
    </row>
    <row r="62" spans="1:11" x14ac:dyDescent="0.2">
      <c r="A62" s="1" t="s">
        <v>80</v>
      </c>
      <c r="B62" s="1"/>
      <c r="C62" s="1"/>
      <c r="D62" s="1"/>
      <c r="E62" s="1">
        <v>488.00000000000006</v>
      </c>
      <c r="F62" s="1"/>
      <c r="G62" s="1"/>
      <c r="H62" s="1"/>
      <c r="I62" s="1"/>
      <c r="J62" s="1"/>
      <c r="K62" s="1"/>
    </row>
    <row r="63" spans="1:11" x14ac:dyDescent="0.2">
      <c r="A63" s="1" t="s">
        <v>81</v>
      </c>
      <c r="B63" s="1"/>
      <c r="C63" s="1"/>
      <c r="D63" s="1"/>
      <c r="E63" s="1">
        <v>20</v>
      </c>
      <c r="F63" s="1"/>
      <c r="G63" s="1"/>
      <c r="H63" s="1"/>
      <c r="I63" s="1"/>
      <c r="J63" s="1"/>
      <c r="K63" s="1"/>
    </row>
    <row r="64" spans="1:11" x14ac:dyDescent="0.2">
      <c r="A64" s="1" t="s">
        <v>82</v>
      </c>
      <c r="B64" s="1"/>
      <c r="C64" s="1"/>
      <c r="D64" s="1"/>
      <c r="E64" s="1" t="s">
        <v>79</v>
      </c>
      <c r="F64" s="1"/>
      <c r="G64" s="1"/>
      <c r="H64" s="1"/>
      <c r="I64" s="1"/>
      <c r="J64" s="1"/>
      <c r="K64" s="1"/>
    </row>
    <row r="65" spans="1:11" x14ac:dyDescent="0.2">
      <c r="A65" s="1" t="s">
        <v>83</v>
      </c>
      <c r="B65" s="1"/>
      <c r="C65" s="1"/>
      <c r="D65" s="1"/>
      <c r="E65" s="1">
        <v>528.00000000000011</v>
      </c>
      <c r="F65" s="1"/>
      <c r="G65" s="1"/>
      <c r="H65" s="1"/>
      <c r="I65" s="1"/>
      <c r="J65" s="1"/>
      <c r="K65" s="1"/>
    </row>
    <row r="66" spans="1:11" x14ac:dyDescent="0.2">
      <c r="A66" s="1" t="s">
        <v>84</v>
      </c>
      <c r="B66" s="1"/>
      <c r="C66" s="1"/>
      <c r="D66" s="1"/>
      <c r="E66" s="1">
        <v>20</v>
      </c>
      <c r="F66" s="1"/>
      <c r="G66" s="1"/>
      <c r="H66" s="1"/>
      <c r="I66" s="1"/>
      <c r="J66" s="1"/>
      <c r="K66" s="1"/>
    </row>
    <row r="67" spans="1:11" x14ac:dyDescent="0.2">
      <c r="A67" s="1" t="s">
        <v>85</v>
      </c>
      <c r="B67" s="1"/>
      <c r="C67" s="1"/>
      <c r="D67" s="1"/>
      <c r="E67" s="1">
        <v>85</v>
      </c>
      <c r="F67" s="1"/>
      <c r="G67" s="1"/>
      <c r="H67" s="1"/>
      <c r="I67" s="1"/>
      <c r="J67" s="1"/>
      <c r="K67" s="1"/>
    </row>
    <row r="68" spans="1:11" x14ac:dyDescent="0.2">
      <c r="A68" s="1" t="s">
        <v>86</v>
      </c>
      <c r="B68" s="1"/>
      <c r="C68" s="1"/>
      <c r="D68" s="1"/>
      <c r="E68" s="1" t="s">
        <v>87</v>
      </c>
      <c r="F68" s="1"/>
      <c r="G68" s="1"/>
      <c r="H68" s="1"/>
      <c r="I68" s="1"/>
      <c r="J68" s="1"/>
      <c r="K68" s="1"/>
    </row>
    <row r="69" spans="1:11" x14ac:dyDescent="0.2">
      <c r="A69" s="1" t="s">
        <v>75</v>
      </c>
      <c r="B69" s="1"/>
      <c r="C69" s="1"/>
      <c r="D69" s="1"/>
      <c r="E69" s="1">
        <v>5</v>
      </c>
      <c r="F69" s="1"/>
      <c r="G69" s="1"/>
      <c r="H69" s="1"/>
      <c r="I69" s="1"/>
      <c r="J69" s="1"/>
      <c r="K69" s="1"/>
    </row>
    <row r="70" spans="1:11" x14ac:dyDescent="0.2">
      <c r="A70" s="1" t="s">
        <v>88</v>
      </c>
      <c r="B70" s="1"/>
      <c r="C70" s="1"/>
      <c r="D70" s="1"/>
      <c r="E70" s="1">
        <v>40</v>
      </c>
      <c r="F70" s="1"/>
      <c r="G70" s="1"/>
      <c r="H70" s="1"/>
      <c r="I70" s="1"/>
      <c r="J70" s="1"/>
      <c r="K70" s="1"/>
    </row>
    <row r="71" spans="1:11" x14ac:dyDescent="0.2">
      <c r="A71" s="1" t="s">
        <v>89</v>
      </c>
      <c r="B71" s="1"/>
      <c r="C71" s="1"/>
      <c r="D71" s="1"/>
      <c r="E71" s="1">
        <v>0</v>
      </c>
      <c r="F71" s="1"/>
      <c r="G71" s="1"/>
      <c r="H71" s="1"/>
      <c r="I71" s="1"/>
      <c r="J71" s="1"/>
      <c r="K71" s="1"/>
    </row>
    <row r="72" spans="1:11" x14ac:dyDescent="0.2">
      <c r="A72" s="1" t="s">
        <v>76</v>
      </c>
      <c r="B72" s="1"/>
      <c r="C72" s="1"/>
      <c r="D72" s="1"/>
      <c r="E72" s="1">
        <v>0</v>
      </c>
      <c r="F72" s="1"/>
      <c r="G72" s="1"/>
      <c r="H72" s="1"/>
      <c r="I72" s="1"/>
      <c r="J72" s="1"/>
      <c r="K72" s="1"/>
    </row>
    <row r="73" spans="1:11" x14ac:dyDescent="0.2">
      <c r="A73" s="1" t="s">
        <v>90</v>
      </c>
      <c r="B73" s="1"/>
      <c r="C73" s="1"/>
      <c r="D73" s="1"/>
      <c r="E73" s="1">
        <v>24000</v>
      </c>
      <c r="F73" s="1"/>
      <c r="G73" s="1"/>
      <c r="H73" s="1"/>
      <c r="I73" s="1"/>
      <c r="J73" s="1"/>
      <c r="K73" s="1"/>
    </row>
    <row r="74" spans="1:11" x14ac:dyDescent="0.2">
      <c r="A74" s="1" t="s">
        <v>91</v>
      </c>
      <c r="B74" s="1"/>
      <c r="C74" s="1"/>
      <c r="D74" s="1"/>
      <c r="E74" s="1" t="s">
        <v>92</v>
      </c>
      <c r="F74" s="1"/>
      <c r="G74" s="1"/>
      <c r="H74" s="1"/>
      <c r="I74" s="1"/>
      <c r="J74" s="1"/>
      <c r="K74" s="1"/>
    </row>
    <row r="75" spans="1:11" x14ac:dyDescent="0.2">
      <c r="A75" s="1" t="s">
        <v>77</v>
      </c>
      <c r="B75" s="1"/>
      <c r="C75" s="1"/>
      <c r="D75" s="1"/>
      <c r="E75" s="1" t="s">
        <v>36</v>
      </c>
      <c r="F75" s="1"/>
      <c r="G75" s="1"/>
      <c r="H75" s="1"/>
      <c r="I75" s="1"/>
      <c r="J75" s="1"/>
      <c r="K75" s="1"/>
    </row>
    <row r="76" spans="1:1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 x14ac:dyDescent="0.2">
      <c r="A77" s="1" t="s">
        <v>69</v>
      </c>
      <c r="B77" s="1"/>
      <c r="C77" s="1"/>
      <c r="D77" s="1"/>
      <c r="E77" s="1">
        <v>835</v>
      </c>
      <c r="F77" s="1"/>
      <c r="G77" s="1"/>
      <c r="H77" s="1"/>
      <c r="I77" s="1"/>
      <c r="J77" s="1"/>
      <c r="K77" s="1"/>
    </row>
    <row r="78" spans="1:11" x14ac:dyDescent="0.2">
      <c r="A78" s="1" t="s">
        <v>70</v>
      </c>
      <c r="B78" s="1"/>
      <c r="C78" s="1"/>
      <c r="D78" s="1"/>
      <c r="E78" s="1" t="s">
        <v>71</v>
      </c>
      <c r="F78" s="1"/>
      <c r="G78" s="1"/>
      <c r="H78" s="1"/>
      <c r="I78" s="1"/>
      <c r="J78" s="1"/>
      <c r="K78" s="1"/>
    </row>
    <row r="79" spans="1:11" x14ac:dyDescent="0.2">
      <c r="A79" s="1" t="s">
        <v>72</v>
      </c>
      <c r="B79" s="1"/>
      <c r="C79" s="1"/>
      <c r="D79" s="1"/>
      <c r="E79" s="1">
        <v>2.5</v>
      </c>
      <c r="F79" s="1"/>
      <c r="G79" s="1"/>
      <c r="H79" s="1"/>
      <c r="I79" s="1"/>
      <c r="J79" s="1"/>
      <c r="K79" s="1"/>
    </row>
    <row r="80" spans="1:11" x14ac:dyDescent="0.2">
      <c r="A80" s="1" t="s">
        <v>73</v>
      </c>
      <c r="B80" s="1"/>
      <c r="C80" s="1"/>
      <c r="D80" s="1"/>
      <c r="E80" s="1">
        <v>216</v>
      </c>
      <c r="F80" s="1"/>
      <c r="G80" s="1"/>
      <c r="H80" s="1"/>
      <c r="I80" s="1"/>
      <c r="J80" s="1"/>
      <c r="K80" s="1"/>
    </row>
    <row r="81" spans="1:99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99" x14ac:dyDescent="0.2">
      <c r="A82" s="1" t="s">
        <v>59</v>
      </c>
      <c r="B82" s="1"/>
      <c r="C82" s="1"/>
      <c r="D82" s="1"/>
      <c r="E82" s="1" t="s">
        <v>93</v>
      </c>
      <c r="F82" s="1"/>
      <c r="G82" s="1"/>
      <c r="H82" s="1"/>
      <c r="I82" s="1"/>
      <c r="J82" s="1"/>
      <c r="K82" s="1"/>
    </row>
    <row r="83" spans="1:99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99" x14ac:dyDescent="0.2">
      <c r="A84" s="1" t="s">
        <v>29</v>
      </c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99" x14ac:dyDescent="0.2">
      <c r="A85" s="4" t="s">
        <v>94</v>
      </c>
      <c r="B85" s="4" t="s">
        <v>95</v>
      </c>
      <c r="C85" s="4" t="s">
        <v>96</v>
      </c>
      <c r="D85" s="4" t="s">
        <v>97</v>
      </c>
      <c r="E85" s="4" t="s">
        <v>98</v>
      </c>
      <c r="F85" s="4" t="s">
        <v>99</v>
      </c>
      <c r="G85" s="4" t="s">
        <v>100</v>
      </c>
      <c r="H85" s="4" t="s">
        <v>101</v>
      </c>
      <c r="I85" s="4" t="s">
        <v>102</v>
      </c>
      <c r="J85" s="4" t="s">
        <v>103</v>
      </c>
      <c r="K85" s="4" t="s">
        <v>104</v>
      </c>
      <c r="L85" s="4" t="s">
        <v>105</v>
      </c>
      <c r="M85" s="4" t="s">
        <v>106</v>
      </c>
      <c r="N85" s="4" t="s">
        <v>107</v>
      </c>
      <c r="O85" s="4" t="s">
        <v>108</v>
      </c>
      <c r="P85" s="4" t="s">
        <v>109</v>
      </c>
      <c r="Q85" s="4" t="s">
        <v>110</v>
      </c>
      <c r="R85" s="4" t="s">
        <v>111</v>
      </c>
      <c r="S85" s="4" t="s">
        <v>112</v>
      </c>
      <c r="T85" s="4" t="s">
        <v>113</v>
      </c>
      <c r="U85" s="4" t="s">
        <v>114</v>
      </c>
      <c r="V85" s="4" t="s">
        <v>115</v>
      </c>
      <c r="W85" s="4" t="s">
        <v>116</v>
      </c>
      <c r="X85" s="4" t="s">
        <v>117</v>
      </c>
      <c r="Y85" s="4" t="s">
        <v>118</v>
      </c>
      <c r="Z85" s="4" t="s">
        <v>119</v>
      </c>
      <c r="AA85" s="4" t="s">
        <v>120</v>
      </c>
      <c r="AB85" s="4" t="s">
        <v>121</v>
      </c>
      <c r="AC85" s="4" t="s">
        <v>122</v>
      </c>
      <c r="AD85" s="4" t="s">
        <v>123</v>
      </c>
      <c r="AE85" s="4" t="s">
        <v>124</v>
      </c>
      <c r="AF85" s="4" t="s">
        <v>125</v>
      </c>
      <c r="AG85" s="4" t="s">
        <v>126</v>
      </c>
      <c r="AH85" s="4" t="s">
        <v>127</v>
      </c>
      <c r="AI85" s="4" t="s">
        <v>128</v>
      </c>
      <c r="AJ85" s="4" t="s">
        <v>129</v>
      </c>
      <c r="AK85" s="4" t="s">
        <v>130</v>
      </c>
      <c r="AL85" s="4" t="s">
        <v>131</v>
      </c>
      <c r="AM85" s="4" t="s">
        <v>132</v>
      </c>
      <c r="AN85" s="4" t="s">
        <v>133</v>
      </c>
      <c r="AO85" s="4" t="s">
        <v>134</v>
      </c>
      <c r="AP85" s="4" t="s">
        <v>135</v>
      </c>
      <c r="AQ85" s="4" t="s">
        <v>136</v>
      </c>
      <c r="AR85" s="4" t="s">
        <v>137</v>
      </c>
      <c r="AS85" s="4" t="s">
        <v>138</v>
      </c>
      <c r="AT85" s="4" t="s">
        <v>139</v>
      </c>
      <c r="AU85" s="4" t="s">
        <v>140</v>
      </c>
      <c r="AV85" s="4" t="s">
        <v>141</v>
      </c>
      <c r="AW85" s="4" t="s">
        <v>142</v>
      </c>
      <c r="AX85" s="4" t="s">
        <v>143</v>
      </c>
      <c r="AY85" s="4" t="s">
        <v>144</v>
      </c>
      <c r="AZ85" s="4" t="s">
        <v>145</v>
      </c>
      <c r="BA85" s="4" t="s">
        <v>146</v>
      </c>
      <c r="BB85" s="4" t="s">
        <v>147</v>
      </c>
      <c r="BC85" s="4" t="s">
        <v>148</v>
      </c>
      <c r="BD85" s="4" t="s">
        <v>149</v>
      </c>
      <c r="BE85" s="4" t="s">
        <v>150</v>
      </c>
      <c r="BF85" s="4" t="s">
        <v>151</v>
      </c>
      <c r="BG85" s="4" t="s">
        <v>152</v>
      </c>
      <c r="BH85" s="4" t="s">
        <v>153</v>
      </c>
      <c r="BI85" s="4" t="s">
        <v>154</v>
      </c>
      <c r="BJ85" s="4" t="s">
        <v>155</v>
      </c>
      <c r="BK85" s="4" t="s">
        <v>156</v>
      </c>
      <c r="BL85" s="4" t="s">
        <v>157</v>
      </c>
      <c r="BM85" s="4" t="s">
        <v>158</v>
      </c>
      <c r="BN85" s="4" t="s">
        <v>159</v>
      </c>
      <c r="BO85" s="4" t="s">
        <v>160</v>
      </c>
      <c r="BP85" s="4" t="s">
        <v>161</v>
      </c>
      <c r="BQ85" s="4" t="s">
        <v>162</v>
      </c>
      <c r="BR85" s="4" t="s">
        <v>163</v>
      </c>
      <c r="BS85" s="4" t="s">
        <v>164</v>
      </c>
      <c r="BT85" s="4" t="s">
        <v>165</v>
      </c>
      <c r="BU85" s="4" t="s">
        <v>166</v>
      </c>
      <c r="BV85" s="4" t="s">
        <v>167</v>
      </c>
      <c r="BW85" s="4" t="s">
        <v>168</v>
      </c>
      <c r="BX85" s="4" t="s">
        <v>169</v>
      </c>
      <c r="BY85" s="4" t="s">
        <v>170</v>
      </c>
      <c r="BZ85" s="4" t="s">
        <v>171</v>
      </c>
      <c r="CA85" s="4" t="s">
        <v>172</v>
      </c>
      <c r="CB85" s="4" t="s">
        <v>173</v>
      </c>
      <c r="CC85" s="4" t="s">
        <v>174</v>
      </c>
      <c r="CD85" s="4" t="s">
        <v>175</v>
      </c>
      <c r="CE85" s="4" t="s">
        <v>176</v>
      </c>
      <c r="CF85" s="4" t="s">
        <v>177</v>
      </c>
      <c r="CG85" s="4" t="s">
        <v>178</v>
      </c>
      <c r="CH85" s="4" t="s">
        <v>179</v>
      </c>
      <c r="CI85" s="4" t="s">
        <v>180</v>
      </c>
      <c r="CJ85" s="4" t="s">
        <v>181</v>
      </c>
      <c r="CK85" s="4" t="s">
        <v>182</v>
      </c>
      <c r="CL85" s="4" t="s">
        <v>183</v>
      </c>
      <c r="CM85" s="4" t="s">
        <v>184</v>
      </c>
      <c r="CN85" s="4" t="s">
        <v>185</v>
      </c>
      <c r="CO85" s="4" t="s">
        <v>186</v>
      </c>
      <c r="CP85" s="4" t="s">
        <v>187</v>
      </c>
      <c r="CQ85" s="4" t="s">
        <v>188</v>
      </c>
      <c r="CR85" s="4" t="s">
        <v>189</v>
      </c>
      <c r="CS85" s="4" t="s">
        <v>190</v>
      </c>
      <c r="CT85" s="4" t="s">
        <v>191</v>
      </c>
      <c r="CU85" s="4" t="s">
        <v>192</v>
      </c>
    </row>
    <row r="86" spans="1:99" x14ac:dyDescent="0.2">
      <c r="A86" s="4" t="s">
        <v>38</v>
      </c>
      <c r="B86" s="1">
        <v>0</v>
      </c>
      <c r="C86" s="1">
        <v>25.5</v>
      </c>
      <c r="D86" s="1">
        <f>B86/3600</f>
        <v>0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>
        <v>0.1104</v>
      </c>
      <c r="AP86" s="1">
        <v>0.1072</v>
      </c>
      <c r="AQ86" s="1">
        <v>0.1067</v>
      </c>
      <c r="AR86" s="1">
        <v>0.1051</v>
      </c>
      <c r="AS86" s="1">
        <v>0.10979999999999999</v>
      </c>
      <c r="AT86" s="1">
        <v>0.10920000000000001</v>
      </c>
      <c r="AU86" s="1">
        <v>0.1096</v>
      </c>
      <c r="AV86" s="1">
        <v>0.10390000000000001</v>
      </c>
      <c r="AW86" s="1">
        <v>0.1085</v>
      </c>
      <c r="AX86" s="1"/>
      <c r="AY86" s="1"/>
      <c r="AZ86" s="1"/>
      <c r="BA86" s="1">
        <v>0.1028</v>
      </c>
      <c r="BB86" s="1">
        <v>0.1108</v>
      </c>
      <c r="BC86" s="1">
        <v>0.1031</v>
      </c>
      <c r="BD86" s="1">
        <v>0.10390000000000001</v>
      </c>
      <c r="BE86" s="1">
        <v>0.105</v>
      </c>
      <c r="BF86" s="1">
        <v>0.10730000000000001</v>
      </c>
      <c r="BG86" s="1">
        <v>0.1079</v>
      </c>
      <c r="BH86" s="1">
        <v>0.108</v>
      </c>
      <c r="BI86" s="1">
        <v>0.1043</v>
      </c>
      <c r="BJ86" s="1"/>
      <c r="BK86" s="1"/>
      <c r="BL86" s="1"/>
      <c r="BM86" s="1">
        <v>0.1047</v>
      </c>
      <c r="BN86" s="1">
        <v>0.1038</v>
      </c>
      <c r="BO86" s="1">
        <v>0.104</v>
      </c>
      <c r="BP86" s="1">
        <v>0.10349999999999999</v>
      </c>
      <c r="BQ86" s="1">
        <v>0.1057</v>
      </c>
      <c r="BR86" s="1">
        <v>0.1198</v>
      </c>
      <c r="BS86" s="1">
        <v>0.10580000000000001</v>
      </c>
      <c r="BT86" s="1">
        <v>0.1051</v>
      </c>
      <c r="BU86" s="1">
        <v>0.10489999999999999</v>
      </c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</row>
    <row r="87" spans="1:99" x14ac:dyDescent="0.2">
      <c r="A87" s="4" t="s">
        <v>39</v>
      </c>
      <c r="B87" s="1">
        <v>856.55799999999999</v>
      </c>
      <c r="C87" s="1">
        <v>27.6</v>
      </c>
      <c r="D87" s="1">
        <f t="shared" ref="D87:D120" si="0">B87/3600</f>
        <v>0.23793277777777777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>
        <v>0.10539999999999999</v>
      </c>
      <c r="AP87" s="1">
        <v>0.1056</v>
      </c>
      <c r="AQ87" s="1">
        <v>0.1053</v>
      </c>
      <c r="AR87" s="1">
        <v>0.105</v>
      </c>
      <c r="AS87" s="1">
        <v>0.1094</v>
      </c>
      <c r="AT87" s="1">
        <v>0.10829999999999999</v>
      </c>
      <c r="AU87" s="1">
        <v>0.1066</v>
      </c>
      <c r="AV87" s="1">
        <v>0.1051</v>
      </c>
      <c r="AW87" s="1">
        <v>0.1081</v>
      </c>
      <c r="AX87" s="1"/>
      <c r="AY87" s="1"/>
      <c r="AZ87" s="1"/>
      <c r="BA87" s="1">
        <v>0.1013</v>
      </c>
      <c r="BB87" s="1">
        <v>0.1047</v>
      </c>
      <c r="BC87" s="1">
        <v>0.1047</v>
      </c>
      <c r="BD87" s="1">
        <v>0.105</v>
      </c>
      <c r="BE87" s="1">
        <v>0.10539999999999999</v>
      </c>
      <c r="BF87" s="1">
        <v>0.1069</v>
      </c>
      <c r="BG87" s="1">
        <v>0.1087</v>
      </c>
      <c r="BH87" s="1">
        <v>0.106</v>
      </c>
      <c r="BI87" s="1">
        <v>0.1053</v>
      </c>
      <c r="BJ87" s="1"/>
      <c r="BK87" s="1"/>
      <c r="BL87" s="1"/>
      <c r="BM87" s="1">
        <v>0.1071</v>
      </c>
      <c r="BN87" s="1">
        <v>0.106</v>
      </c>
      <c r="BO87" s="1">
        <v>0.1053</v>
      </c>
      <c r="BP87" s="1">
        <v>0.1055</v>
      </c>
      <c r="BQ87" s="1">
        <v>0.1075</v>
      </c>
      <c r="BR87" s="1">
        <v>0.12189999999999999</v>
      </c>
      <c r="BS87" s="1">
        <v>0.1084</v>
      </c>
      <c r="BT87" s="1">
        <v>0.10589999999999999</v>
      </c>
      <c r="BU87" s="1">
        <v>0.10879999999999999</v>
      </c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</row>
    <row r="88" spans="1:99" x14ac:dyDescent="0.2">
      <c r="A88" s="4" t="s">
        <v>40</v>
      </c>
      <c r="B88" s="1">
        <v>1712.5909999999999</v>
      </c>
      <c r="C88" s="1">
        <v>30.5</v>
      </c>
      <c r="D88" s="1">
        <f t="shared" si="0"/>
        <v>0.4757197222222222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>
        <v>0.1052</v>
      </c>
      <c r="AP88" s="1">
        <v>0.106</v>
      </c>
      <c r="AQ88" s="1">
        <v>0.1057</v>
      </c>
      <c r="AR88" s="1">
        <v>0.1051</v>
      </c>
      <c r="AS88" s="1">
        <v>0.11020000000000001</v>
      </c>
      <c r="AT88" s="1">
        <v>0.1089</v>
      </c>
      <c r="AU88" s="1">
        <v>0.1074</v>
      </c>
      <c r="AV88" s="1">
        <v>0.1057</v>
      </c>
      <c r="AW88" s="1">
        <v>0.10780000000000001</v>
      </c>
      <c r="AX88" s="1"/>
      <c r="AY88" s="1"/>
      <c r="AZ88" s="1"/>
      <c r="BA88" s="1">
        <v>0.1008</v>
      </c>
      <c r="BB88" s="1">
        <v>0.1048</v>
      </c>
      <c r="BC88" s="1">
        <v>0.1046</v>
      </c>
      <c r="BD88" s="1">
        <v>0.1055</v>
      </c>
      <c r="BE88" s="1">
        <v>0.1061</v>
      </c>
      <c r="BF88" s="1">
        <v>0.1071</v>
      </c>
      <c r="BG88" s="1">
        <v>0.1096</v>
      </c>
      <c r="BH88" s="1">
        <v>0.1052</v>
      </c>
      <c r="BI88" s="1">
        <v>0.10580000000000001</v>
      </c>
      <c r="BJ88" s="1"/>
      <c r="BK88" s="1"/>
      <c r="BL88" s="1"/>
      <c r="BM88" s="1">
        <v>0.1072</v>
      </c>
      <c r="BN88" s="1">
        <v>0.106</v>
      </c>
      <c r="BO88" s="1">
        <v>0.10539999999999999</v>
      </c>
      <c r="BP88" s="1">
        <v>0.10589999999999999</v>
      </c>
      <c r="BQ88" s="1">
        <v>0.1087</v>
      </c>
      <c r="BR88" s="1">
        <v>0.12230000000000001</v>
      </c>
      <c r="BS88" s="1">
        <v>0.1085</v>
      </c>
      <c r="BT88" s="1">
        <v>0.10580000000000001</v>
      </c>
      <c r="BU88" s="1">
        <v>0.10879999999999999</v>
      </c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</row>
    <row r="89" spans="1:99" x14ac:dyDescent="0.2">
      <c r="A89" s="4" t="s">
        <v>41</v>
      </c>
      <c r="B89" s="1">
        <v>2568.7759999999998</v>
      </c>
      <c r="C89" s="1">
        <v>33</v>
      </c>
      <c r="D89" s="1">
        <f t="shared" si="0"/>
        <v>0.7135488888888889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>
        <v>0.1077</v>
      </c>
      <c r="AP89" s="1">
        <v>0.1077</v>
      </c>
      <c r="AQ89" s="1">
        <v>0.10780000000000001</v>
      </c>
      <c r="AR89" s="1">
        <v>0.1077</v>
      </c>
      <c r="AS89" s="1">
        <v>0.1115</v>
      </c>
      <c r="AT89" s="1">
        <v>0.1125</v>
      </c>
      <c r="AU89" s="1">
        <v>0.1101</v>
      </c>
      <c r="AV89" s="1">
        <v>0.1086</v>
      </c>
      <c r="AW89" s="1">
        <v>0.10879999999999999</v>
      </c>
      <c r="AX89" s="1"/>
      <c r="AY89" s="1"/>
      <c r="AZ89" s="1"/>
      <c r="BA89" s="1">
        <v>0.1009</v>
      </c>
      <c r="BB89" s="1">
        <v>0.1066</v>
      </c>
      <c r="BC89" s="1">
        <v>0.10639999999999999</v>
      </c>
      <c r="BD89" s="1">
        <v>0.10780000000000001</v>
      </c>
      <c r="BE89" s="1">
        <v>0.1084</v>
      </c>
      <c r="BF89" s="1">
        <v>0.10979999999999999</v>
      </c>
      <c r="BG89" s="1">
        <v>0.1114</v>
      </c>
      <c r="BH89" s="1">
        <v>0.10730000000000001</v>
      </c>
      <c r="BI89" s="1">
        <v>0.1075</v>
      </c>
      <c r="BJ89" s="1"/>
      <c r="BK89" s="1"/>
      <c r="BL89" s="1"/>
      <c r="BM89" s="1">
        <v>0.11070000000000001</v>
      </c>
      <c r="BN89" s="1">
        <v>0.1087</v>
      </c>
      <c r="BO89" s="1">
        <v>0.10780000000000001</v>
      </c>
      <c r="BP89" s="1">
        <v>0.1085</v>
      </c>
      <c r="BQ89" s="1">
        <v>0.1115</v>
      </c>
      <c r="BR89" s="1">
        <v>0.12429999999999999</v>
      </c>
      <c r="BS89" s="1">
        <v>0.11219999999999999</v>
      </c>
      <c r="BT89" s="1">
        <v>0.1087</v>
      </c>
      <c r="BU89" s="1">
        <v>0.1109</v>
      </c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</row>
    <row r="90" spans="1:99" x14ac:dyDescent="0.2">
      <c r="A90" s="4" t="s">
        <v>42</v>
      </c>
      <c r="B90" s="1">
        <v>3424.9659999999999</v>
      </c>
      <c r="C90" s="1">
        <v>35.5</v>
      </c>
      <c r="D90" s="1">
        <f t="shared" si="0"/>
        <v>0.95137944444444444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>
        <v>0.1119</v>
      </c>
      <c r="AP90" s="1">
        <v>0.1124</v>
      </c>
      <c r="AQ90" s="1">
        <v>0.1125</v>
      </c>
      <c r="AR90" s="1">
        <v>0.11260000000000001</v>
      </c>
      <c r="AS90" s="1">
        <v>0.1158</v>
      </c>
      <c r="AT90" s="1">
        <v>0.11899999999999999</v>
      </c>
      <c r="AU90" s="1">
        <v>0.1158</v>
      </c>
      <c r="AV90" s="1">
        <v>0.1135</v>
      </c>
      <c r="AW90" s="1">
        <v>0.1113</v>
      </c>
      <c r="AX90" s="1"/>
      <c r="AY90" s="1"/>
      <c r="AZ90" s="1"/>
      <c r="BA90" s="1">
        <v>0.1014</v>
      </c>
      <c r="BB90" s="1">
        <v>0.11070000000000001</v>
      </c>
      <c r="BC90" s="1">
        <v>0.111</v>
      </c>
      <c r="BD90" s="1">
        <v>0.1124</v>
      </c>
      <c r="BE90" s="1">
        <v>0.11269999999999999</v>
      </c>
      <c r="BF90" s="1">
        <v>0.1154</v>
      </c>
      <c r="BG90" s="1">
        <v>0.11650000000000001</v>
      </c>
      <c r="BH90" s="1">
        <v>0.1116</v>
      </c>
      <c r="BI90" s="1">
        <v>0.1114</v>
      </c>
      <c r="BJ90" s="1"/>
      <c r="BK90" s="1"/>
      <c r="BL90" s="1"/>
      <c r="BM90" s="1">
        <v>0.1168</v>
      </c>
      <c r="BN90" s="1">
        <v>0.1139</v>
      </c>
      <c r="BO90" s="1">
        <v>0.113</v>
      </c>
      <c r="BP90" s="1">
        <v>0.1135</v>
      </c>
      <c r="BQ90" s="1">
        <v>0.11650000000000001</v>
      </c>
      <c r="BR90" s="1">
        <v>0.12920000000000001</v>
      </c>
      <c r="BS90" s="1">
        <v>0.1178</v>
      </c>
      <c r="BT90" s="1">
        <v>0.11360000000000001</v>
      </c>
      <c r="BU90" s="1">
        <v>0.1154</v>
      </c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</row>
    <row r="91" spans="1:99" x14ac:dyDescent="0.2">
      <c r="A91" s="4" t="s">
        <v>43</v>
      </c>
      <c r="B91" s="1">
        <v>4280.9219999999996</v>
      </c>
      <c r="C91" s="1">
        <v>36.799999999999997</v>
      </c>
      <c r="D91" s="1">
        <f t="shared" si="0"/>
        <v>1.1891449999999999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>
        <v>0.11609999999999999</v>
      </c>
      <c r="AP91" s="1">
        <v>0.1173</v>
      </c>
      <c r="AQ91" s="1">
        <v>0.11890000000000001</v>
      </c>
      <c r="AR91" s="1">
        <v>0.1196</v>
      </c>
      <c r="AS91" s="1">
        <v>0.1216</v>
      </c>
      <c r="AT91" s="1">
        <v>0.12790000000000001</v>
      </c>
      <c r="AU91" s="1">
        <v>0.1229</v>
      </c>
      <c r="AV91" s="1">
        <v>0.12139999999999999</v>
      </c>
      <c r="AW91" s="1">
        <v>0.1154</v>
      </c>
      <c r="AX91" s="1"/>
      <c r="AY91" s="1"/>
      <c r="AZ91" s="1"/>
      <c r="BA91" s="1">
        <v>0.1023</v>
      </c>
      <c r="BB91" s="1">
        <v>0.11559999999999999</v>
      </c>
      <c r="BC91" s="1">
        <v>0.11609999999999999</v>
      </c>
      <c r="BD91" s="1">
        <v>0.1192</v>
      </c>
      <c r="BE91" s="1">
        <v>0.1188</v>
      </c>
      <c r="BF91" s="1">
        <v>0.1231</v>
      </c>
      <c r="BG91" s="1">
        <v>0.1242</v>
      </c>
      <c r="BH91" s="1">
        <v>0.12</v>
      </c>
      <c r="BI91" s="1">
        <v>0.1181</v>
      </c>
      <c r="BJ91" s="1"/>
      <c r="BK91" s="1"/>
      <c r="BL91" s="1"/>
      <c r="BM91" s="1">
        <v>0.12189999999999999</v>
      </c>
      <c r="BN91" s="1">
        <v>0.1208</v>
      </c>
      <c r="BO91" s="1">
        <v>0.1193</v>
      </c>
      <c r="BP91" s="1">
        <v>0.1203</v>
      </c>
      <c r="BQ91" s="1">
        <v>0.1235</v>
      </c>
      <c r="BR91" s="1">
        <v>0.13689999999999999</v>
      </c>
      <c r="BS91" s="1">
        <v>0.12709999999999999</v>
      </c>
      <c r="BT91" s="1">
        <v>0.1226</v>
      </c>
      <c r="BU91" s="1">
        <v>0.123</v>
      </c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</row>
    <row r="92" spans="1:99" x14ac:dyDescent="0.2">
      <c r="A92" s="4" t="s">
        <v>44</v>
      </c>
      <c r="B92" s="1">
        <v>5137.12</v>
      </c>
      <c r="C92" s="1">
        <v>38.299999999999997</v>
      </c>
      <c r="D92" s="1">
        <f t="shared" si="0"/>
        <v>1.4269777777777777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>
        <v>0.1187</v>
      </c>
      <c r="AP92" s="1">
        <v>0.1187</v>
      </c>
      <c r="AQ92" s="1">
        <v>0.1205</v>
      </c>
      <c r="AR92" s="1">
        <v>0.1225</v>
      </c>
      <c r="AS92" s="1">
        <v>0.1237</v>
      </c>
      <c r="AT92" s="1">
        <v>0.13339999999999999</v>
      </c>
      <c r="AU92" s="1">
        <v>0.12670000000000001</v>
      </c>
      <c r="AV92" s="1">
        <v>0.12989999999999999</v>
      </c>
      <c r="AW92" s="1">
        <v>0.1212</v>
      </c>
      <c r="AX92" s="1"/>
      <c r="AY92" s="1"/>
      <c r="AZ92" s="1"/>
      <c r="BA92" s="1">
        <v>0.1031</v>
      </c>
      <c r="BB92" s="1">
        <v>0.1198</v>
      </c>
      <c r="BC92" s="1">
        <v>0.1202</v>
      </c>
      <c r="BD92" s="1">
        <v>0.1239</v>
      </c>
      <c r="BE92" s="1">
        <v>0.1235</v>
      </c>
      <c r="BF92" s="1">
        <v>0.13</v>
      </c>
      <c r="BG92" s="1">
        <v>0.1331</v>
      </c>
      <c r="BH92" s="1">
        <v>0.127</v>
      </c>
      <c r="BI92" s="1">
        <v>0.1255</v>
      </c>
      <c r="BJ92" s="1"/>
      <c r="BK92" s="1"/>
      <c r="BL92" s="1"/>
      <c r="BM92" s="1">
        <v>0.12859999999999999</v>
      </c>
      <c r="BN92" s="1">
        <v>0.1258</v>
      </c>
      <c r="BO92" s="1">
        <v>0.12529999999999999</v>
      </c>
      <c r="BP92" s="1">
        <v>0.1265</v>
      </c>
      <c r="BQ92" s="1">
        <v>0.1288</v>
      </c>
      <c r="BR92" s="1">
        <v>0.14269999999999999</v>
      </c>
      <c r="BS92" s="1">
        <v>0.1371</v>
      </c>
      <c r="BT92" s="1">
        <v>0.13189999999999999</v>
      </c>
      <c r="BU92" s="1">
        <v>0.13100000000000001</v>
      </c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</row>
    <row r="93" spans="1:99" x14ac:dyDescent="0.2">
      <c r="A93" s="4" t="s">
        <v>45</v>
      </c>
      <c r="B93" s="1">
        <v>5993.308</v>
      </c>
      <c r="C93" s="1">
        <v>35.4</v>
      </c>
      <c r="D93" s="1">
        <f t="shared" si="0"/>
        <v>1.6648077777777779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>
        <v>0.12570000000000001</v>
      </c>
      <c r="AP93" s="1">
        <v>0.1205</v>
      </c>
      <c r="AQ93" s="1">
        <v>0.1232</v>
      </c>
      <c r="AR93" s="1">
        <v>0.1246</v>
      </c>
      <c r="AS93" s="1">
        <v>0.1263</v>
      </c>
      <c r="AT93" s="1">
        <v>0.13719999999999999</v>
      </c>
      <c r="AU93" s="1">
        <v>0.12740000000000001</v>
      </c>
      <c r="AV93" s="1">
        <v>0.13400000000000001</v>
      </c>
      <c r="AW93" s="1">
        <v>0.1237</v>
      </c>
      <c r="AX93" s="1"/>
      <c r="AY93" s="1"/>
      <c r="AZ93" s="1"/>
      <c r="BA93" s="1">
        <v>0.1036</v>
      </c>
      <c r="BB93" s="1">
        <v>0.1229</v>
      </c>
      <c r="BC93" s="1">
        <v>0.12379999999999999</v>
      </c>
      <c r="BD93" s="1">
        <v>0.1285</v>
      </c>
      <c r="BE93" s="1">
        <v>0.1268</v>
      </c>
      <c r="BF93" s="1">
        <v>0.13420000000000001</v>
      </c>
      <c r="BG93" s="1">
        <v>0.1394</v>
      </c>
      <c r="BH93" s="1">
        <v>0.13320000000000001</v>
      </c>
      <c r="BI93" s="1">
        <v>0.13150000000000001</v>
      </c>
      <c r="BJ93" s="1"/>
      <c r="BK93" s="1"/>
      <c r="BL93" s="1"/>
      <c r="BM93" s="1">
        <v>0.13489999999999999</v>
      </c>
      <c r="BN93" s="1">
        <v>0.13009999999999999</v>
      </c>
      <c r="BO93" s="1">
        <v>0.13170000000000001</v>
      </c>
      <c r="BP93" s="1">
        <v>0.13150000000000001</v>
      </c>
      <c r="BQ93" s="1">
        <v>0.13389999999999999</v>
      </c>
      <c r="BR93" s="1">
        <v>0.14960000000000001</v>
      </c>
      <c r="BS93" s="1">
        <v>0.14729999999999999</v>
      </c>
      <c r="BT93" s="1">
        <v>0.14219999999999999</v>
      </c>
      <c r="BU93" s="1">
        <v>0.13789999999999999</v>
      </c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</row>
    <row r="94" spans="1:99" x14ac:dyDescent="0.2">
      <c r="A94" s="4" t="s">
        <v>46</v>
      </c>
      <c r="B94" s="1">
        <v>6849.28</v>
      </c>
      <c r="C94" s="1">
        <v>36.700000000000003</v>
      </c>
      <c r="D94" s="1">
        <f t="shared" si="0"/>
        <v>1.9025777777777777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>
        <v>0.1328</v>
      </c>
      <c r="AP94" s="1">
        <v>0.1298</v>
      </c>
      <c r="AQ94" s="1">
        <v>0.1321</v>
      </c>
      <c r="AR94" s="1">
        <v>0.13669999999999999</v>
      </c>
      <c r="AS94" s="1">
        <v>0.13689999999999999</v>
      </c>
      <c r="AT94" s="1">
        <v>0.15240000000000001</v>
      </c>
      <c r="AU94" s="1">
        <v>0.1431</v>
      </c>
      <c r="AV94" s="1">
        <v>0.1517</v>
      </c>
      <c r="AW94" s="1">
        <v>0.1406</v>
      </c>
      <c r="AX94" s="1"/>
      <c r="AY94" s="1"/>
      <c r="AZ94" s="1"/>
      <c r="BA94" s="1">
        <v>0.1048</v>
      </c>
      <c r="BB94" s="1">
        <v>0.13220000000000001</v>
      </c>
      <c r="BC94" s="1">
        <v>0.1343</v>
      </c>
      <c r="BD94" s="1">
        <v>0.1404</v>
      </c>
      <c r="BE94" s="1">
        <v>0.1404</v>
      </c>
      <c r="BF94" s="1">
        <v>0.15140000000000001</v>
      </c>
      <c r="BG94" s="1">
        <v>0.159</v>
      </c>
      <c r="BH94" s="1">
        <v>0.15409999999999999</v>
      </c>
      <c r="BI94" s="1">
        <v>0.15110000000000001</v>
      </c>
      <c r="BJ94" s="1"/>
      <c r="BK94" s="1"/>
      <c r="BL94" s="1"/>
      <c r="BM94" s="1">
        <v>0.1517</v>
      </c>
      <c r="BN94" s="1">
        <v>0.14319999999999999</v>
      </c>
      <c r="BO94" s="1">
        <v>0.14480000000000001</v>
      </c>
      <c r="BP94" s="1">
        <v>0.1462</v>
      </c>
      <c r="BQ94" s="1">
        <v>0.1474</v>
      </c>
      <c r="BR94" s="1">
        <v>0.17119999999999999</v>
      </c>
      <c r="BS94" s="1">
        <v>0.17169999999999999</v>
      </c>
      <c r="BT94" s="1">
        <v>0.16850000000000001</v>
      </c>
      <c r="BU94" s="1">
        <v>0.16009999999999999</v>
      </c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</row>
    <row r="95" spans="1:99" x14ac:dyDescent="0.2">
      <c r="A95" s="4" t="s">
        <v>47</v>
      </c>
      <c r="B95" s="1">
        <v>7705.3580000000002</v>
      </c>
      <c r="C95" s="1">
        <v>36.9</v>
      </c>
      <c r="D95" s="1">
        <f t="shared" si="0"/>
        <v>2.1403772222222224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>
        <v>0.14460000000000001</v>
      </c>
      <c r="AP95" s="1">
        <v>0.13900000000000001</v>
      </c>
      <c r="AQ95" s="1">
        <v>0.14349999999999999</v>
      </c>
      <c r="AR95" s="1">
        <v>0.1477</v>
      </c>
      <c r="AS95" s="1">
        <v>0.1487</v>
      </c>
      <c r="AT95" s="1">
        <v>0.16839999999999999</v>
      </c>
      <c r="AU95" s="1">
        <v>0.1545</v>
      </c>
      <c r="AV95" s="1">
        <v>0.1731</v>
      </c>
      <c r="AW95" s="1">
        <v>0.16309999999999999</v>
      </c>
      <c r="AX95" s="1"/>
      <c r="AY95" s="1"/>
      <c r="AZ95" s="1"/>
      <c r="BA95" s="1">
        <v>0.107</v>
      </c>
      <c r="BB95" s="1">
        <v>0.1462</v>
      </c>
      <c r="BC95" s="1">
        <v>0.14810000000000001</v>
      </c>
      <c r="BD95" s="1">
        <v>0.15659999999999999</v>
      </c>
      <c r="BE95" s="1">
        <v>0.15459999999999999</v>
      </c>
      <c r="BF95" s="1">
        <v>0.16889999999999999</v>
      </c>
      <c r="BG95" s="1">
        <v>0.1817</v>
      </c>
      <c r="BH95" s="1">
        <v>0.18079999999999999</v>
      </c>
      <c r="BI95" s="1">
        <v>0.1769</v>
      </c>
      <c r="BJ95" s="1"/>
      <c r="BK95" s="1"/>
      <c r="BL95" s="1"/>
      <c r="BM95" s="1">
        <v>0.16930000000000001</v>
      </c>
      <c r="BN95" s="1">
        <v>0.16439999999999999</v>
      </c>
      <c r="BO95" s="1">
        <v>0.16650000000000001</v>
      </c>
      <c r="BP95" s="1">
        <v>0.16919999999999999</v>
      </c>
      <c r="BQ95" s="1">
        <v>0.16950000000000001</v>
      </c>
      <c r="BR95" s="1">
        <v>0.2044</v>
      </c>
      <c r="BS95" s="1">
        <v>0.20619999999999999</v>
      </c>
      <c r="BT95" s="1">
        <v>0.20760000000000001</v>
      </c>
      <c r="BU95" s="1">
        <v>0.19320000000000001</v>
      </c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</row>
    <row r="96" spans="1:99" x14ac:dyDescent="0.2">
      <c r="A96" s="4" t="s">
        <v>48</v>
      </c>
      <c r="B96" s="1">
        <v>8561.5820000000003</v>
      </c>
      <c r="C96" s="1">
        <v>35.5</v>
      </c>
      <c r="D96" s="1">
        <f t="shared" si="0"/>
        <v>2.3782172222222222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>
        <v>0.15570000000000001</v>
      </c>
      <c r="AP96" s="1">
        <v>0.14899999999999999</v>
      </c>
      <c r="AQ96" s="1">
        <v>0.15229999999999999</v>
      </c>
      <c r="AR96" s="1">
        <v>0.1552</v>
      </c>
      <c r="AS96" s="1">
        <v>0.1547</v>
      </c>
      <c r="AT96" s="1">
        <v>0.18110000000000001</v>
      </c>
      <c r="AU96" s="1">
        <v>0.16300000000000001</v>
      </c>
      <c r="AV96" s="1">
        <v>0.1835</v>
      </c>
      <c r="AW96" s="1">
        <v>0.1666</v>
      </c>
      <c r="AX96" s="1"/>
      <c r="AY96" s="1"/>
      <c r="AZ96" s="1"/>
      <c r="BA96" s="1">
        <v>0.10920000000000001</v>
      </c>
      <c r="BB96" s="1">
        <v>0.1585</v>
      </c>
      <c r="BC96" s="1">
        <v>0.15989999999999999</v>
      </c>
      <c r="BD96" s="1">
        <v>0.1706</v>
      </c>
      <c r="BE96" s="1">
        <v>0.16650000000000001</v>
      </c>
      <c r="BF96" s="1">
        <v>0.18440000000000001</v>
      </c>
      <c r="BG96" s="1">
        <v>0.1988</v>
      </c>
      <c r="BH96" s="1">
        <v>0.2044</v>
      </c>
      <c r="BI96" s="1">
        <v>0.20169999999999999</v>
      </c>
      <c r="BJ96" s="1"/>
      <c r="BK96" s="1"/>
      <c r="BL96" s="1"/>
      <c r="BM96" s="1">
        <v>0.1925</v>
      </c>
      <c r="BN96" s="1">
        <v>0.184</v>
      </c>
      <c r="BO96" s="1">
        <v>0.1865</v>
      </c>
      <c r="BP96" s="1">
        <v>0.1885</v>
      </c>
      <c r="BQ96" s="1">
        <v>0.188</v>
      </c>
      <c r="BR96" s="1">
        <v>0.23050000000000001</v>
      </c>
      <c r="BS96" s="1">
        <v>0.2384</v>
      </c>
      <c r="BT96" s="1">
        <v>0.24970000000000001</v>
      </c>
      <c r="BU96" s="1">
        <v>0.2298</v>
      </c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</row>
    <row r="97" spans="1:99" x14ac:dyDescent="0.2">
      <c r="A97" s="4" t="s">
        <v>49</v>
      </c>
      <c r="B97" s="1">
        <v>9417.5259999999998</v>
      </c>
      <c r="C97" s="1">
        <v>36.9</v>
      </c>
      <c r="D97" s="1">
        <f t="shared" si="0"/>
        <v>2.6159794444444442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>
        <v>0.18540000000000001</v>
      </c>
      <c r="AP97" s="1">
        <v>0.1744</v>
      </c>
      <c r="AQ97" s="1">
        <v>0.17799999999999999</v>
      </c>
      <c r="AR97" s="1">
        <v>0.18110000000000001</v>
      </c>
      <c r="AS97" s="1">
        <v>0.1817</v>
      </c>
      <c r="AT97" s="1">
        <v>0.21479999999999999</v>
      </c>
      <c r="AU97" s="1">
        <v>0.19400000000000001</v>
      </c>
      <c r="AV97" s="1">
        <v>0.2276</v>
      </c>
      <c r="AW97" s="1">
        <v>0.2087</v>
      </c>
      <c r="AX97" s="1"/>
      <c r="AY97" s="1"/>
      <c r="AZ97" s="1"/>
      <c r="BA97" s="1">
        <v>0.1138</v>
      </c>
      <c r="BB97" s="1">
        <v>0.18820000000000001</v>
      </c>
      <c r="BC97" s="1">
        <v>0.18970000000000001</v>
      </c>
      <c r="BD97" s="1">
        <v>0.20469999999999999</v>
      </c>
      <c r="BE97" s="1">
        <v>0.19839999999999999</v>
      </c>
      <c r="BF97" s="1">
        <v>0.22370000000000001</v>
      </c>
      <c r="BG97" s="1">
        <v>0.24640000000000001</v>
      </c>
      <c r="BH97" s="1">
        <v>0.26229999999999998</v>
      </c>
      <c r="BI97" s="1">
        <v>0.26100000000000001</v>
      </c>
      <c r="BJ97" s="1"/>
      <c r="BK97" s="1"/>
      <c r="BL97" s="1"/>
      <c r="BM97" s="1">
        <v>0.24579999999999999</v>
      </c>
      <c r="BN97" s="1">
        <v>0.22700000000000001</v>
      </c>
      <c r="BO97" s="1">
        <v>0.2321</v>
      </c>
      <c r="BP97" s="1">
        <v>0.23430000000000001</v>
      </c>
      <c r="BQ97" s="1">
        <v>0.23350000000000001</v>
      </c>
      <c r="BR97" s="1">
        <v>0.29470000000000002</v>
      </c>
      <c r="BS97" s="1">
        <v>0.30680000000000002</v>
      </c>
      <c r="BT97" s="1">
        <v>0.31950000000000001</v>
      </c>
      <c r="BU97" s="1">
        <v>0.29930000000000001</v>
      </c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</row>
    <row r="98" spans="1:99" x14ac:dyDescent="0.2">
      <c r="A98" s="4" t="s">
        <v>193</v>
      </c>
      <c r="B98" s="1">
        <v>10273.433999999999</v>
      </c>
      <c r="C98" s="1">
        <v>35.4</v>
      </c>
      <c r="D98" s="1">
        <f t="shared" si="0"/>
        <v>2.8537316666666666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>
        <v>0.22090000000000001</v>
      </c>
      <c r="AP98" s="1">
        <v>0.20280000000000001</v>
      </c>
      <c r="AQ98" s="1">
        <v>0.20910000000000001</v>
      </c>
      <c r="AR98" s="1">
        <v>0.21029999999999999</v>
      </c>
      <c r="AS98" s="1">
        <v>0.2089</v>
      </c>
      <c r="AT98" s="1">
        <v>0.25240000000000001</v>
      </c>
      <c r="AU98" s="1">
        <v>0.22090000000000001</v>
      </c>
      <c r="AV98" s="1">
        <v>0.26240000000000002</v>
      </c>
      <c r="AW98" s="1">
        <v>0.2414</v>
      </c>
      <c r="AX98" s="1"/>
      <c r="AY98" s="1"/>
      <c r="AZ98" s="1"/>
      <c r="BA98" s="1">
        <v>0.12180000000000001</v>
      </c>
      <c r="BB98" s="1">
        <v>0.23350000000000001</v>
      </c>
      <c r="BC98" s="1">
        <v>0.23230000000000001</v>
      </c>
      <c r="BD98" s="1">
        <v>0.24990000000000001</v>
      </c>
      <c r="BE98" s="1">
        <v>0.23630000000000001</v>
      </c>
      <c r="BF98" s="1">
        <v>0.2702</v>
      </c>
      <c r="BG98" s="1">
        <v>0.29620000000000002</v>
      </c>
      <c r="BH98" s="1">
        <v>0.3039</v>
      </c>
      <c r="BI98" s="1">
        <v>0.30499999999999999</v>
      </c>
      <c r="BJ98" s="1"/>
      <c r="BK98" s="1"/>
      <c r="BL98" s="1"/>
      <c r="BM98" s="1">
        <v>0.2984</v>
      </c>
      <c r="BN98" s="1">
        <v>0.29089999999999999</v>
      </c>
      <c r="BO98" s="1">
        <v>0.29360000000000003</v>
      </c>
      <c r="BP98" s="1">
        <v>0.29659999999999997</v>
      </c>
      <c r="BQ98" s="1">
        <v>0.29260000000000003</v>
      </c>
      <c r="BR98" s="1">
        <v>0.3301</v>
      </c>
      <c r="BS98" s="1">
        <v>0.33679999999999999</v>
      </c>
      <c r="BT98" s="1">
        <v>0.35189999999999999</v>
      </c>
      <c r="BU98" s="1">
        <v>0.35270000000000001</v>
      </c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</row>
    <row r="99" spans="1:99" x14ac:dyDescent="0.2">
      <c r="A99" s="4" t="s">
        <v>194</v>
      </c>
      <c r="B99" s="1">
        <v>11129.662</v>
      </c>
      <c r="C99" s="1">
        <v>36.700000000000003</v>
      </c>
      <c r="D99" s="1">
        <f t="shared" si="0"/>
        <v>3.0915727777777779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>
        <v>0.28489999999999999</v>
      </c>
      <c r="AP99" s="1">
        <v>0.25419999999999998</v>
      </c>
      <c r="AQ99" s="1">
        <v>0.25829999999999997</v>
      </c>
      <c r="AR99" s="1">
        <v>0.26090000000000002</v>
      </c>
      <c r="AS99" s="1">
        <v>0.2631</v>
      </c>
      <c r="AT99" s="1">
        <v>0.30740000000000001</v>
      </c>
      <c r="AU99" s="1">
        <v>0.27939999999999998</v>
      </c>
      <c r="AV99" s="1">
        <v>0.34300000000000003</v>
      </c>
      <c r="AW99" s="1">
        <v>0.3286</v>
      </c>
      <c r="AX99" s="1"/>
      <c r="AY99" s="1"/>
      <c r="AZ99" s="1"/>
      <c r="BA99" s="1">
        <v>0.13450000000000001</v>
      </c>
      <c r="BB99" s="1">
        <v>0.30299999999999999</v>
      </c>
      <c r="BC99" s="1">
        <v>0.30280000000000001</v>
      </c>
      <c r="BD99" s="1">
        <v>0.31540000000000001</v>
      </c>
      <c r="BE99" s="1">
        <v>0.30530000000000002</v>
      </c>
      <c r="BF99" s="1">
        <v>0.32219999999999999</v>
      </c>
      <c r="BG99" s="1">
        <v>0.33900000000000002</v>
      </c>
      <c r="BH99" s="1">
        <v>0.35820000000000002</v>
      </c>
      <c r="BI99" s="1">
        <v>0.3715</v>
      </c>
      <c r="BJ99" s="1"/>
      <c r="BK99" s="1"/>
      <c r="BL99" s="1"/>
      <c r="BM99" s="1">
        <v>0.36659999999999998</v>
      </c>
      <c r="BN99" s="1">
        <v>0.34699999999999998</v>
      </c>
      <c r="BO99" s="1">
        <v>0.3422</v>
      </c>
      <c r="BP99" s="1">
        <v>0.34179999999999999</v>
      </c>
      <c r="BQ99" s="1">
        <v>0.33739999999999998</v>
      </c>
      <c r="BR99" s="1">
        <v>0.39450000000000002</v>
      </c>
      <c r="BS99" s="1">
        <v>0.40799999999999997</v>
      </c>
      <c r="BT99" s="1">
        <v>0.4279</v>
      </c>
      <c r="BU99" s="1">
        <v>0.43640000000000001</v>
      </c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</row>
    <row r="100" spans="1:99" x14ac:dyDescent="0.2">
      <c r="A100" s="4" t="s">
        <v>195</v>
      </c>
      <c r="B100" s="1">
        <v>11985.614</v>
      </c>
      <c r="C100" s="1">
        <v>36.9</v>
      </c>
      <c r="D100" s="1">
        <f t="shared" si="0"/>
        <v>3.3293372222222222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>
        <v>0.309</v>
      </c>
      <c r="AP100" s="1">
        <v>0.29820000000000002</v>
      </c>
      <c r="AQ100" s="1">
        <v>0.29859999999999998</v>
      </c>
      <c r="AR100" s="1">
        <v>0.29799999999999999</v>
      </c>
      <c r="AS100" s="1">
        <v>0.30349999999999999</v>
      </c>
      <c r="AT100" s="1">
        <v>0.32119999999999999</v>
      </c>
      <c r="AU100" s="1">
        <v>0.32090000000000002</v>
      </c>
      <c r="AV100" s="1">
        <v>0.35630000000000001</v>
      </c>
      <c r="AW100" s="1">
        <v>0.37830000000000003</v>
      </c>
      <c r="AX100" s="1"/>
      <c r="AY100" s="1"/>
      <c r="AZ100" s="1"/>
      <c r="BA100" s="1">
        <v>0.14760000000000001</v>
      </c>
      <c r="BB100" s="1">
        <v>0.32869999999999999</v>
      </c>
      <c r="BC100" s="1">
        <v>0.32679999999999998</v>
      </c>
      <c r="BD100" s="1">
        <v>0.33579999999999999</v>
      </c>
      <c r="BE100" s="1">
        <v>0.32350000000000001</v>
      </c>
      <c r="BF100" s="1">
        <v>0.34810000000000002</v>
      </c>
      <c r="BG100" s="1">
        <v>0.38800000000000001</v>
      </c>
      <c r="BH100" s="1">
        <v>0.4148</v>
      </c>
      <c r="BI100" s="1">
        <v>0.437</v>
      </c>
      <c r="BJ100" s="1"/>
      <c r="BK100" s="1"/>
      <c r="BL100" s="1"/>
      <c r="BM100" s="1">
        <v>0.41860000000000003</v>
      </c>
      <c r="BN100" s="1">
        <v>0.38729999999999998</v>
      </c>
      <c r="BO100" s="1">
        <v>0.3896</v>
      </c>
      <c r="BP100" s="1">
        <v>0.38679999999999998</v>
      </c>
      <c r="BQ100" s="1">
        <v>0.38329999999999997</v>
      </c>
      <c r="BR100" s="1">
        <v>0.4541</v>
      </c>
      <c r="BS100" s="1">
        <v>0.46589999999999998</v>
      </c>
      <c r="BT100" s="1">
        <v>0.49969999999999998</v>
      </c>
      <c r="BU100" s="1">
        <v>0.52139999999999997</v>
      </c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</row>
    <row r="101" spans="1:99" x14ac:dyDescent="0.2">
      <c r="A101" s="4" t="s">
        <v>196</v>
      </c>
      <c r="B101" s="1">
        <v>12841.536</v>
      </c>
      <c r="C101" s="1">
        <v>35.5</v>
      </c>
      <c r="D101" s="1">
        <f t="shared" si="0"/>
        <v>3.5670933333333332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>
        <v>0.32529999999999998</v>
      </c>
      <c r="AP101" s="1">
        <v>0.29580000000000001</v>
      </c>
      <c r="AQ101" s="1">
        <v>0.29459999999999997</v>
      </c>
      <c r="AR101" s="1">
        <v>0.30559999999999998</v>
      </c>
      <c r="AS101" s="1">
        <v>0.31059999999999999</v>
      </c>
      <c r="AT101" s="1">
        <v>0.3342</v>
      </c>
      <c r="AU101" s="1">
        <v>0.3241</v>
      </c>
      <c r="AV101" s="1">
        <v>0.35520000000000002</v>
      </c>
      <c r="AW101" s="1">
        <v>0.36709999999999998</v>
      </c>
      <c r="AX101" s="1"/>
      <c r="AY101" s="1"/>
      <c r="AZ101" s="1"/>
      <c r="BA101" s="1">
        <v>0.16250000000000001</v>
      </c>
      <c r="BB101" s="1">
        <v>0.34970000000000001</v>
      </c>
      <c r="BC101" s="1">
        <v>0.34520000000000001</v>
      </c>
      <c r="BD101" s="1">
        <v>0.35320000000000001</v>
      </c>
      <c r="BE101" s="1">
        <v>0.33829999999999999</v>
      </c>
      <c r="BF101" s="1">
        <v>0.36509999999999998</v>
      </c>
      <c r="BG101" s="1">
        <v>0.4143</v>
      </c>
      <c r="BH101" s="1">
        <v>0.44379999999999997</v>
      </c>
      <c r="BI101" s="1">
        <v>0.47089999999999999</v>
      </c>
      <c r="BJ101" s="1"/>
      <c r="BK101" s="1"/>
      <c r="BL101" s="1"/>
      <c r="BM101" s="1">
        <v>0.4304</v>
      </c>
      <c r="BN101" s="1">
        <v>0.42020000000000002</v>
      </c>
      <c r="BO101" s="1">
        <v>0.41299999999999998</v>
      </c>
      <c r="BP101" s="1">
        <v>0.41399999999999998</v>
      </c>
      <c r="BQ101" s="1">
        <v>0.41049999999999998</v>
      </c>
      <c r="BR101" s="1">
        <v>0.48920000000000002</v>
      </c>
      <c r="BS101" s="1">
        <v>0.49109999999999998</v>
      </c>
      <c r="BT101" s="1">
        <v>0.53979999999999995</v>
      </c>
      <c r="BU101" s="1">
        <v>0.58450000000000002</v>
      </c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</row>
    <row r="102" spans="1:99" x14ac:dyDescent="0.2">
      <c r="A102" s="4" t="s">
        <v>197</v>
      </c>
      <c r="B102" s="1">
        <v>13697.79</v>
      </c>
      <c r="C102" s="1">
        <v>36.6</v>
      </c>
      <c r="D102" s="1">
        <f t="shared" si="0"/>
        <v>3.8049416666666671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>
        <v>0.3664</v>
      </c>
      <c r="AP102" s="1">
        <v>0.33729999999999999</v>
      </c>
      <c r="AQ102" s="1">
        <v>0.32679999999999998</v>
      </c>
      <c r="AR102" s="1">
        <v>0.3291</v>
      </c>
      <c r="AS102" s="1">
        <v>0.32600000000000001</v>
      </c>
      <c r="AT102" s="1">
        <v>0.36049999999999999</v>
      </c>
      <c r="AU102" s="1">
        <v>0.34379999999999999</v>
      </c>
      <c r="AV102" s="1">
        <v>0.39190000000000003</v>
      </c>
      <c r="AW102" s="1">
        <v>0.41010000000000002</v>
      </c>
      <c r="AX102" s="1"/>
      <c r="AY102" s="1"/>
      <c r="AZ102" s="1"/>
      <c r="BA102" s="1">
        <v>0.19109999999999999</v>
      </c>
      <c r="BB102" s="1">
        <v>0.39129999999999998</v>
      </c>
      <c r="BC102" s="1">
        <v>0.38159999999999999</v>
      </c>
      <c r="BD102" s="1">
        <v>0.39240000000000003</v>
      </c>
      <c r="BE102" s="1">
        <v>0.37469999999999998</v>
      </c>
      <c r="BF102" s="1">
        <v>0.40360000000000001</v>
      </c>
      <c r="BG102" s="1">
        <v>0.43669999999999998</v>
      </c>
      <c r="BH102" s="1">
        <v>0.47689999999999999</v>
      </c>
      <c r="BI102" s="1">
        <v>0.50360000000000005</v>
      </c>
      <c r="BJ102" s="1"/>
      <c r="BK102" s="1"/>
      <c r="BL102" s="1"/>
      <c r="BM102" s="1">
        <v>0.51419999999999999</v>
      </c>
      <c r="BN102" s="1">
        <v>0.47010000000000002</v>
      </c>
      <c r="BO102" s="1">
        <v>0.47</v>
      </c>
      <c r="BP102" s="1">
        <v>0.46260000000000001</v>
      </c>
      <c r="BQ102" s="1">
        <v>0.45939999999999998</v>
      </c>
      <c r="BR102" s="1">
        <v>0.52210000000000001</v>
      </c>
      <c r="BS102" s="1">
        <v>0.50929999999999997</v>
      </c>
      <c r="BT102" s="1">
        <v>0.56910000000000005</v>
      </c>
      <c r="BU102" s="1">
        <v>0.60109999999999997</v>
      </c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</row>
    <row r="103" spans="1:99" x14ac:dyDescent="0.2">
      <c r="A103" s="4" t="s">
        <v>198</v>
      </c>
      <c r="B103" s="1">
        <v>14553.734</v>
      </c>
      <c r="C103" s="1">
        <v>37</v>
      </c>
      <c r="D103" s="1">
        <f t="shared" si="0"/>
        <v>4.0427038888888891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>
        <v>0.41210000000000002</v>
      </c>
      <c r="AP103" s="1">
        <v>0.38009999999999999</v>
      </c>
      <c r="AQ103" s="1">
        <v>0.36359999999999998</v>
      </c>
      <c r="AR103" s="1">
        <v>0.36280000000000001</v>
      </c>
      <c r="AS103" s="1">
        <v>0.35580000000000001</v>
      </c>
      <c r="AT103" s="1">
        <v>0.39479999999999998</v>
      </c>
      <c r="AU103" s="1">
        <v>0.37180000000000002</v>
      </c>
      <c r="AV103" s="1">
        <v>0.42849999999999999</v>
      </c>
      <c r="AW103" s="1">
        <v>0.47320000000000001</v>
      </c>
      <c r="AX103" s="1"/>
      <c r="AY103" s="1"/>
      <c r="AZ103" s="1"/>
      <c r="BA103" s="1">
        <v>0.2266</v>
      </c>
      <c r="BB103" s="1">
        <v>0.4481</v>
      </c>
      <c r="BC103" s="1">
        <v>0.43419999999999997</v>
      </c>
      <c r="BD103" s="1">
        <v>0.43859999999999999</v>
      </c>
      <c r="BE103" s="1">
        <v>0.42120000000000002</v>
      </c>
      <c r="BF103" s="1">
        <v>0.44829999999999998</v>
      </c>
      <c r="BG103" s="1">
        <v>0.46250000000000002</v>
      </c>
      <c r="BH103" s="1">
        <v>0.52200000000000002</v>
      </c>
      <c r="BI103" s="1">
        <v>0.55130000000000001</v>
      </c>
      <c r="BJ103" s="1"/>
      <c r="BK103" s="1"/>
      <c r="BL103" s="1"/>
      <c r="BM103" s="1">
        <v>0.58819999999999995</v>
      </c>
      <c r="BN103" s="1">
        <v>0.52900000000000003</v>
      </c>
      <c r="BO103" s="1">
        <v>0.52100000000000002</v>
      </c>
      <c r="BP103" s="1">
        <v>0.51419999999999999</v>
      </c>
      <c r="BQ103" s="1">
        <v>0.51570000000000005</v>
      </c>
      <c r="BR103" s="1">
        <v>0.56369999999999998</v>
      </c>
      <c r="BS103" s="1">
        <v>0.53080000000000005</v>
      </c>
      <c r="BT103" s="1">
        <v>0.60560000000000003</v>
      </c>
      <c r="BU103" s="1">
        <v>0.65529999999999999</v>
      </c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</row>
    <row r="104" spans="1:99" x14ac:dyDescent="0.2">
      <c r="A104" s="4" t="s">
        <v>199</v>
      </c>
      <c r="B104" s="1">
        <v>15409.664000000001</v>
      </c>
      <c r="C104" s="1">
        <v>35.5</v>
      </c>
      <c r="D104" s="1">
        <f t="shared" si="0"/>
        <v>4.2804622222222228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>
        <v>0.42809999999999998</v>
      </c>
      <c r="AP104" s="1">
        <v>0.39340000000000003</v>
      </c>
      <c r="AQ104" s="1">
        <v>0.37769999999999998</v>
      </c>
      <c r="AR104" s="1">
        <v>0.38229999999999997</v>
      </c>
      <c r="AS104" s="1">
        <v>0.37759999999999999</v>
      </c>
      <c r="AT104" s="1">
        <v>0.41489999999999999</v>
      </c>
      <c r="AU104" s="1">
        <v>0.39290000000000003</v>
      </c>
      <c r="AV104" s="1">
        <v>0.44969999999999999</v>
      </c>
      <c r="AW104" s="1">
        <v>0.48649999999999999</v>
      </c>
      <c r="AX104" s="1"/>
      <c r="AY104" s="1"/>
      <c r="AZ104" s="1"/>
      <c r="BA104" s="1">
        <v>0.26219999999999999</v>
      </c>
      <c r="BB104" s="1">
        <v>0.48349999999999999</v>
      </c>
      <c r="BC104" s="1">
        <v>0.4627</v>
      </c>
      <c r="BD104" s="1">
        <v>0.46560000000000001</v>
      </c>
      <c r="BE104" s="1">
        <v>0.4456</v>
      </c>
      <c r="BF104" s="1">
        <v>0.4713</v>
      </c>
      <c r="BG104" s="1">
        <v>0.47399999999999998</v>
      </c>
      <c r="BH104" s="1">
        <v>0.54200000000000004</v>
      </c>
      <c r="BI104" s="1">
        <v>0.58220000000000005</v>
      </c>
      <c r="BJ104" s="1"/>
      <c r="BK104" s="1"/>
      <c r="BL104" s="1"/>
      <c r="BM104" s="1">
        <v>0.57050000000000001</v>
      </c>
      <c r="BN104" s="1">
        <v>0.55479999999999996</v>
      </c>
      <c r="BO104" s="1">
        <v>0.54800000000000004</v>
      </c>
      <c r="BP104" s="1">
        <v>0.5413</v>
      </c>
      <c r="BQ104" s="1">
        <v>0.54259999999999997</v>
      </c>
      <c r="BR104" s="1">
        <v>0.59099999999999997</v>
      </c>
      <c r="BS104" s="1">
        <v>0.54139999999999999</v>
      </c>
      <c r="BT104" s="1">
        <v>0.62219999999999998</v>
      </c>
      <c r="BU104" s="1">
        <v>0.6734</v>
      </c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</row>
    <row r="105" spans="1:99" x14ac:dyDescent="0.2">
      <c r="A105" s="4" t="s">
        <v>200</v>
      </c>
      <c r="B105" s="1">
        <v>16265.904</v>
      </c>
      <c r="C105" s="1">
        <v>36.799999999999997</v>
      </c>
      <c r="D105" s="1">
        <f t="shared" si="0"/>
        <v>4.5183066666666667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>
        <v>0.44190000000000002</v>
      </c>
      <c r="AP105" s="1">
        <v>0.42330000000000001</v>
      </c>
      <c r="AQ105" s="1">
        <v>0.40079999999999999</v>
      </c>
      <c r="AR105" s="1">
        <v>0.40749999999999997</v>
      </c>
      <c r="AS105" s="1">
        <v>0.39129999999999998</v>
      </c>
      <c r="AT105" s="1">
        <v>0.43070000000000003</v>
      </c>
      <c r="AU105" s="1">
        <v>0.40849999999999997</v>
      </c>
      <c r="AV105" s="1">
        <v>0.47110000000000002</v>
      </c>
      <c r="AW105" s="1">
        <v>0.5091</v>
      </c>
      <c r="AX105" s="1"/>
      <c r="AY105" s="1"/>
      <c r="AZ105" s="1"/>
      <c r="BA105" s="1">
        <v>0.29389999999999999</v>
      </c>
      <c r="BB105" s="1">
        <v>0.49959999999999999</v>
      </c>
      <c r="BC105" s="1">
        <v>0.48220000000000002</v>
      </c>
      <c r="BD105" s="1">
        <v>0.48470000000000002</v>
      </c>
      <c r="BE105" s="1">
        <v>0.47020000000000001</v>
      </c>
      <c r="BF105" s="1">
        <v>0.49130000000000001</v>
      </c>
      <c r="BG105" s="1">
        <v>0.47549999999999998</v>
      </c>
      <c r="BH105" s="1">
        <v>0.55910000000000004</v>
      </c>
      <c r="BI105" s="1">
        <v>0.59589999999999999</v>
      </c>
      <c r="BJ105" s="1"/>
      <c r="BK105" s="1"/>
      <c r="BL105" s="1"/>
      <c r="BM105" s="1">
        <v>0.64659999999999995</v>
      </c>
      <c r="BN105" s="1">
        <v>0.57479999999999998</v>
      </c>
      <c r="BO105" s="1">
        <v>0.57250000000000001</v>
      </c>
      <c r="BP105" s="1">
        <v>0.56040000000000001</v>
      </c>
      <c r="BQ105" s="1">
        <v>0.5615</v>
      </c>
      <c r="BR105" s="1">
        <v>0.60099999999999998</v>
      </c>
      <c r="BS105" s="1">
        <v>0.54249999999999998</v>
      </c>
      <c r="BT105" s="1">
        <v>0.62629999999999997</v>
      </c>
      <c r="BU105" s="1">
        <v>0.67910000000000004</v>
      </c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</row>
    <row r="106" spans="1:99" x14ac:dyDescent="0.2">
      <c r="A106" s="4" t="s">
        <v>201</v>
      </c>
      <c r="B106" s="1">
        <v>17121.814999999999</v>
      </c>
      <c r="C106" s="1">
        <v>36.9</v>
      </c>
      <c r="D106" s="1">
        <f t="shared" si="0"/>
        <v>4.7560597222222221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>
        <v>0.47870000000000001</v>
      </c>
      <c r="AP106" s="1">
        <v>0.4667</v>
      </c>
      <c r="AQ106" s="1">
        <v>0.44230000000000003</v>
      </c>
      <c r="AR106" s="1">
        <v>0.44500000000000001</v>
      </c>
      <c r="AS106" s="1">
        <v>0.42730000000000001</v>
      </c>
      <c r="AT106" s="1">
        <v>0.4612</v>
      </c>
      <c r="AU106" s="1">
        <v>0.43330000000000002</v>
      </c>
      <c r="AV106" s="1">
        <v>0.50260000000000005</v>
      </c>
      <c r="AW106" s="1">
        <v>0.55800000000000005</v>
      </c>
      <c r="AX106" s="1"/>
      <c r="AY106" s="1"/>
      <c r="AZ106" s="1"/>
      <c r="BA106" s="1">
        <v>0.34189999999999998</v>
      </c>
      <c r="BB106" s="1">
        <v>0.53959999999999997</v>
      </c>
      <c r="BC106" s="1">
        <v>0.51939999999999997</v>
      </c>
      <c r="BD106" s="1">
        <v>0.52139999999999997</v>
      </c>
      <c r="BE106" s="1">
        <v>0.50590000000000002</v>
      </c>
      <c r="BF106" s="1">
        <v>0.52569999999999995</v>
      </c>
      <c r="BG106" s="1">
        <v>0.4884</v>
      </c>
      <c r="BH106" s="1">
        <v>0.58799999999999997</v>
      </c>
      <c r="BI106" s="1">
        <v>0.6129</v>
      </c>
      <c r="BJ106" s="1"/>
      <c r="BK106" s="1"/>
      <c r="BL106" s="1"/>
      <c r="BM106" s="1">
        <v>0.68110000000000004</v>
      </c>
      <c r="BN106" s="1">
        <v>0.60419999999999996</v>
      </c>
      <c r="BO106" s="1">
        <v>0.59919999999999995</v>
      </c>
      <c r="BP106" s="1">
        <v>0.58789999999999998</v>
      </c>
      <c r="BQ106" s="1">
        <v>0.59519999999999995</v>
      </c>
      <c r="BR106" s="1">
        <v>0.62090000000000001</v>
      </c>
      <c r="BS106" s="1">
        <v>0.54549999999999998</v>
      </c>
      <c r="BT106" s="1">
        <v>0.63639999999999997</v>
      </c>
      <c r="BU106" s="1">
        <v>0.68979999999999997</v>
      </c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</row>
    <row r="107" spans="1:99" x14ac:dyDescent="0.2">
      <c r="A107" s="4" t="s">
        <v>202</v>
      </c>
      <c r="B107" s="1">
        <v>17977.754000000001</v>
      </c>
      <c r="C107" s="1">
        <v>35.6</v>
      </c>
      <c r="D107" s="1">
        <f t="shared" si="0"/>
        <v>4.9938205555555557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>
        <v>0.4985</v>
      </c>
      <c r="AP107" s="1">
        <v>0.47720000000000001</v>
      </c>
      <c r="AQ107" s="1">
        <v>0.46110000000000001</v>
      </c>
      <c r="AR107" s="1">
        <v>0.46129999999999999</v>
      </c>
      <c r="AS107" s="1">
        <v>0.44740000000000002</v>
      </c>
      <c r="AT107" s="1">
        <v>0.47220000000000001</v>
      </c>
      <c r="AU107" s="1">
        <v>0.44979999999999998</v>
      </c>
      <c r="AV107" s="1">
        <v>0.51680000000000004</v>
      </c>
      <c r="AW107" s="1">
        <v>0.57179999999999997</v>
      </c>
      <c r="AX107" s="1"/>
      <c r="AY107" s="1"/>
      <c r="AZ107" s="1"/>
      <c r="BA107" s="1">
        <v>0.37080000000000002</v>
      </c>
      <c r="BB107" s="1">
        <v>0.56020000000000003</v>
      </c>
      <c r="BC107" s="1">
        <v>0.54069999999999996</v>
      </c>
      <c r="BD107" s="1">
        <v>0.54059999999999997</v>
      </c>
      <c r="BE107" s="1">
        <v>0.5252</v>
      </c>
      <c r="BF107" s="1">
        <v>0.54169999999999996</v>
      </c>
      <c r="BG107" s="1">
        <v>0.49180000000000001</v>
      </c>
      <c r="BH107" s="1">
        <v>0.58799999999999997</v>
      </c>
      <c r="BI107" s="1">
        <v>0.61929999999999996</v>
      </c>
      <c r="BJ107" s="1"/>
      <c r="BK107" s="1"/>
      <c r="BL107" s="1"/>
      <c r="BM107" s="1">
        <v>0.62670000000000003</v>
      </c>
      <c r="BN107" s="1">
        <v>0.61799999999999999</v>
      </c>
      <c r="BO107" s="1">
        <v>0.61180000000000001</v>
      </c>
      <c r="BP107" s="1">
        <v>0.6028</v>
      </c>
      <c r="BQ107" s="1">
        <v>0.60560000000000003</v>
      </c>
      <c r="BR107" s="1">
        <v>0.63290000000000002</v>
      </c>
      <c r="BS107" s="1">
        <v>0.53749999999999998</v>
      </c>
      <c r="BT107" s="1">
        <v>0.64990000000000003</v>
      </c>
      <c r="BU107" s="1">
        <v>0.68830000000000002</v>
      </c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</row>
    <row r="108" spans="1:99" x14ac:dyDescent="0.2">
      <c r="A108" s="4" t="s">
        <v>203</v>
      </c>
      <c r="B108" s="1">
        <v>18834.023000000001</v>
      </c>
      <c r="C108" s="1">
        <v>36.9</v>
      </c>
      <c r="D108" s="1">
        <f t="shared" si="0"/>
        <v>5.2316730555555555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>
        <v>0.4985</v>
      </c>
      <c r="AP108" s="1">
        <v>0.48899999999999999</v>
      </c>
      <c r="AQ108" s="1">
        <v>0.46289999999999998</v>
      </c>
      <c r="AR108" s="1">
        <v>0.46529999999999999</v>
      </c>
      <c r="AS108" s="1">
        <v>0.45079999999999998</v>
      </c>
      <c r="AT108" s="1">
        <v>0.4899</v>
      </c>
      <c r="AU108" s="1">
        <v>0.4531</v>
      </c>
      <c r="AV108" s="1">
        <v>0.53620000000000001</v>
      </c>
      <c r="AW108" s="1">
        <v>0.58860000000000001</v>
      </c>
      <c r="AX108" s="1"/>
      <c r="AY108" s="1"/>
      <c r="AZ108" s="1"/>
      <c r="BA108" s="1">
        <v>0.40839999999999999</v>
      </c>
      <c r="BB108" s="1">
        <v>0.55930000000000002</v>
      </c>
      <c r="BC108" s="1">
        <v>0.54300000000000004</v>
      </c>
      <c r="BD108" s="1">
        <v>0.54349999999999998</v>
      </c>
      <c r="BE108" s="1">
        <v>0.53100000000000003</v>
      </c>
      <c r="BF108" s="1">
        <v>0.54869999999999997</v>
      </c>
      <c r="BG108" s="1">
        <v>0.4859</v>
      </c>
      <c r="BH108" s="1">
        <v>0.60060000000000002</v>
      </c>
      <c r="BI108" s="1">
        <v>0.627</v>
      </c>
      <c r="BJ108" s="1"/>
      <c r="BK108" s="1"/>
      <c r="BL108" s="1"/>
      <c r="BM108" s="1">
        <v>0.71750000000000003</v>
      </c>
      <c r="BN108" s="1">
        <v>0.62419999999999998</v>
      </c>
      <c r="BO108" s="1">
        <v>0.62409999999999999</v>
      </c>
      <c r="BP108" s="1">
        <v>0.61480000000000001</v>
      </c>
      <c r="BQ108" s="1">
        <v>0.61990000000000001</v>
      </c>
      <c r="BR108" s="1">
        <v>0.64190000000000003</v>
      </c>
      <c r="BS108" s="1">
        <v>0.53920000000000001</v>
      </c>
      <c r="BT108" s="1">
        <v>0.65169999999999995</v>
      </c>
      <c r="BU108" s="1">
        <v>0.68740000000000001</v>
      </c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</row>
    <row r="109" spans="1:99" x14ac:dyDescent="0.2">
      <c r="A109" s="4" t="s">
        <v>204</v>
      </c>
      <c r="B109" s="1">
        <v>19689.952000000001</v>
      </c>
      <c r="C109" s="1">
        <v>35.5</v>
      </c>
      <c r="D109" s="1">
        <f t="shared" si="0"/>
        <v>5.4694311111111116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>
        <v>0.51829999999999998</v>
      </c>
      <c r="AP109" s="1">
        <v>0.50629999999999997</v>
      </c>
      <c r="AQ109" s="1">
        <v>0.48430000000000001</v>
      </c>
      <c r="AR109" s="1">
        <v>0.48499999999999999</v>
      </c>
      <c r="AS109" s="1">
        <v>0.47</v>
      </c>
      <c r="AT109" s="1">
        <v>0.48909999999999998</v>
      </c>
      <c r="AU109" s="1">
        <v>0.47120000000000001</v>
      </c>
      <c r="AV109" s="1">
        <v>0.54120000000000001</v>
      </c>
      <c r="AW109" s="1">
        <v>0.60729999999999995</v>
      </c>
      <c r="AX109" s="1"/>
      <c r="AY109" s="1"/>
      <c r="AZ109" s="1"/>
      <c r="BA109" s="1">
        <v>0.4491</v>
      </c>
      <c r="BB109" s="1">
        <v>0.57679999999999998</v>
      </c>
      <c r="BC109" s="1">
        <v>0.55989999999999995</v>
      </c>
      <c r="BD109" s="1">
        <v>0.56140000000000001</v>
      </c>
      <c r="BE109" s="1">
        <v>0.55000000000000004</v>
      </c>
      <c r="BF109" s="1">
        <v>0.56359999999999999</v>
      </c>
      <c r="BG109" s="1">
        <v>0.4869</v>
      </c>
      <c r="BH109" s="1">
        <v>0.59699999999999998</v>
      </c>
      <c r="BI109" s="1">
        <v>0.62470000000000003</v>
      </c>
      <c r="BJ109" s="1"/>
      <c r="BK109" s="1"/>
      <c r="BL109" s="1"/>
      <c r="BM109" s="1">
        <v>0.71819999999999995</v>
      </c>
      <c r="BN109" s="1">
        <v>0.62880000000000003</v>
      </c>
      <c r="BO109" s="1">
        <v>0.63060000000000005</v>
      </c>
      <c r="BP109" s="1">
        <v>0.61450000000000005</v>
      </c>
      <c r="BQ109" s="1">
        <v>0.61950000000000005</v>
      </c>
      <c r="BR109" s="1">
        <v>0.63460000000000005</v>
      </c>
      <c r="BS109" s="1">
        <v>0.5171</v>
      </c>
      <c r="BT109" s="1">
        <v>0.64559999999999995</v>
      </c>
      <c r="BU109" s="1">
        <v>0.67600000000000005</v>
      </c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</row>
    <row r="110" spans="1:99" x14ac:dyDescent="0.2">
      <c r="A110" s="4" t="s">
        <v>205</v>
      </c>
      <c r="B110" s="1">
        <v>20545.900000000001</v>
      </c>
      <c r="C110" s="1">
        <v>36.799999999999997</v>
      </c>
      <c r="D110" s="1">
        <f t="shared" si="0"/>
        <v>5.7071944444444451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>
        <v>0.51900000000000002</v>
      </c>
      <c r="AP110" s="1">
        <v>0.5151</v>
      </c>
      <c r="AQ110" s="1">
        <v>0.49890000000000001</v>
      </c>
      <c r="AR110" s="1">
        <v>0.49559999999999998</v>
      </c>
      <c r="AS110" s="1">
        <v>0.48209999999999997</v>
      </c>
      <c r="AT110" s="1">
        <v>0.51749999999999996</v>
      </c>
      <c r="AU110" s="1">
        <v>0.46260000000000001</v>
      </c>
      <c r="AV110" s="1">
        <v>0.57040000000000002</v>
      </c>
      <c r="AW110" s="1">
        <v>0.62109999999999999</v>
      </c>
      <c r="AX110" s="1"/>
      <c r="AY110" s="1"/>
      <c r="AZ110" s="1"/>
      <c r="BA110" s="1">
        <v>0.49280000000000002</v>
      </c>
      <c r="BB110" s="1">
        <v>0.58699999999999997</v>
      </c>
      <c r="BC110" s="1">
        <v>0.57410000000000005</v>
      </c>
      <c r="BD110" s="1">
        <v>0.57089999999999996</v>
      </c>
      <c r="BE110" s="1">
        <v>0.5595</v>
      </c>
      <c r="BF110" s="1">
        <v>0.57410000000000005</v>
      </c>
      <c r="BG110" s="1">
        <v>0.48470000000000002</v>
      </c>
      <c r="BH110" s="1">
        <v>0.60799999999999998</v>
      </c>
      <c r="BI110" s="1">
        <v>0.64290000000000003</v>
      </c>
      <c r="BJ110" s="1"/>
      <c r="BK110" s="1"/>
      <c r="BL110" s="1"/>
      <c r="BM110" s="1">
        <v>0.70279999999999998</v>
      </c>
      <c r="BN110" s="1">
        <v>0.64400000000000002</v>
      </c>
      <c r="BO110" s="1">
        <v>0.63500000000000001</v>
      </c>
      <c r="BP110" s="1">
        <v>0.62109999999999999</v>
      </c>
      <c r="BQ110" s="1">
        <v>0.62770000000000004</v>
      </c>
      <c r="BR110" s="1">
        <v>0.63700000000000001</v>
      </c>
      <c r="BS110" s="1">
        <v>0.51119999999999999</v>
      </c>
      <c r="BT110" s="1">
        <v>0.65</v>
      </c>
      <c r="BU110" s="1">
        <v>0.67579999999999996</v>
      </c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</row>
    <row r="111" spans="1:99" x14ac:dyDescent="0.2">
      <c r="A111" s="4" t="s">
        <v>206</v>
      </c>
      <c r="B111" s="1">
        <v>21402.089</v>
      </c>
      <c r="C111" s="1">
        <v>36.9</v>
      </c>
      <c r="D111" s="1">
        <f t="shared" si="0"/>
        <v>5.9450247222222226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>
        <v>0.52849999999999997</v>
      </c>
      <c r="AP111" s="1">
        <v>0.53490000000000004</v>
      </c>
      <c r="AQ111" s="1">
        <v>0.5071</v>
      </c>
      <c r="AR111" s="1">
        <v>0.5091</v>
      </c>
      <c r="AS111" s="1">
        <v>0.49619999999999997</v>
      </c>
      <c r="AT111" s="1">
        <v>0.52229999999999999</v>
      </c>
      <c r="AU111" s="1">
        <v>0.47210000000000002</v>
      </c>
      <c r="AV111" s="1">
        <v>0.57609999999999995</v>
      </c>
      <c r="AW111" s="1">
        <v>0.64539999999999997</v>
      </c>
      <c r="AX111" s="1"/>
      <c r="AY111" s="1"/>
      <c r="AZ111" s="1"/>
      <c r="BA111" s="1">
        <v>0.52710000000000001</v>
      </c>
      <c r="BB111" s="1">
        <v>0.59279999999999999</v>
      </c>
      <c r="BC111" s="1">
        <v>0.58309999999999995</v>
      </c>
      <c r="BD111" s="1">
        <v>0.58220000000000005</v>
      </c>
      <c r="BE111" s="1">
        <v>0.57489999999999997</v>
      </c>
      <c r="BF111" s="1">
        <v>0.58930000000000005</v>
      </c>
      <c r="BG111" s="1">
        <v>0.47839999999999999</v>
      </c>
      <c r="BH111" s="1">
        <v>0.60529999999999995</v>
      </c>
      <c r="BI111" s="1">
        <v>0.6331</v>
      </c>
      <c r="BJ111" s="1"/>
      <c r="BK111" s="1"/>
      <c r="BL111" s="1"/>
      <c r="BM111" s="1">
        <v>0.73099999999999998</v>
      </c>
      <c r="BN111" s="1">
        <v>0.63660000000000005</v>
      </c>
      <c r="BO111" s="1">
        <v>0.63590000000000002</v>
      </c>
      <c r="BP111" s="1">
        <v>0.61750000000000005</v>
      </c>
      <c r="BQ111" s="1">
        <v>0.63170000000000004</v>
      </c>
      <c r="BR111" s="1">
        <v>0.6351</v>
      </c>
      <c r="BS111" s="1">
        <v>0.50790000000000002</v>
      </c>
      <c r="BT111" s="1">
        <v>0.6472</v>
      </c>
      <c r="BU111" s="1">
        <v>0.66969999999999996</v>
      </c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</row>
    <row r="112" spans="1:99" x14ac:dyDescent="0.2">
      <c r="A112" s="4" t="s">
        <v>207</v>
      </c>
      <c r="B112" s="1">
        <v>22258.032999999999</v>
      </c>
      <c r="C112" s="1">
        <v>35.6</v>
      </c>
      <c r="D112" s="1">
        <f t="shared" si="0"/>
        <v>6.1827869444444445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>
        <v>0.53910000000000002</v>
      </c>
      <c r="AP112" s="1">
        <v>0.54079999999999995</v>
      </c>
      <c r="AQ112" s="1">
        <v>0.51949999999999996</v>
      </c>
      <c r="AR112" s="1">
        <v>0.51759999999999995</v>
      </c>
      <c r="AS112" s="1">
        <v>0.5081</v>
      </c>
      <c r="AT112" s="1">
        <v>0.51670000000000005</v>
      </c>
      <c r="AU112" s="1">
        <v>0.48399999999999999</v>
      </c>
      <c r="AV112" s="1">
        <v>0.57340000000000002</v>
      </c>
      <c r="AW112" s="1">
        <v>0.64180000000000004</v>
      </c>
      <c r="AX112" s="1"/>
      <c r="AY112" s="1"/>
      <c r="AZ112" s="1"/>
      <c r="BA112" s="1">
        <v>0.54810000000000003</v>
      </c>
      <c r="BB112" s="1">
        <v>0.59589999999999999</v>
      </c>
      <c r="BC112" s="1">
        <v>0.58250000000000002</v>
      </c>
      <c r="BD112" s="1">
        <v>0.58069999999999999</v>
      </c>
      <c r="BE112" s="1">
        <v>0.57650000000000001</v>
      </c>
      <c r="BF112" s="1">
        <v>0.58630000000000004</v>
      </c>
      <c r="BG112" s="1">
        <v>0.4647</v>
      </c>
      <c r="BH112" s="1">
        <v>0.59809999999999997</v>
      </c>
      <c r="BI112" s="1">
        <v>0.61880000000000002</v>
      </c>
      <c r="BJ112" s="1"/>
      <c r="BK112" s="1"/>
      <c r="BL112" s="1"/>
      <c r="BM112" s="1">
        <v>0.64390000000000003</v>
      </c>
      <c r="BN112" s="1">
        <v>0.65029999999999999</v>
      </c>
      <c r="BO112" s="1">
        <v>0.62549999999999994</v>
      </c>
      <c r="BP112" s="1">
        <v>0.63090000000000002</v>
      </c>
      <c r="BQ112" s="1">
        <v>0.62739999999999996</v>
      </c>
      <c r="BR112" s="1">
        <v>0.63700000000000001</v>
      </c>
      <c r="BS112" s="1">
        <v>0.48659999999999998</v>
      </c>
      <c r="BT112" s="1">
        <v>0.64680000000000004</v>
      </c>
      <c r="BU112" s="1">
        <v>0.65880000000000005</v>
      </c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</row>
    <row r="113" spans="1:99" x14ac:dyDescent="0.2">
      <c r="A113" s="4" t="s">
        <v>208</v>
      </c>
      <c r="B113" s="1">
        <v>23114.003000000001</v>
      </c>
      <c r="C113" s="1">
        <v>36.799999999999997</v>
      </c>
      <c r="D113" s="1">
        <f t="shared" si="0"/>
        <v>6.4205563888888895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>
        <v>0.53</v>
      </c>
      <c r="AP113" s="1">
        <v>0.54169999999999996</v>
      </c>
      <c r="AQ113" s="1">
        <v>0.53049999999999997</v>
      </c>
      <c r="AR113" s="1">
        <v>0.53110000000000002</v>
      </c>
      <c r="AS113" s="1">
        <v>0.51419999999999999</v>
      </c>
      <c r="AT113" s="1">
        <v>0.54090000000000005</v>
      </c>
      <c r="AU113" s="1">
        <v>0.47560000000000002</v>
      </c>
      <c r="AV113" s="1">
        <v>0.58989999999999998</v>
      </c>
      <c r="AW113" s="1">
        <v>0.64910000000000001</v>
      </c>
      <c r="AX113" s="1"/>
      <c r="AY113" s="1"/>
      <c r="AZ113" s="1"/>
      <c r="BA113" s="1">
        <v>0.56510000000000005</v>
      </c>
      <c r="BB113" s="1">
        <v>0.59930000000000005</v>
      </c>
      <c r="BC113" s="1">
        <v>0.59130000000000005</v>
      </c>
      <c r="BD113" s="1">
        <v>0.58160000000000001</v>
      </c>
      <c r="BE113" s="1">
        <v>0.58009999999999995</v>
      </c>
      <c r="BF113" s="1">
        <v>0.59289999999999998</v>
      </c>
      <c r="BG113" s="1">
        <v>0.46389999999999998</v>
      </c>
      <c r="BH113" s="1">
        <v>0.60229999999999995</v>
      </c>
      <c r="BI113" s="1">
        <v>0.64180000000000004</v>
      </c>
      <c r="BJ113" s="1"/>
      <c r="BK113" s="1"/>
      <c r="BL113" s="1"/>
      <c r="BM113" s="1">
        <v>0.68940000000000001</v>
      </c>
      <c r="BN113" s="1">
        <v>0.63819999999999999</v>
      </c>
      <c r="BO113" s="1">
        <v>0.629</v>
      </c>
      <c r="BP113" s="1">
        <v>0.61819999999999997</v>
      </c>
      <c r="BQ113" s="1">
        <v>0.63329999999999997</v>
      </c>
      <c r="BR113" s="1">
        <v>0.63049999999999995</v>
      </c>
      <c r="BS113" s="1">
        <v>0.4899</v>
      </c>
      <c r="BT113" s="1">
        <v>0.65239999999999998</v>
      </c>
      <c r="BU113" s="1">
        <v>0.65759999999999996</v>
      </c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</row>
    <row r="114" spans="1:99" x14ac:dyDescent="0.2">
      <c r="A114" s="4" t="s">
        <v>209</v>
      </c>
      <c r="B114" s="1">
        <v>23970.203000000001</v>
      </c>
      <c r="C114" s="1">
        <v>37</v>
      </c>
      <c r="D114" s="1">
        <f t="shared" si="0"/>
        <v>6.658389722222223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>
        <v>0.52890000000000004</v>
      </c>
      <c r="AP114" s="1">
        <v>0.53910000000000002</v>
      </c>
      <c r="AQ114" s="1">
        <v>0.5262</v>
      </c>
      <c r="AR114" s="1">
        <v>0.53</v>
      </c>
      <c r="AS114" s="1">
        <v>0.51600000000000001</v>
      </c>
      <c r="AT114" s="1">
        <v>0.53500000000000003</v>
      </c>
      <c r="AU114" s="1">
        <v>0.47520000000000001</v>
      </c>
      <c r="AV114" s="1">
        <v>0.59330000000000005</v>
      </c>
      <c r="AW114" s="1">
        <v>0.65739999999999998</v>
      </c>
      <c r="AX114" s="1"/>
      <c r="AY114" s="1"/>
      <c r="AZ114" s="1"/>
      <c r="BA114" s="1">
        <v>0.57750000000000001</v>
      </c>
      <c r="BB114" s="1">
        <v>0.59540000000000004</v>
      </c>
      <c r="BC114" s="1">
        <v>0.58760000000000001</v>
      </c>
      <c r="BD114" s="1">
        <v>0.58089999999999997</v>
      </c>
      <c r="BE114" s="1">
        <v>0.58450000000000002</v>
      </c>
      <c r="BF114" s="1">
        <v>0.59599999999999997</v>
      </c>
      <c r="BG114" s="1">
        <v>0.45240000000000002</v>
      </c>
      <c r="BH114" s="1">
        <v>0.60650000000000004</v>
      </c>
      <c r="BI114" s="1">
        <v>0.63419999999999999</v>
      </c>
      <c r="BJ114" s="1"/>
      <c r="BK114" s="1"/>
      <c r="BL114" s="1"/>
      <c r="BM114" s="1">
        <v>0.72919999999999996</v>
      </c>
      <c r="BN114" s="1">
        <v>0.62109999999999999</v>
      </c>
      <c r="BO114" s="1">
        <v>0.62860000000000005</v>
      </c>
      <c r="BP114" s="1">
        <v>0.60829999999999995</v>
      </c>
      <c r="BQ114" s="1">
        <v>0.629</v>
      </c>
      <c r="BR114" s="1">
        <v>0.62460000000000004</v>
      </c>
      <c r="BS114" s="1">
        <v>0.48139999999999999</v>
      </c>
      <c r="BT114" s="1">
        <v>0.64859999999999995</v>
      </c>
      <c r="BU114" s="1">
        <v>0.65139999999999998</v>
      </c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</row>
    <row r="115" spans="1:99" x14ac:dyDescent="0.2">
      <c r="A115" s="4" t="s">
        <v>210</v>
      </c>
      <c r="B115" s="1">
        <v>24826.159</v>
      </c>
      <c r="C115" s="1">
        <v>35.5</v>
      </c>
      <c r="D115" s="1">
        <f t="shared" si="0"/>
        <v>6.8961552777777779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>
        <v>0.52739999999999998</v>
      </c>
      <c r="AP115" s="1">
        <v>0.53900000000000003</v>
      </c>
      <c r="AQ115" s="1">
        <v>0.52959999999999996</v>
      </c>
      <c r="AR115" s="1">
        <v>0.52839999999999998</v>
      </c>
      <c r="AS115" s="1">
        <v>0.51359999999999995</v>
      </c>
      <c r="AT115" s="1">
        <v>0.5131</v>
      </c>
      <c r="AU115" s="1">
        <v>0.46860000000000002</v>
      </c>
      <c r="AV115" s="1">
        <v>0.57730000000000004</v>
      </c>
      <c r="AW115" s="1">
        <v>0.64270000000000005</v>
      </c>
      <c r="AX115" s="1"/>
      <c r="AY115" s="1"/>
      <c r="AZ115" s="1"/>
      <c r="BA115" s="1">
        <v>0.58919999999999995</v>
      </c>
      <c r="BB115" s="1">
        <v>0.59119999999999995</v>
      </c>
      <c r="BC115" s="1">
        <v>0.57830000000000004</v>
      </c>
      <c r="BD115" s="1">
        <v>0.57330000000000003</v>
      </c>
      <c r="BE115" s="1">
        <v>0.57499999999999996</v>
      </c>
      <c r="BF115" s="1">
        <v>0.58099999999999996</v>
      </c>
      <c r="BG115" s="1">
        <v>0.439</v>
      </c>
      <c r="BH115" s="1">
        <v>0.59109999999999996</v>
      </c>
      <c r="BI115" s="1">
        <v>0.62360000000000004</v>
      </c>
      <c r="BJ115" s="1"/>
      <c r="BK115" s="1"/>
      <c r="BL115" s="1"/>
      <c r="BM115" s="1">
        <v>0.69440000000000002</v>
      </c>
      <c r="BN115" s="1">
        <v>0.61460000000000004</v>
      </c>
      <c r="BO115" s="1">
        <v>0.61660000000000004</v>
      </c>
      <c r="BP115" s="1">
        <v>0.60509999999999997</v>
      </c>
      <c r="BQ115" s="1">
        <v>0.61870000000000003</v>
      </c>
      <c r="BR115" s="1">
        <v>0.62050000000000005</v>
      </c>
      <c r="BS115" s="1">
        <v>0.47070000000000001</v>
      </c>
      <c r="BT115" s="1">
        <v>0.6482</v>
      </c>
      <c r="BU115" s="1">
        <v>0.64659999999999995</v>
      </c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</row>
    <row r="116" spans="1:99" x14ac:dyDescent="0.2">
      <c r="A116" s="4" t="s">
        <v>211</v>
      </c>
      <c r="B116" s="1">
        <v>25682.210999999999</v>
      </c>
      <c r="C116" s="1">
        <v>39.200000000000003</v>
      </c>
      <c r="D116" s="1">
        <f t="shared" si="0"/>
        <v>7.1339474999999997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>
        <v>0.52249999999999996</v>
      </c>
      <c r="AP116" s="1">
        <v>0.53779999999999994</v>
      </c>
      <c r="AQ116" s="1">
        <v>0.53190000000000004</v>
      </c>
      <c r="AR116" s="1">
        <v>0.53539999999999999</v>
      </c>
      <c r="AS116" s="1">
        <v>0.51539999999999997</v>
      </c>
      <c r="AT116" s="1">
        <v>0.51639999999999997</v>
      </c>
      <c r="AU116" s="1">
        <v>0.45950000000000002</v>
      </c>
      <c r="AV116" s="1">
        <v>0.58230000000000004</v>
      </c>
      <c r="AW116" s="1">
        <v>0.63990000000000002</v>
      </c>
      <c r="AX116" s="1"/>
      <c r="AY116" s="1"/>
      <c r="AZ116" s="1"/>
      <c r="BA116" s="1">
        <v>0.60629999999999995</v>
      </c>
      <c r="BB116" s="1">
        <v>0.59240000000000004</v>
      </c>
      <c r="BC116" s="1">
        <v>0.57999999999999996</v>
      </c>
      <c r="BD116" s="1">
        <v>0.57330000000000003</v>
      </c>
      <c r="BE116" s="1">
        <v>0.57620000000000005</v>
      </c>
      <c r="BF116" s="1">
        <v>0.58220000000000005</v>
      </c>
      <c r="BG116" s="1">
        <v>0.43240000000000001</v>
      </c>
      <c r="BH116" s="1">
        <v>0.58889999999999998</v>
      </c>
      <c r="BI116" s="1">
        <v>0.63119999999999998</v>
      </c>
      <c r="BJ116" s="1"/>
      <c r="BK116" s="1"/>
      <c r="BL116" s="1"/>
      <c r="BM116" s="1">
        <v>0.66659999999999997</v>
      </c>
      <c r="BN116" s="1">
        <v>0.621</v>
      </c>
      <c r="BO116" s="1">
        <v>0.61419999999999997</v>
      </c>
      <c r="BP116" s="1">
        <v>0.5978</v>
      </c>
      <c r="BQ116" s="1">
        <v>0.61329999999999996</v>
      </c>
      <c r="BR116" s="1">
        <v>0.61280000000000001</v>
      </c>
      <c r="BS116" s="1">
        <v>0.4551</v>
      </c>
      <c r="BT116" s="1">
        <v>0.64319999999999999</v>
      </c>
      <c r="BU116" s="1">
        <v>0.63239999999999996</v>
      </c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</row>
    <row r="117" spans="1:99" x14ac:dyDescent="0.2">
      <c r="A117" s="4" t="s">
        <v>212</v>
      </c>
      <c r="B117" s="1">
        <v>26538.422999999999</v>
      </c>
      <c r="C117" s="1">
        <v>35.9</v>
      </c>
      <c r="D117" s="1">
        <f t="shared" si="0"/>
        <v>7.3717841666666661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>
        <v>0.52180000000000004</v>
      </c>
      <c r="AP117" s="1">
        <v>0.54820000000000002</v>
      </c>
      <c r="AQ117" s="1">
        <v>0.52980000000000005</v>
      </c>
      <c r="AR117" s="1">
        <v>0.53659999999999997</v>
      </c>
      <c r="AS117" s="1">
        <v>0.51619999999999999</v>
      </c>
      <c r="AT117" s="1">
        <v>0.51329999999999998</v>
      </c>
      <c r="AU117" s="1">
        <v>0.45860000000000001</v>
      </c>
      <c r="AV117" s="1">
        <v>0.57950000000000002</v>
      </c>
      <c r="AW117" s="1">
        <v>0.63160000000000005</v>
      </c>
      <c r="AX117" s="1"/>
      <c r="AY117" s="1"/>
      <c r="AZ117" s="1"/>
      <c r="BA117" s="1">
        <v>0.59609999999999996</v>
      </c>
      <c r="BB117" s="1">
        <v>0.5776</v>
      </c>
      <c r="BC117" s="1">
        <v>0.56999999999999995</v>
      </c>
      <c r="BD117" s="1">
        <v>0.57040000000000002</v>
      </c>
      <c r="BE117" s="1">
        <v>0.57330000000000003</v>
      </c>
      <c r="BF117" s="1">
        <v>0.57909999999999995</v>
      </c>
      <c r="BG117" s="1">
        <v>0.4264</v>
      </c>
      <c r="BH117" s="1">
        <v>0.59</v>
      </c>
      <c r="BI117" s="1">
        <v>0.63549999999999995</v>
      </c>
      <c r="BJ117" s="1"/>
      <c r="BK117" s="1"/>
      <c r="BL117" s="1"/>
      <c r="BM117" s="1">
        <v>0.69299999999999995</v>
      </c>
      <c r="BN117" s="1">
        <v>0.60109999999999997</v>
      </c>
      <c r="BO117" s="1">
        <v>0.61029999999999995</v>
      </c>
      <c r="BP117" s="1">
        <v>0.58919999999999995</v>
      </c>
      <c r="BQ117" s="1">
        <v>0.60940000000000005</v>
      </c>
      <c r="BR117" s="1">
        <v>0.60460000000000003</v>
      </c>
      <c r="BS117" s="1">
        <v>0.45660000000000001</v>
      </c>
      <c r="BT117" s="1">
        <v>0.64929999999999999</v>
      </c>
      <c r="BU117" s="1">
        <v>0.63229999999999997</v>
      </c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</row>
    <row r="118" spans="1:99" x14ac:dyDescent="0.2">
      <c r="A118" s="4" t="s">
        <v>213</v>
      </c>
      <c r="B118" s="1">
        <v>27394.373</v>
      </c>
      <c r="C118" s="1">
        <v>36.9</v>
      </c>
      <c r="D118" s="1">
        <f t="shared" si="0"/>
        <v>7.609548055555555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>
        <v>0.51270000000000004</v>
      </c>
      <c r="AP118" s="1">
        <v>0.52869999999999995</v>
      </c>
      <c r="AQ118" s="1">
        <v>0.51739999999999997</v>
      </c>
      <c r="AR118" s="1">
        <v>0.5272</v>
      </c>
      <c r="AS118" s="1">
        <v>0.51470000000000005</v>
      </c>
      <c r="AT118" s="1">
        <v>0.51500000000000001</v>
      </c>
      <c r="AU118" s="1">
        <v>0.45079999999999998</v>
      </c>
      <c r="AV118" s="1">
        <v>0.57550000000000001</v>
      </c>
      <c r="AW118" s="1">
        <v>0.62980000000000003</v>
      </c>
      <c r="AX118" s="1"/>
      <c r="AY118" s="1"/>
      <c r="AZ118" s="1"/>
      <c r="BA118" s="1">
        <v>0.60589999999999999</v>
      </c>
      <c r="BB118" s="1">
        <v>0.5827</v>
      </c>
      <c r="BC118" s="1">
        <v>0.57089999999999996</v>
      </c>
      <c r="BD118" s="1">
        <v>0.56689999999999996</v>
      </c>
      <c r="BE118" s="1">
        <v>0.56789999999999996</v>
      </c>
      <c r="BF118" s="1">
        <v>0.57640000000000002</v>
      </c>
      <c r="BG118" s="1">
        <v>0.41660000000000003</v>
      </c>
      <c r="BH118" s="1">
        <v>0.58479999999999999</v>
      </c>
      <c r="BI118" s="1">
        <v>0.65259999999999996</v>
      </c>
      <c r="BJ118" s="1"/>
      <c r="BK118" s="1"/>
      <c r="BL118" s="1"/>
      <c r="BM118" s="1">
        <v>0.67159999999999997</v>
      </c>
      <c r="BN118" s="1">
        <v>0.61009999999999998</v>
      </c>
      <c r="BO118" s="1">
        <v>0.60009999999999997</v>
      </c>
      <c r="BP118" s="1">
        <v>0.5857</v>
      </c>
      <c r="BQ118" s="1">
        <v>0.59850000000000003</v>
      </c>
      <c r="BR118" s="1">
        <v>0.61150000000000004</v>
      </c>
      <c r="BS118" s="1">
        <v>0.4395</v>
      </c>
      <c r="BT118" s="1">
        <v>0.64980000000000004</v>
      </c>
      <c r="BU118" s="1">
        <v>0.6341</v>
      </c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</row>
    <row r="119" spans="1:99" x14ac:dyDescent="0.2">
      <c r="A119" s="4" t="s">
        <v>214</v>
      </c>
      <c r="B119" s="1">
        <v>28250.538</v>
      </c>
      <c r="C119" s="1">
        <v>35.5</v>
      </c>
      <c r="D119" s="1">
        <f t="shared" si="0"/>
        <v>7.8473716666666666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>
        <v>0.51980000000000004</v>
      </c>
      <c r="AP119" s="1">
        <v>0.54979999999999996</v>
      </c>
      <c r="AQ119" s="1">
        <v>0.54339999999999999</v>
      </c>
      <c r="AR119" s="1">
        <v>0.53390000000000004</v>
      </c>
      <c r="AS119" s="1">
        <v>0.51280000000000003</v>
      </c>
      <c r="AT119" s="1">
        <v>0.50600000000000001</v>
      </c>
      <c r="AU119" s="1">
        <v>0.44359999999999999</v>
      </c>
      <c r="AV119" s="1">
        <v>0.57040000000000002</v>
      </c>
      <c r="AW119" s="1">
        <v>0.61899999999999999</v>
      </c>
      <c r="AX119" s="1"/>
      <c r="AY119" s="1"/>
      <c r="AZ119" s="1"/>
      <c r="BA119" s="1">
        <v>0.60940000000000005</v>
      </c>
      <c r="BB119" s="1">
        <v>0.58130000000000004</v>
      </c>
      <c r="BC119" s="1">
        <v>0.56679999999999997</v>
      </c>
      <c r="BD119" s="1">
        <v>0.56189999999999996</v>
      </c>
      <c r="BE119" s="1">
        <v>0.56369999999999998</v>
      </c>
      <c r="BF119" s="1">
        <v>0.56899999999999995</v>
      </c>
      <c r="BG119" s="1">
        <v>0.40810000000000002</v>
      </c>
      <c r="BH119" s="1">
        <v>0.57889999999999997</v>
      </c>
      <c r="BI119" s="1">
        <v>0.62509999999999999</v>
      </c>
      <c r="BJ119" s="1"/>
      <c r="BK119" s="1"/>
      <c r="BL119" s="1"/>
      <c r="BM119" s="1">
        <v>0.66720000000000002</v>
      </c>
      <c r="BN119" s="1">
        <v>0.60680000000000001</v>
      </c>
      <c r="BO119" s="1">
        <v>0.5978</v>
      </c>
      <c r="BP119" s="1">
        <v>0.58289999999999997</v>
      </c>
      <c r="BQ119" s="1">
        <v>0.59909999999999997</v>
      </c>
      <c r="BR119" s="1">
        <v>0.60350000000000004</v>
      </c>
      <c r="BS119" s="1">
        <v>0.44040000000000001</v>
      </c>
      <c r="BT119" s="1">
        <v>0.65069999999999995</v>
      </c>
      <c r="BU119" s="1">
        <v>0.62380000000000002</v>
      </c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</row>
    <row r="120" spans="1:99" x14ac:dyDescent="0.2">
      <c r="A120" s="4" t="s">
        <v>215</v>
      </c>
      <c r="B120" s="1">
        <v>29106.758999999998</v>
      </c>
      <c r="C120" s="1">
        <v>36.799999999999997</v>
      </c>
      <c r="D120" s="1">
        <f t="shared" si="0"/>
        <v>8.085210833333333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>
        <v>0.50480000000000003</v>
      </c>
      <c r="AP120" s="1">
        <v>0.53710000000000002</v>
      </c>
      <c r="AQ120" s="1">
        <v>0.51559999999999995</v>
      </c>
      <c r="AR120" s="1">
        <v>0.52590000000000003</v>
      </c>
      <c r="AS120" s="1">
        <v>0.50680000000000003</v>
      </c>
      <c r="AT120" s="1">
        <v>0.50949999999999995</v>
      </c>
      <c r="AU120" s="1">
        <v>0.43969999999999998</v>
      </c>
      <c r="AV120" s="1">
        <v>0.58289999999999997</v>
      </c>
      <c r="AW120" s="1">
        <v>0.621</v>
      </c>
      <c r="AX120" s="1"/>
      <c r="AY120" s="1"/>
      <c r="AZ120" s="1"/>
      <c r="BA120" s="1">
        <v>0.59560000000000002</v>
      </c>
      <c r="BB120" s="1">
        <v>0.57020000000000004</v>
      </c>
      <c r="BC120" s="1">
        <v>0.56120000000000003</v>
      </c>
      <c r="BD120" s="1">
        <v>0.55710000000000004</v>
      </c>
      <c r="BE120" s="1">
        <v>0.55989999999999995</v>
      </c>
      <c r="BF120" s="1">
        <v>0.56810000000000005</v>
      </c>
      <c r="BG120" s="1">
        <v>0.40550000000000003</v>
      </c>
      <c r="BH120" s="1">
        <v>0.59330000000000005</v>
      </c>
      <c r="BI120" s="1">
        <v>0.65559999999999996</v>
      </c>
      <c r="BJ120" s="1"/>
      <c r="BK120" s="1"/>
      <c r="BL120" s="1"/>
      <c r="BM120" s="1">
        <v>0.58960000000000001</v>
      </c>
      <c r="BN120" s="1">
        <v>0.59970000000000001</v>
      </c>
      <c r="BO120" s="1">
        <v>0.58550000000000002</v>
      </c>
      <c r="BP120" s="1">
        <v>0.58109999999999995</v>
      </c>
      <c r="BQ120" s="1">
        <v>0.59619999999999995</v>
      </c>
      <c r="BR120" s="1">
        <v>0.6008</v>
      </c>
      <c r="BS120" s="1">
        <v>0.44309999999999999</v>
      </c>
      <c r="BT120" s="1">
        <v>0.67069999999999996</v>
      </c>
      <c r="BU120" s="1">
        <v>0.625</v>
      </c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</row>
    <row r="121" spans="1:99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spans="1:99" x14ac:dyDescent="0.2">
      <c r="A122" s="1" t="s">
        <v>31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spans="1:99" x14ac:dyDescent="0.2">
      <c r="A123" s="4" t="s">
        <v>94</v>
      </c>
      <c r="B123" s="4" t="s">
        <v>95</v>
      </c>
      <c r="C123" s="4" t="s">
        <v>96</v>
      </c>
      <c r="D123" s="4" t="s">
        <v>97</v>
      </c>
      <c r="E123" s="4" t="s">
        <v>98</v>
      </c>
      <c r="F123" s="4" t="s">
        <v>99</v>
      </c>
      <c r="G123" s="4" t="s">
        <v>100</v>
      </c>
      <c r="H123" s="4" t="s">
        <v>101</v>
      </c>
      <c r="I123" s="4" t="s">
        <v>102</v>
      </c>
      <c r="J123" s="4" t="s">
        <v>103</v>
      </c>
      <c r="K123" s="4" t="s">
        <v>104</v>
      </c>
      <c r="L123" s="4" t="s">
        <v>105</v>
      </c>
      <c r="M123" s="4" t="s">
        <v>106</v>
      </c>
      <c r="N123" s="4" t="s">
        <v>107</v>
      </c>
      <c r="O123" s="4" t="s">
        <v>108</v>
      </c>
      <c r="P123" s="4" t="s">
        <v>109</v>
      </c>
      <c r="Q123" s="4" t="s">
        <v>110</v>
      </c>
      <c r="R123" s="4" t="s">
        <v>111</v>
      </c>
      <c r="S123" s="4" t="s">
        <v>112</v>
      </c>
      <c r="T123" s="4" t="s">
        <v>113</v>
      </c>
      <c r="U123" s="4" t="s">
        <v>114</v>
      </c>
      <c r="V123" s="4" t="s">
        <v>115</v>
      </c>
      <c r="W123" s="4" t="s">
        <v>116</v>
      </c>
      <c r="X123" s="4" t="s">
        <v>117</v>
      </c>
      <c r="Y123" s="4" t="s">
        <v>118</v>
      </c>
      <c r="Z123" s="4" t="s">
        <v>119</v>
      </c>
      <c r="AA123" s="4" t="s">
        <v>120</v>
      </c>
      <c r="AB123" s="4" t="s">
        <v>121</v>
      </c>
      <c r="AC123" s="4" t="s">
        <v>122</v>
      </c>
      <c r="AD123" s="4" t="s">
        <v>123</v>
      </c>
      <c r="AE123" s="4" t="s">
        <v>124</v>
      </c>
      <c r="AF123" s="4" t="s">
        <v>125</v>
      </c>
      <c r="AG123" s="4" t="s">
        <v>126</v>
      </c>
      <c r="AH123" s="4" t="s">
        <v>127</v>
      </c>
      <c r="AI123" s="4" t="s">
        <v>128</v>
      </c>
      <c r="AJ123" s="4" t="s">
        <v>129</v>
      </c>
      <c r="AK123" s="4" t="s">
        <v>130</v>
      </c>
      <c r="AL123" s="4" t="s">
        <v>131</v>
      </c>
      <c r="AM123" s="4" t="s">
        <v>132</v>
      </c>
      <c r="AN123" s="4" t="s">
        <v>133</v>
      </c>
      <c r="AO123" s="4" t="s">
        <v>134</v>
      </c>
      <c r="AP123" s="4" t="s">
        <v>135</v>
      </c>
      <c r="AQ123" s="4" t="s">
        <v>136</v>
      </c>
      <c r="AR123" s="4" t="s">
        <v>137</v>
      </c>
      <c r="AS123" s="4" t="s">
        <v>138</v>
      </c>
      <c r="AT123" s="4" t="s">
        <v>139</v>
      </c>
      <c r="AU123" s="4" t="s">
        <v>140</v>
      </c>
      <c r="AV123" s="4" t="s">
        <v>141</v>
      </c>
      <c r="AW123" s="4" t="s">
        <v>142</v>
      </c>
      <c r="AX123" s="4" t="s">
        <v>143</v>
      </c>
      <c r="AY123" s="4" t="s">
        <v>144</v>
      </c>
      <c r="AZ123" s="4" t="s">
        <v>145</v>
      </c>
      <c r="BA123" s="4" t="s">
        <v>146</v>
      </c>
      <c r="BB123" s="4" t="s">
        <v>147</v>
      </c>
      <c r="BC123" s="4" t="s">
        <v>148</v>
      </c>
      <c r="BD123" s="4" t="s">
        <v>149</v>
      </c>
      <c r="BE123" s="4" t="s">
        <v>150</v>
      </c>
      <c r="BF123" s="4" t="s">
        <v>151</v>
      </c>
      <c r="BG123" s="4" t="s">
        <v>152</v>
      </c>
      <c r="BH123" s="4" t="s">
        <v>153</v>
      </c>
      <c r="BI123" s="4" t="s">
        <v>154</v>
      </c>
      <c r="BJ123" s="4" t="s">
        <v>155</v>
      </c>
      <c r="BK123" s="4" t="s">
        <v>156</v>
      </c>
      <c r="BL123" s="4" t="s">
        <v>157</v>
      </c>
      <c r="BM123" s="4" t="s">
        <v>158</v>
      </c>
      <c r="BN123" s="4" t="s">
        <v>159</v>
      </c>
      <c r="BO123" s="4" t="s">
        <v>160</v>
      </c>
      <c r="BP123" s="4" t="s">
        <v>161</v>
      </c>
      <c r="BQ123" s="4" t="s">
        <v>162</v>
      </c>
      <c r="BR123" s="4" t="s">
        <v>163</v>
      </c>
      <c r="BS123" s="4" t="s">
        <v>164</v>
      </c>
      <c r="BT123" s="4" t="s">
        <v>165</v>
      </c>
      <c r="BU123" s="4" t="s">
        <v>166</v>
      </c>
      <c r="BV123" s="4" t="s">
        <v>167</v>
      </c>
      <c r="BW123" s="4" t="s">
        <v>168</v>
      </c>
      <c r="BX123" s="4" t="s">
        <v>169</v>
      </c>
      <c r="BY123" s="4" t="s">
        <v>170</v>
      </c>
      <c r="BZ123" s="4" t="s">
        <v>171</v>
      </c>
      <c r="CA123" s="4" t="s">
        <v>172</v>
      </c>
      <c r="CB123" s="4" t="s">
        <v>173</v>
      </c>
      <c r="CC123" s="4" t="s">
        <v>174</v>
      </c>
      <c r="CD123" s="4" t="s">
        <v>175</v>
      </c>
      <c r="CE123" s="4" t="s">
        <v>176</v>
      </c>
      <c r="CF123" s="4" t="s">
        <v>177</v>
      </c>
      <c r="CG123" s="4" t="s">
        <v>178</v>
      </c>
      <c r="CH123" s="4" t="s">
        <v>179</v>
      </c>
      <c r="CI123" s="4" t="s">
        <v>180</v>
      </c>
      <c r="CJ123" s="4" t="s">
        <v>181</v>
      </c>
      <c r="CK123" s="4" t="s">
        <v>182</v>
      </c>
      <c r="CL123" s="4" t="s">
        <v>183</v>
      </c>
      <c r="CM123" s="4" t="s">
        <v>184</v>
      </c>
      <c r="CN123" s="4" t="s">
        <v>185</v>
      </c>
      <c r="CO123" s="4" t="s">
        <v>186</v>
      </c>
      <c r="CP123" s="4" t="s">
        <v>187</v>
      </c>
      <c r="CQ123" s="4" t="s">
        <v>188</v>
      </c>
      <c r="CR123" s="4" t="s">
        <v>189</v>
      </c>
      <c r="CS123" s="4" t="s">
        <v>190</v>
      </c>
      <c r="CT123" s="4" t="s">
        <v>191</v>
      </c>
      <c r="CU123" s="4" t="s">
        <v>192</v>
      </c>
    </row>
    <row r="124" spans="1:99" x14ac:dyDescent="0.2">
      <c r="A124" s="4" t="s">
        <v>38</v>
      </c>
      <c r="B124" s="1">
        <v>0</v>
      </c>
      <c r="C124" s="1">
        <v>25.5</v>
      </c>
      <c r="D124" s="1">
        <f>B124/3600</f>
        <v>0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>
        <v>1644</v>
      </c>
      <c r="AP124" s="1">
        <v>1804</v>
      </c>
      <c r="AQ124" s="1">
        <v>1807</v>
      </c>
      <c r="AR124" s="1">
        <v>1813</v>
      </c>
      <c r="AS124" s="1">
        <v>2017</v>
      </c>
      <c r="AT124" s="1">
        <v>1843</v>
      </c>
      <c r="AU124" s="1">
        <v>2198</v>
      </c>
      <c r="AV124" s="1">
        <v>1831</v>
      </c>
      <c r="AW124" s="1">
        <v>2695</v>
      </c>
      <c r="AX124" s="1"/>
      <c r="AY124" s="1"/>
      <c r="AZ124" s="1"/>
      <c r="BA124" s="1">
        <v>1795</v>
      </c>
      <c r="BB124" s="1">
        <v>1723</v>
      </c>
      <c r="BC124" s="1">
        <v>1779</v>
      </c>
      <c r="BD124" s="1">
        <v>1883</v>
      </c>
      <c r="BE124" s="1">
        <v>2115</v>
      </c>
      <c r="BF124" s="1">
        <v>2021</v>
      </c>
      <c r="BG124" s="1">
        <v>2354</v>
      </c>
      <c r="BH124" s="1">
        <v>1675</v>
      </c>
      <c r="BI124" s="1">
        <v>2190</v>
      </c>
      <c r="BJ124" s="1"/>
      <c r="BK124" s="1"/>
      <c r="BL124" s="1"/>
      <c r="BM124" s="1">
        <v>1822</v>
      </c>
      <c r="BN124" s="1">
        <v>1668</v>
      </c>
      <c r="BO124" s="1">
        <v>1600</v>
      </c>
      <c r="BP124" s="1">
        <v>1793</v>
      </c>
      <c r="BQ124" s="1">
        <v>2049</v>
      </c>
      <c r="BR124" s="1">
        <v>1980</v>
      </c>
      <c r="BS124" s="1">
        <v>2064</v>
      </c>
      <c r="BT124" s="1">
        <v>1646</v>
      </c>
      <c r="BU124" s="1">
        <v>2555</v>
      </c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</row>
    <row r="125" spans="1:99" x14ac:dyDescent="0.2">
      <c r="A125" s="4" t="s">
        <v>39</v>
      </c>
      <c r="B125" s="1">
        <v>856.55799999999999</v>
      </c>
      <c r="C125" s="1">
        <v>27.7</v>
      </c>
      <c r="D125" s="1">
        <f t="shared" ref="D125:D158" si="1">B125/3600</f>
        <v>0.23793277777777777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>
        <v>1591</v>
      </c>
      <c r="AP125" s="1">
        <v>1785</v>
      </c>
      <c r="AQ125" s="1">
        <v>1791</v>
      </c>
      <c r="AR125" s="1">
        <v>1834</v>
      </c>
      <c r="AS125" s="1">
        <v>1968</v>
      </c>
      <c r="AT125" s="1">
        <v>1809</v>
      </c>
      <c r="AU125" s="1">
        <v>2154</v>
      </c>
      <c r="AV125" s="1">
        <v>1795</v>
      </c>
      <c r="AW125" s="1">
        <v>2704</v>
      </c>
      <c r="AX125" s="1"/>
      <c r="AY125" s="1"/>
      <c r="AZ125" s="1"/>
      <c r="BA125" s="1">
        <v>1824</v>
      </c>
      <c r="BB125" s="1">
        <v>1710</v>
      </c>
      <c r="BC125" s="1">
        <v>1785</v>
      </c>
      <c r="BD125" s="1">
        <v>1904</v>
      </c>
      <c r="BE125" s="1">
        <v>2090</v>
      </c>
      <c r="BF125" s="1">
        <v>2067</v>
      </c>
      <c r="BG125" s="1">
        <v>2332</v>
      </c>
      <c r="BH125" s="1">
        <v>1597</v>
      </c>
      <c r="BI125" s="1">
        <v>2212</v>
      </c>
      <c r="BJ125" s="1"/>
      <c r="BK125" s="1"/>
      <c r="BL125" s="1"/>
      <c r="BM125" s="1">
        <v>1841</v>
      </c>
      <c r="BN125" s="1">
        <v>1684</v>
      </c>
      <c r="BO125" s="1">
        <v>1624</v>
      </c>
      <c r="BP125" s="1">
        <v>1813</v>
      </c>
      <c r="BQ125" s="1">
        <v>2021</v>
      </c>
      <c r="BR125" s="1">
        <v>1945</v>
      </c>
      <c r="BS125" s="1">
        <v>2034</v>
      </c>
      <c r="BT125" s="1">
        <v>1609</v>
      </c>
      <c r="BU125" s="1">
        <v>2633</v>
      </c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</row>
    <row r="126" spans="1:99" x14ac:dyDescent="0.2">
      <c r="A126" s="4" t="s">
        <v>40</v>
      </c>
      <c r="B126" s="1">
        <v>1712.5909999999999</v>
      </c>
      <c r="C126" s="1">
        <v>30.6</v>
      </c>
      <c r="D126" s="1">
        <f t="shared" si="1"/>
        <v>0.4757197222222222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>
        <v>1563</v>
      </c>
      <c r="AP126" s="1">
        <v>1749</v>
      </c>
      <c r="AQ126" s="1">
        <v>1749</v>
      </c>
      <c r="AR126" s="1">
        <v>1775</v>
      </c>
      <c r="AS126" s="1">
        <v>1902</v>
      </c>
      <c r="AT126" s="1">
        <v>1745</v>
      </c>
      <c r="AU126" s="1">
        <v>2124</v>
      </c>
      <c r="AV126" s="1">
        <v>1756</v>
      </c>
      <c r="AW126" s="1">
        <v>2572</v>
      </c>
      <c r="AX126" s="1"/>
      <c r="AY126" s="1"/>
      <c r="AZ126" s="1"/>
      <c r="BA126" s="1">
        <v>1711</v>
      </c>
      <c r="BB126" s="1">
        <v>1632</v>
      </c>
      <c r="BC126" s="1">
        <v>1703</v>
      </c>
      <c r="BD126" s="1">
        <v>1820</v>
      </c>
      <c r="BE126" s="1">
        <v>1992</v>
      </c>
      <c r="BF126" s="1">
        <v>1945</v>
      </c>
      <c r="BG126" s="1">
        <v>2220</v>
      </c>
      <c r="BH126" s="1">
        <v>1558</v>
      </c>
      <c r="BI126" s="1">
        <v>2096</v>
      </c>
      <c r="BJ126" s="1"/>
      <c r="BK126" s="1"/>
      <c r="BL126" s="1"/>
      <c r="BM126" s="1">
        <v>1754</v>
      </c>
      <c r="BN126" s="1">
        <v>1640</v>
      </c>
      <c r="BO126" s="1">
        <v>1585</v>
      </c>
      <c r="BP126" s="1">
        <v>1754</v>
      </c>
      <c r="BQ126" s="1">
        <v>1970</v>
      </c>
      <c r="BR126" s="1">
        <v>1890</v>
      </c>
      <c r="BS126" s="1">
        <v>1998</v>
      </c>
      <c r="BT126" s="1">
        <v>1556</v>
      </c>
      <c r="BU126" s="1">
        <v>2583</v>
      </c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</row>
    <row r="127" spans="1:99" x14ac:dyDescent="0.2">
      <c r="A127" s="4" t="s">
        <v>41</v>
      </c>
      <c r="B127" s="1">
        <v>2568.7759999999998</v>
      </c>
      <c r="C127" s="1">
        <v>33</v>
      </c>
      <c r="D127" s="1">
        <f t="shared" si="1"/>
        <v>0.7135488888888889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>
        <v>1525</v>
      </c>
      <c r="AP127" s="1">
        <v>1713</v>
      </c>
      <c r="AQ127" s="1">
        <v>1745</v>
      </c>
      <c r="AR127" s="1">
        <v>1731</v>
      </c>
      <c r="AS127" s="1">
        <v>1883</v>
      </c>
      <c r="AT127" s="1">
        <v>1703</v>
      </c>
      <c r="AU127" s="1">
        <v>2027</v>
      </c>
      <c r="AV127" s="1">
        <v>1661</v>
      </c>
      <c r="AW127" s="1">
        <v>2489</v>
      </c>
      <c r="AX127" s="1"/>
      <c r="AY127" s="1"/>
      <c r="AZ127" s="1"/>
      <c r="BA127" s="1">
        <v>1690</v>
      </c>
      <c r="BB127" s="1">
        <v>1589</v>
      </c>
      <c r="BC127" s="1">
        <v>1686</v>
      </c>
      <c r="BD127" s="1">
        <v>1769</v>
      </c>
      <c r="BE127" s="1">
        <v>1988</v>
      </c>
      <c r="BF127" s="1">
        <v>1937</v>
      </c>
      <c r="BG127" s="1">
        <v>2196</v>
      </c>
      <c r="BH127" s="1">
        <v>1548</v>
      </c>
      <c r="BI127" s="1">
        <v>2053</v>
      </c>
      <c r="BJ127" s="1"/>
      <c r="BK127" s="1"/>
      <c r="BL127" s="1"/>
      <c r="BM127" s="1">
        <v>1728</v>
      </c>
      <c r="BN127" s="1">
        <v>1563</v>
      </c>
      <c r="BO127" s="1">
        <v>1546</v>
      </c>
      <c r="BP127" s="1">
        <v>1696</v>
      </c>
      <c r="BQ127" s="1">
        <v>1910</v>
      </c>
      <c r="BR127" s="1">
        <v>1847</v>
      </c>
      <c r="BS127" s="1">
        <v>1940</v>
      </c>
      <c r="BT127" s="1">
        <v>1522</v>
      </c>
      <c r="BU127" s="1">
        <v>2479</v>
      </c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</row>
    <row r="128" spans="1:99" x14ac:dyDescent="0.2">
      <c r="A128" s="4" t="s">
        <v>42</v>
      </c>
      <c r="B128" s="1">
        <v>3424.9659999999999</v>
      </c>
      <c r="C128" s="1">
        <v>35.6</v>
      </c>
      <c r="D128" s="1">
        <f t="shared" si="1"/>
        <v>0.95137944444444444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>
        <v>1518</v>
      </c>
      <c r="AP128" s="1">
        <v>1695</v>
      </c>
      <c r="AQ128" s="1">
        <v>1699</v>
      </c>
      <c r="AR128" s="1">
        <v>1725</v>
      </c>
      <c r="AS128" s="1">
        <v>1900</v>
      </c>
      <c r="AT128" s="1">
        <v>1679</v>
      </c>
      <c r="AU128" s="1">
        <v>2063</v>
      </c>
      <c r="AV128" s="1">
        <v>1641</v>
      </c>
      <c r="AW128" s="1">
        <v>2516</v>
      </c>
      <c r="AX128" s="1"/>
      <c r="AY128" s="1"/>
      <c r="AZ128" s="1"/>
      <c r="BA128" s="1">
        <v>1698</v>
      </c>
      <c r="BB128" s="1">
        <v>1583</v>
      </c>
      <c r="BC128" s="1">
        <v>1688</v>
      </c>
      <c r="BD128" s="1">
        <v>1759</v>
      </c>
      <c r="BE128" s="1">
        <v>2035</v>
      </c>
      <c r="BF128" s="1">
        <v>1960</v>
      </c>
      <c r="BG128" s="1">
        <v>2235</v>
      </c>
      <c r="BH128" s="1">
        <v>1520</v>
      </c>
      <c r="BI128" s="1">
        <v>2094</v>
      </c>
      <c r="BJ128" s="1"/>
      <c r="BK128" s="1"/>
      <c r="BL128" s="1"/>
      <c r="BM128" s="1">
        <v>1692</v>
      </c>
      <c r="BN128" s="1">
        <v>1544</v>
      </c>
      <c r="BO128" s="1">
        <v>1508</v>
      </c>
      <c r="BP128" s="1">
        <v>1692</v>
      </c>
      <c r="BQ128" s="1">
        <v>1953</v>
      </c>
      <c r="BR128" s="1">
        <v>1861</v>
      </c>
      <c r="BS128" s="1">
        <v>1949</v>
      </c>
      <c r="BT128" s="1">
        <v>1512</v>
      </c>
      <c r="BU128" s="1">
        <v>2502</v>
      </c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</row>
    <row r="129" spans="1:99" x14ac:dyDescent="0.2">
      <c r="A129" s="4" t="s">
        <v>43</v>
      </c>
      <c r="B129" s="1">
        <v>4280.9219999999996</v>
      </c>
      <c r="C129" s="1">
        <v>36.799999999999997</v>
      </c>
      <c r="D129" s="1">
        <f t="shared" si="1"/>
        <v>1.1891449999999999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>
        <v>1524</v>
      </c>
      <c r="AP129" s="1">
        <v>1652</v>
      </c>
      <c r="AQ129" s="1">
        <v>1666</v>
      </c>
      <c r="AR129" s="1">
        <v>1712</v>
      </c>
      <c r="AS129" s="1">
        <v>1944</v>
      </c>
      <c r="AT129" s="1">
        <v>1723</v>
      </c>
      <c r="AU129" s="1">
        <v>2099</v>
      </c>
      <c r="AV129" s="1">
        <v>1618</v>
      </c>
      <c r="AW129" s="1">
        <v>2587</v>
      </c>
      <c r="AX129" s="1"/>
      <c r="AY129" s="1"/>
      <c r="AZ129" s="1"/>
      <c r="BA129" s="1">
        <v>1655</v>
      </c>
      <c r="BB129" s="1">
        <v>1581</v>
      </c>
      <c r="BC129" s="1">
        <v>1672</v>
      </c>
      <c r="BD129" s="1">
        <v>1733</v>
      </c>
      <c r="BE129" s="1">
        <v>2088</v>
      </c>
      <c r="BF129" s="1">
        <v>1933</v>
      </c>
      <c r="BG129" s="1">
        <v>2275</v>
      </c>
      <c r="BH129" s="1">
        <v>1491</v>
      </c>
      <c r="BI129" s="1">
        <v>2166</v>
      </c>
      <c r="BJ129" s="1"/>
      <c r="BK129" s="1"/>
      <c r="BL129" s="1"/>
      <c r="BM129" s="1">
        <v>1674</v>
      </c>
      <c r="BN129" s="1">
        <v>1512</v>
      </c>
      <c r="BO129" s="1">
        <v>1484</v>
      </c>
      <c r="BP129" s="1">
        <v>1645</v>
      </c>
      <c r="BQ129" s="1">
        <v>2005</v>
      </c>
      <c r="BR129" s="1">
        <v>1864</v>
      </c>
      <c r="BS129" s="1">
        <v>2041</v>
      </c>
      <c r="BT129" s="1">
        <v>1462</v>
      </c>
      <c r="BU129" s="1">
        <v>2651</v>
      </c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</row>
    <row r="130" spans="1:99" x14ac:dyDescent="0.2">
      <c r="A130" s="4" t="s">
        <v>44</v>
      </c>
      <c r="B130" s="1">
        <v>5137.12</v>
      </c>
      <c r="C130" s="1">
        <v>38.4</v>
      </c>
      <c r="D130" s="1">
        <f t="shared" si="1"/>
        <v>1.4269777777777777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>
        <v>1486</v>
      </c>
      <c r="AP130" s="1">
        <v>1612</v>
      </c>
      <c r="AQ130" s="1">
        <v>1641</v>
      </c>
      <c r="AR130" s="1">
        <v>1668</v>
      </c>
      <c r="AS130" s="1">
        <v>1886</v>
      </c>
      <c r="AT130" s="1">
        <v>1671</v>
      </c>
      <c r="AU130" s="1">
        <v>2070</v>
      </c>
      <c r="AV130" s="1">
        <v>1585</v>
      </c>
      <c r="AW130" s="1">
        <v>2560</v>
      </c>
      <c r="AX130" s="1"/>
      <c r="AY130" s="1"/>
      <c r="AZ130" s="1"/>
      <c r="BA130" s="1">
        <v>1633</v>
      </c>
      <c r="BB130" s="1">
        <v>1529</v>
      </c>
      <c r="BC130" s="1">
        <v>1634</v>
      </c>
      <c r="BD130" s="1">
        <v>1686</v>
      </c>
      <c r="BE130" s="1">
        <v>2011</v>
      </c>
      <c r="BF130" s="1">
        <v>1930</v>
      </c>
      <c r="BG130" s="1">
        <v>2302</v>
      </c>
      <c r="BH130" s="1">
        <v>1490</v>
      </c>
      <c r="BI130" s="1">
        <v>2182</v>
      </c>
      <c r="BJ130" s="1"/>
      <c r="BK130" s="1"/>
      <c r="BL130" s="1"/>
      <c r="BM130" s="1">
        <v>1627</v>
      </c>
      <c r="BN130" s="1">
        <v>1500</v>
      </c>
      <c r="BO130" s="1">
        <v>1433</v>
      </c>
      <c r="BP130" s="1">
        <v>1640</v>
      </c>
      <c r="BQ130" s="1">
        <v>2018</v>
      </c>
      <c r="BR130" s="1">
        <v>1855</v>
      </c>
      <c r="BS130" s="1">
        <v>2100</v>
      </c>
      <c r="BT130" s="1">
        <v>1441</v>
      </c>
      <c r="BU130" s="1">
        <v>2642</v>
      </c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</row>
    <row r="131" spans="1:99" x14ac:dyDescent="0.2">
      <c r="A131" s="4" t="s">
        <v>45</v>
      </c>
      <c r="B131" s="1">
        <v>5993.308</v>
      </c>
      <c r="C131" s="1">
        <v>35.4</v>
      </c>
      <c r="D131" s="1">
        <f t="shared" si="1"/>
        <v>1.6648077777777779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>
        <v>1525</v>
      </c>
      <c r="AP131" s="1">
        <v>1635</v>
      </c>
      <c r="AQ131" s="1">
        <v>1669</v>
      </c>
      <c r="AR131" s="1">
        <v>1667</v>
      </c>
      <c r="AS131" s="1">
        <v>1967</v>
      </c>
      <c r="AT131" s="1">
        <v>1718</v>
      </c>
      <c r="AU131" s="1">
        <v>2151</v>
      </c>
      <c r="AV131" s="1">
        <v>1610</v>
      </c>
      <c r="AW131" s="1">
        <v>2771</v>
      </c>
      <c r="AX131" s="1"/>
      <c r="AY131" s="1"/>
      <c r="AZ131" s="1"/>
      <c r="BA131" s="1">
        <v>1617</v>
      </c>
      <c r="BB131" s="1">
        <v>1537</v>
      </c>
      <c r="BC131" s="1">
        <v>1605</v>
      </c>
      <c r="BD131" s="1">
        <v>1698</v>
      </c>
      <c r="BE131" s="1">
        <v>2093</v>
      </c>
      <c r="BF131" s="1">
        <v>1960</v>
      </c>
      <c r="BG131" s="1">
        <v>2429</v>
      </c>
      <c r="BH131" s="1">
        <v>1444</v>
      </c>
      <c r="BI131" s="1">
        <v>2409</v>
      </c>
      <c r="BJ131" s="1"/>
      <c r="BK131" s="1"/>
      <c r="BL131" s="1"/>
      <c r="BM131" s="1">
        <v>1699</v>
      </c>
      <c r="BN131" s="1">
        <v>1511</v>
      </c>
      <c r="BO131" s="1">
        <v>1473</v>
      </c>
      <c r="BP131" s="1">
        <v>1643</v>
      </c>
      <c r="BQ131" s="1">
        <v>2072</v>
      </c>
      <c r="BR131" s="1">
        <v>1972</v>
      </c>
      <c r="BS131" s="1">
        <v>2215</v>
      </c>
      <c r="BT131" s="1">
        <v>1441</v>
      </c>
      <c r="BU131" s="1">
        <v>2920</v>
      </c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</row>
    <row r="132" spans="1:99" x14ac:dyDescent="0.2">
      <c r="A132" s="4" t="s">
        <v>46</v>
      </c>
      <c r="B132" s="1">
        <v>6849.28</v>
      </c>
      <c r="C132" s="1">
        <v>36.799999999999997</v>
      </c>
      <c r="D132" s="1">
        <f t="shared" si="1"/>
        <v>1.9025777777777777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>
        <v>1528</v>
      </c>
      <c r="AP132" s="1">
        <v>1633</v>
      </c>
      <c r="AQ132" s="1">
        <v>1664</v>
      </c>
      <c r="AR132" s="1">
        <v>1703</v>
      </c>
      <c r="AS132" s="1">
        <v>2026</v>
      </c>
      <c r="AT132" s="1">
        <v>1752</v>
      </c>
      <c r="AU132" s="1">
        <v>2213</v>
      </c>
      <c r="AV132" s="1">
        <v>1604</v>
      </c>
      <c r="AW132" s="1">
        <v>2817</v>
      </c>
      <c r="AX132" s="1"/>
      <c r="AY132" s="1"/>
      <c r="AZ132" s="1"/>
      <c r="BA132" s="1">
        <v>1578</v>
      </c>
      <c r="BB132" s="1">
        <v>1544</v>
      </c>
      <c r="BC132" s="1">
        <v>1628</v>
      </c>
      <c r="BD132" s="1">
        <v>1752</v>
      </c>
      <c r="BE132" s="1">
        <v>2178</v>
      </c>
      <c r="BF132" s="1">
        <v>2023</v>
      </c>
      <c r="BG132" s="1">
        <v>2588</v>
      </c>
      <c r="BH132" s="1">
        <v>1462</v>
      </c>
      <c r="BI132" s="1">
        <v>2521</v>
      </c>
      <c r="BJ132" s="1"/>
      <c r="BK132" s="1"/>
      <c r="BL132" s="1"/>
      <c r="BM132" s="1">
        <v>1668</v>
      </c>
      <c r="BN132" s="1">
        <v>1507</v>
      </c>
      <c r="BO132" s="1">
        <v>1512</v>
      </c>
      <c r="BP132" s="1">
        <v>1655</v>
      </c>
      <c r="BQ132" s="1">
        <v>2163</v>
      </c>
      <c r="BR132" s="1">
        <v>2009</v>
      </c>
      <c r="BS132" s="1">
        <v>2327</v>
      </c>
      <c r="BT132" s="1">
        <v>1442</v>
      </c>
      <c r="BU132" s="1">
        <v>3059</v>
      </c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</row>
    <row r="133" spans="1:99" x14ac:dyDescent="0.2">
      <c r="A133" s="4" t="s">
        <v>47</v>
      </c>
      <c r="B133" s="1">
        <v>7705.3580000000002</v>
      </c>
      <c r="C133" s="1">
        <v>37</v>
      </c>
      <c r="D133" s="1">
        <f t="shared" si="1"/>
        <v>2.1403772222222224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>
        <v>1515</v>
      </c>
      <c r="AP133" s="1">
        <v>1600</v>
      </c>
      <c r="AQ133" s="1">
        <v>1668</v>
      </c>
      <c r="AR133" s="1">
        <v>1661</v>
      </c>
      <c r="AS133" s="1">
        <v>2055</v>
      </c>
      <c r="AT133" s="1">
        <v>1790</v>
      </c>
      <c r="AU133" s="1">
        <v>2228</v>
      </c>
      <c r="AV133" s="1">
        <v>1616</v>
      </c>
      <c r="AW133" s="1">
        <v>2828</v>
      </c>
      <c r="AX133" s="1"/>
      <c r="AY133" s="1"/>
      <c r="AZ133" s="1"/>
      <c r="BA133" s="1">
        <v>1568</v>
      </c>
      <c r="BB133" s="1">
        <v>1501</v>
      </c>
      <c r="BC133" s="1">
        <v>1630</v>
      </c>
      <c r="BD133" s="1">
        <v>1723</v>
      </c>
      <c r="BE133" s="1">
        <v>2208</v>
      </c>
      <c r="BF133" s="1">
        <v>2009</v>
      </c>
      <c r="BG133" s="1">
        <v>2609</v>
      </c>
      <c r="BH133" s="1">
        <v>1429</v>
      </c>
      <c r="BI133" s="1">
        <v>2604</v>
      </c>
      <c r="BJ133" s="1"/>
      <c r="BK133" s="1"/>
      <c r="BL133" s="1"/>
      <c r="BM133" s="1">
        <v>1686</v>
      </c>
      <c r="BN133" s="1">
        <v>1488</v>
      </c>
      <c r="BO133" s="1">
        <v>1508</v>
      </c>
      <c r="BP133" s="1">
        <v>1651</v>
      </c>
      <c r="BQ133" s="1">
        <v>2196</v>
      </c>
      <c r="BR133" s="1">
        <v>2027</v>
      </c>
      <c r="BS133" s="1">
        <v>2466</v>
      </c>
      <c r="BT133" s="1">
        <v>1443</v>
      </c>
      <c r="BU133" s="1">
        <v>3264</v>
      </c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</row>
    <row r="134" spans="1:99" x14ac:dyDescent="0.2">
      <c r="A134" s="4" t="s">
        <v>48</v>
      </c>
      <c r="B134" s="1">
        <v>8561.5820000000003</v>
      </c>
      <c r="C134" s="1">
        <v>35.5</v>
      </c>
      <c r="D134" s="1">
        <f t="shared" si="1"/>
        <v>2.3782172222222222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>
        <v>1568</v>
      </c>
      <c r="AP134" s="1">
        <v>1620</v>
      </c>
      <c r="AQ134" s="1">
        <v>1676</v>
      </c>
      <c r="AR134" s="1">
        <v>1732</v>
      </c>
      <c r="AS134" s="1">
        <v>2144</v>
      </c>
      <c r="AT134" s="1">
        <v>1827</v>
      </c>
      <c r="AU134" s="1">
        <v>2334</v>
      </c>
      <c r="AV134" s="1">
        <v>1585</v>
      </c>
      <c r="AW134" s="1">
        <v>3037</v>
      </c>
      <c r="AX134" s="1"/>
      <c r="AY134" s="1"/>
      <c r="AZ134" s="1"/>
      <c r="BA134" s="1">
        <v>1598</v>
      </c>
      <c r="BB134" s="1">
        <v>1534</v>
      </c>
      <c r="BC134" s="1">
        <v>1686</v>
      </c>
      <c r="BD134" s="1">
        <v>1769</v>
      </c>
      <c r="BE134" s="1">
        <v>2317</v>
      </c>
      <c r="BF134" s="1">
        <v>2091</v>
      </c>
      <c r="BG134" s="1">
        <v>2749</v>
      </c>
      <c r="BH134" s="1">
        <v>1470</v>
      </c>
      <c r="BI134" s="1">
        <v>2913</v>
      </c>
      <c r="BJ134" s="1"/>
      <c r="BK134" s="1"/>
      <c r="BL134" s="1"/>
      <c r="BM134" s="1">
        <v>1739</v>
      </c>
      <c r="BN134" s="1">
        <v>1508</v>
      </c>
      <c r="BO134" s="1">
        <v>1534</v>
      </c>
      <c r="BP134" s="1">
        <v>1689</v>
      </c>
      <c r="BQ134" s="1">
        <v>2344</v>
      </c>
      <c r="BR134" s="1">
        <v>2140</v>
      </c>
      <c r="BS134" s="1">
        <v>2660</v>
      </c>
      <c r="BT134" s="1">
        <v>1462</v>
      </c>
      <c r="BU134" s="1">
        <v>3644</v>
      </c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</row>
    <row r="135" spans="1:99" x14ac:dyDescent="0.2">
      <c r="A135" s="4" t="s">
        <v>49</v>
      </c>
      <c r="B135" s="1">
        <v>9417.5259999999998</v>
      </c>
      <c r="C135" s="1">
        <v>36.9</v>
      </c>
      <c r="D135" s="1">
        <f t="shared" si="1"/>
        <v>2.6159794444444442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>
        <v>1583</v>
      </c>
      <c r="AP135" s="1">
        <v>1626</v>
      </c>
      <c r="AQ135" s="1">
        <v>1694</v>
      </c>
      <c r="AR135" s="1">
        <v>1707</v>
      </c>
      <c r="AS135" s="1">
        <v>2244</v>
      </c>
      <c r="AT135" s="1">
        <v>1911</v>
      </c>
      <c r="AU135" s="1">
        <v>2454</v>
      </c>
      <c r="AV135" s="1">
        <v>1583</v>
      </c>
      <c r="AW135" s="1">
        <v>3175</v>
      </c>
      <c r="AX135" s="1"/>
      <c r="AY135" s="1"/>
      <c r="AZ135" s="1"/>
      <c r="BA135" s="1">
        <v>1577</v>
      </c>
      <c r="BB135" s="1">
        <v>1578</v>
      </c>
      <c r="BC135" s="1">
        <v>1674</v>
      </c>
      <c r="BD135" s="1">
        <v>1781</v>
      </c>
      <c r="BE135" s="1">
        <v>2412</v>
      </c>
      <c r="BF135" s="1">
        <v>2195</v>
      </c>
      <c r="BG135" s="1">
        <v>2964</v>
      </c>
      <c r="BH135" s="1">
        <v>1453</v>
      </c>
      <c r="BI135" s="1">
        <v>3185</v>
      </c>
      <c r="BJ135" s="1"/>
      <c r="BK135" s="1"/>
      <c r="BL135" s="1"/>
      <c r="BM135" s="1">
        <v>1789</v>
      </c>
      <c r="BN135" s="1">
        <v>1524</v>
      </c>
      <c r="BO135" s="1">
        <v>1574</v>
      </c>
      <c r="BP135" s="1">
        <v>1696</v>
      </c>
      <c r="BQ135" s="1">
        <v>2512</v>
      </c>
      <c r="BR135" s="1">
        <v>2277</v>
      </c>
      <c r="BS135" s="1">
        <v>2905</v>
      </c>
      <c r="BT135" s="1">
        <v>1464</v>
      </c>
      <c r="BU135" s="1">
        <v>4098</v>
      </c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</row>
    <row r="136" spans="1:99" x14ac:dyDescent="0.2">
      <c r="A136" s="4" t="s">
        <v>193</v>
      </c>
      <c r="B136" s="1">
        <v>10273.433999999999</v>
      </c>
      <c r="C136" s="1">
        <v>35.4</v>
      </c>
      <c r="D136" s="1">
        <f t="shared" si="1"/>
        <v>2.8537316666666666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>
        <v>1627</v>
      </c>
      <c r="AP136" s="1">
        <v>1620</v>
      </c>
      <c r="AQ136" s="1">
        <v>1754</v>
      </c>
      <c r="AR136" s="1">
        <v>1800</v>
      </c>
      <c r="AS136" s="1">
        <v>2364</v>
      </c>
      <c r="AT136" s="1">
        <v>1995</v>
      </c>
      <c r="AU136" s="1">
        <v>2583</v>
      </c>
      <c r="AV136" s="1">
        <v>1624</v>
      </c>
      <c r="AW136" s="1">
        <v>3379</v>
      </c>
      <c r="AX136" s="1"/>
      <c r="AY136" s="1"/>
      <c r="AZ136" s="1"/>
      <c r="BA136" s="1">
        <v>1614</v>
      </c>
      <c r="BB136" s="1">
        <v>1549</v>
      </c>
      <c r="BC136" s="1">
        <v>1723</v>
      </c>
      <c r="BD136" s="1">
        <v>1842</v>
      </c>
      <c r="BE136" s="1">
        <v>2623</v>
      </c>
      <c r="BF136" s="1">
        <v>2329</v>
      </c>
      <c r="BG136" s="1">
        <v>3186</v>
      </c>
      <c r="BH136" s="1">
        <v>1488</v>
      </c>
      <c r="BI136" s="1">
        <v>3425</v>
      </c>
      <c r="BJ136" s="1"/>
      <c r="BK136" s="1"/>
      <c r="BL136" s="1"/>
      <c r="BM136" s="1">
        <v>1853</v>
      </c>
      <c r="BN136" s="1">
        <v>1531</v>
      </c>
      <c r="BO136" s="1">
        <v>1601</v>
      </c>
      <c r="BP136" s="1">
        <v>1759</v>
      </c>
      <c r="BQ136" s="1">
        <v>2675</v>
      </c>
      <c r="BR136" s="1">
        <v>2366</v>
      </c>
      <c r="BS136" s="1">
        <v>3080</v>
      </c>
      <c r="BT136" s="1">
        <v>1511</v>
      </c>
      <c r="BU136" s="1">
        <v>4644</v>
      </c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</row>
    <row r="137" spans="1:99" x14ac:dyDescent="0.2">
      <c r="A137" s="4" t="s">
        <v>194</v>
      </c>
      <c r="B137" s="1">
        <v>11129.662</v>
      </c>
      <c r="C137" s="1">
        <v>36.799999999999997</v>
      </c>
      <c r="D137" s="1">
        <f t="shared" si="1"/>
        <v>3.0915727777777779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>
        <v>1650</v>
      </c>
      <c r="AP137" s="1">
        <v>1631</v>
      </c>
      <c r="AQ137" s="1">
        <v>1740</v>
      </c>
      <c r="AR137" s="1">
        <v>1772</v>
      </c>
      <c r="AS137" s="1">
        <v>2485</v>
      </c>
      <c r="AT137" s="1">
        <v>2071</v>
      </c>
      <c r="AU137" s="1">
        <v>2724</v>
      </c>
      <c r="AV137" s="1">
        <v>1607</v>
      </c>
      <c r="AW137" s="1">
        <v>3560</v>
      </c>
      <c r="AX137" s="1"/>
      <c r="AY137" s="1"/>
      <c r="AZ137" s="1"/>
      <c r="BA137" s="1">
        <v>1594</v>
      </c>
      <c r="BB137" s="1">
        <v>1555</v>
      </c>
      <c r="BC137" s="1">
        <v>1764</v>
      </c>
      <c r="BD137" s="1">
        <v>1872</v>
      </c>
      <c r="BE137" s="1">
        <v>2799</v>
      </c>
      <c r="BF137" s="1">
        <v>2366</v>
      </c>
      <c r="BG137" s="1">
        <v>3291</v>
      </c>
      <c r="BH137" s="1">
        <v>1490</v>
      </c>
      <c r="BI137" s="1">
        <v>3798</v>
      </c>
      <c r="BJ137" s="1"/>
      <c r="BK137" s="1"/>
      <c r="BL137" s="1"/>
      <c r="BM137" s="1">
        <v>1858</v>
      </c>
      <c r="BN137" s="1">
        <v>1554</v>
      </c>
      <c r="BO137" s="1">
        <v>1655</v>
      </c>
      <c r="BP137" s="1">
        <v>1785</v>
      </c>
      <c r="BQ137" s="1">
        <v>2860</v>
      </c>
      <c r="BR137" s="1">
        <v>2423</v>
      </c>
      <c r="BS137" s="1">
        <v>3205</v>
      </c>
      <c r="BT137" s="1">
        <v>1499</v>
      </c>
      <c r="BU137" s="1">
        <v>5474</v>
      </c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</row>
    <row r="138" spans="1:99" x14ac:dyDescent="0.2">
      <c r="A138" s="4" t="s">
        <v>195</v>
      </c>
      <c r="B138" s="1">
        <v>11985.614</v>
      </c>
      <c r="C138" s="1">
        <v>37</v>
      </c>
      <c r="D138" s="1">
        <f t="shared" si="1"/>
        <v>3.3293372222222222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>
        <v>1647</v>
      </c>
      <c r="AP138" s="1">
        <v>1649</v>
      </c>
      <c r="AQ138" s="1">
        <v>1725</v>
      </c>
      <c r="AR138" s="1">
        <v>1784</v>
      </c>
      <c r="AS138" s="1">
        <v>2460</v>
      </c>
      <c r="AT138" s="1">
        <v>2024</v>
      </c>
      <c r="AU138" s="1">
        <v>2682</v>
      </c>
      <c r="AV138" s="1">
        <v>1635</v>
      </c>
      <c r="AW138" s="1">
        <v>3534</v>
      </c>
      <c r="AX138" s="1"/>
      <c r="AY138" s="1"/>
      <c r="AZ138" s="1"/>
      <c r="BA138" s="1">
        <v>1598</v>
      </c>
      <c r="BB138" s="1">
        <v>1589</v>
      </c>
      <c r="BC138" s="1">
        <v>1729</v>
      </c>
      <c r="BD138" s="1">
        <v>1878</v>
      </c>
      <c r="BE138" s="1">
        <v>2757</v>
      </c>
      <c r="BF138" s="1">
        <v>2347</v>
      </c>
      <c r="BG138" s="1">
        <v>3284</v>
      </c>
      <c r="BH138" s="1">
        <v>1494</v>
      </c>
      <c r="BI138" s="1">
        <v>3904</v>
      </c>
      <c r="BJ138" s="1"/>
      <c r="BK138" s="1"/>
      <c r="BL138" s="1"/>
      <c r="BM138" s="1">
        <v>1862</v>
      </c>
      <c r="BN138" s="1">
        <v>1545</v>
      </c>
      <c r="BO138" s="1">
        <v>1639</v>
      </c>
      <c r="BP138" s="1">
        <v>1797</v>
      </c>
      <c r="BQ138" s="1">
        <v>2844</v>
      </c>
      <c r="BR138" s="1">
        <v>2415</v>
      </c>
      <c r="BS138" s="1">
        <v>3178</v>
      </c>
      <c r="BT138" s="1">
        <v>1543</v>
      </c>
      <c r="BU138" s="1">
        <v>5965</v>
      </c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</row>
    <row r="139" spans="1:99" x14ac:dyDescent="0.2">
      <c r="A139" s="4" t="s">
        <v>196</v>
      </c>
      <c r="B139" s="1">
        <v>12841.536</v>
      </c>
      <c r="C139" s="1">
        <v>35.5</v>
      </c>
      <c r="D139" s="1">
        <f t="shared" si="1"/>
        <v>3.5670933333333332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>
        <v>1710</v>
      </c>
      <c r="AP139" s="1">
        <v>1653</v>
      </c>
      <c r="AQ139" s="1">
        <v>1744</v>
      </c>
      <c r="AR139" s="1">
        <v>1815</v>
      </c>
      <c r="AS139" s="1">
        <v>2543</v>
      </c>
      <c r="AT139" s="1">
        <v>2062</v>
      </c>
      <c r="AU139" s="1">
        <v>2753</v>
      </c>
      <c r="AV139" s="1">
        <v>1654</v>
      </c>
      <c r="AW139" s="1">
        <v>3725</v>
      </c>
      <c r="AX139" s="1"/>
      <c r="AY139" s="1"/>
      <c r="AZ139" s="1"/>
      <c r="BA139" s="1">
        <v>1646</v>
      </c>
      <c r="BB139" s="1">
        <v>1631</v>
      </c>
      <c r="BC139" s="1">
        <v>1791</v>
      </c>
      <c r="BD139" s="1">
        <v>1916</v>
      </c>
      <c r="BE139" s="1">
        <v>2819</v>
      </c>
      <c r="BF139" s="1">
        <v>2405</v>
      </c>
      <c r="BG139" s="1">
        <v>3331</v>
      </c>
      <c r="BH139" s="1">
        <v>1520</v>
      </c>
      <c r="BI139" s="1">
        <v>4267</v>
      </c>
      <c r="BJ139" s="1"/>
      <c r="BK139" s="1"/>
      <c r="BL139" s="1"/>
      <c r="BM139" s="1">
        <v>1932</v>
      </c>
      <c r="BN139" s="1">
        <v>1577</v>
      </c>
      <c r="BO139" s="1">
        <v>1707</v>
      </c>
      <c r="BP139" s="1">
        <v>1836</v>
      </c>
      <c r="BQ139" s="1">
        <v>2957</v>
      </c>
      <c r="BR139" s="1">
        <v>2459</v>
      </c>
      <c r="BS139" s="1">
        <v>3272</v>
      </c>
      <c r="BT139" s="1">
        <v>1569</v>
      </c>
      <c r="BU139" s="1">
        <v>6558</v>
      </c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</row>
    <row r="140" spans="1:99" x14ac:dyDescent="0.2">
      <c r="A140" s="4" t="s">
        <v>197</v>
      </c>
      <c r="B140" s="1">
        <v>13697.79</v>
      </c>
      <c r="C140" s="1">
        <v>36.700000000000003</v>
      </c>
      <c r="D140" s="1">
        <f t="shared" si="1"/>
        <v>3.8049416666666671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>
        <v>1718</v>
      </c>
      <c r="AP140" s="1">
        <v>1679</v>
      </c>
      <c r="AQ140" s="1">
        <v>1779</v>
      </c>
      <c r="AR140" s="1">
        <v>1793</v>
      </c>
      <c r="AS140" s="1">
        <v>2577</v>
      </c>
      <c r="AT140" s="1">
        <v>2100</v>
      </c>
      <c r="AU140" s="1">
        <v>2760</v>
      </c>
      <c r="AV140" s="1">
        <v>1672</v>
      </c>
      <c r="AW140" s="1">
        <v>3889</v>
      </c>
      <c r="AX140" s="1"/>
      <c r="AY140" s="1"/>
      <c r="AZ140" s="1"/>
      <c r="BA140" s="1">
        <v>1651</v>
      </c>
      <c r="BB140" s="1">
        <v>1609</v>
      </c>
      <c r="BC140" s="1">
        <v>1803</v>
      </c>
      <c r="BD140" s="1">
        <v>1896</v>
      </c>
      <c r="BE140" s="1">
        <v>2829</v>
      </c>
      <c r="BF140" s="1">
        <v>2408</v>
      </c>
      <c r="BG140" s="1">
        <v>3366</v>
      </c>
      <c r="BH140" s="1">
        <v>1583</v>
      </c>
      <c r="BI140" s="1">
        <v>4698</v>
      </c>
      <c r="BJ140" s="1"/>
      <c r="BK140" s="1"/>
      <c r="BL140" s="1"/>
      <c r="BM140" s="1">
        <v>1975</v>
      </c>
      <c r="BN140" s="1">
        <v>1605</v>
      </c>
      <c r="BO140" s="1">
        <v>1714</v>
      </c>
      <c r="BP140" s="1">
        <v>1891</v>
      </c>
      <c r="BQ140" s="1">
        <v>2978</v>
      </c>
      <c r="BR140" s="1">
        <v>2463</v>
      </c>
      <c r="BS140" s="1">
        <v>3312</v>
      </c>
      <c r="BT140" s="1">
        <v>1578</v>
      </c>
      <c r="BU140" s="1">
        <v>8152</v>
      </c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</row>
    <row r="141" spans="1:99" x14ac:dyDescent="0.2">
      <c r="A141" s="4" t="s">
        <v>198</v>
      </c>
      <c r="B141" s="1">
        <v>14553.734</v>
      </c>
      <c r="C141" s="1">
        <v>37.1</v>
      </c>
      <c r="D141" s="1">
        <f t="shared" si="1"/>
        <v>4.0427038888888891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>
        <v>1716</v>
      </c>
      <c r="AP141" s="1">
        <v>1668</v>
      </c>
      <c r="AQ141" s="1">
        <v>1799</v>
      </c>
      <c r="AR141" s="1">
        <v>1841</v>
      </c>
      <c r="AS141" s="1">
        <v>2550</v>
      </c>
      <c r="AT141" s="1">
        <v>2052</v>
      </c>
      <c r="AU141" s="1">
        <v>2702</v>
      </c>
      <c r="AV141" s="1">
        <v>1667</v>
      </c>
      <c r="AW141" s="1">
        <v>3821</v>
      </c>
      <c r="AX141" s="1"/>
      <c r="AY141" s="1"/>
      <c r="AZ141" s="1"/>
      <c r="BA141" s="1">
        <v>1649</v>
      </c>
      <c r="BB141" s="1">
        <v>1619</v>
      </c>
      <c r="BC141" s="1">
        <v>1798</v>
      </c>
      <c r="BD141" s="1">
        <v>1929</v>
      </c>
      <c r="BE141" s="1">
        <v>2808</v>
      </c>
      <c r="BF141" s="1">
        <v>2366</v>
      </c>
      <c r="BG141" s="1">
        <v>3296</v>
      </c>
      <c r="BH141" s="1">
        <v>1594</v>
      </c>
      <c r="BI141" s="1">
        <v>4623</v>
      </c>
      <c r="BJ141" s="1"/>
      <c r="BK141" s="1"/>
      <c r="BL141" s="1"/>
      <c r="BM141" s="1">
        <v>1916</v>
      </c>
      <c r="BN141" s="1">
        <v>1626</v>
      </c>
      <c r="BO141" s="1">
        <v>1708</v>
      </c>
      <c r="BP141" s="1">
        <v>1877</v>
      </c>
      <c r="BQ141" s="1">
        <v>2973</v>
      </c>
      <c r="BR141" s="1">
        <v>2422</v>
      </c>
      <c r="BS141" s="1">
        <v>3198</v>
      </c>
      <c r="BT141" s="1">
        <v>1569</v>
      </c>
      <c r="BU141" s="1">
        <v>8247</v>
      </c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</row>
    <row r="142" spans="1:99" x14ac:dyDescent="0.2">
      <c r="A142" s="4" t="s">
        <v>199</v>
      </c>
      <c r="B142" s="1">
        <v>15409.664000000001</v>
      </c>
      <c r="C142" s="1">
        <v>35.6</v>
      </c>
      <c r="D142" s="1">
        <f t="shared" si="1"/>
        <v>4.2804622222222228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>
        <v>1768</v>
      </c>
      <c r="AP142" s="1">
        <v>1755</v>
      </c>
      <c r="AQ142" s="1">
        <v>1817</v>
      </c>
      <c r="AR142" s="1">
        <v>1858</v>
      </c>
      <c r="AS142" s="1">
        <v>2631</v>
      </c>
      <c r="AT142" s="1">
        <v>2117</v>
      </c>
      <c r="AU142" s="1">
        <v>2745</v>
      </c>
      <c r="AV142" s="1">
        <v>1698</v>
      </c>
      <c r="AW142" s="1">
        <v>3946</v>
      </c>
      <c r="AX142" s="1"/>
      <c r="AY142" s="1"/>
      <c r="AZ142" s="1"/>
      <c r="BA142" s="1">
        <v>1677</v>
      </c>
      <c r="BB142" s="1">
        <v>1645</v>
      </c>
      <c r="BC142" s="1">
        <v>1844</v>
      </c>
      <c r="BD142" s="1">
        <v>1992</v>
      </c>
      <c r="BE142" s="1">
        <v>2834</v>
      </c>
      <c r="BF142" s="1">
        <v>2448</v>
      </c>
      <c r="BG142" s="1">
        <v>3333</v>
      </c>
      <c r="BH142" s="1">
        <v>1610</v>
      </c>
      <c r="BI142" s="1">
        <v>4696</v>
      </c>
      <c r="BJ142" s="1"/>
      <c r="BK142" s="1"/>
      <c r="BL142" s="1"/>
      <c r="BM142" s="1">
        <v>1995</v>
      </c>
      <c r="BN142" s="1">
        <v>1676</v>
      </c>
      <c r="BO142" s="1">
        <v>1727</v>
      </c>
      <c r="BP142" s="1">
        <v>1919</v>
      </c>
      <c r="BQ142" s="1">
        <v>3019</v>
      </c>
      <c r="BR142" s="1">
        <v>2484</v>
      </c>
      <c r="BS142" s="1">
        <v>3191</v>
      </c>
      <c r="BT142" s="1">
        <v>1569</v>
      </c>
      <c r="BU142" s="1">
        <v>8297</v>
      </c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</row>
    <row r="143" spans="1:99" x14ac:dyDescent="0.2">
      <c r="A143" s="4" t="s">
        <v>200</v>
      </c>
      <c r="B143" s="1">
        <v>16265.904</v>
      </c>
      <c r="C143" s="1">
        <v>36.9</v>
      </c>
      <c r="D143" s="1">
        <f t="shared" si="1"/>
        <v>4.5183066666666667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>
        <v>1769</v>
      </c>
      <c r="AP143" s="1">
        <v>1738</v>
      </c>
      <c r="AQ143" s="1">
        <v>1829</v>
      </c>
      <c r="AR143" s="1">
        <v>1846</v>
      </c>
      <c r="AS143" s="1">
        <v>2566</v>
      </c>
      <c r="AT143" s="1">
        <v>2095</v>
      </c>
      <c r="AU143" s="1">
        <v>2727</v>
      </c>
      <c r="AV143" s="1">
        <v>1720</v>
      </c>
      <c r="AW143" s="1">
        <v>4013</v>
      </c>
      <c r="AX143" s="1"/>
      <c r="AY143" s="1"/>
      <c r="AZ143" s="1"/>
      <c r="BA143" s="1">
        <v>1713</v>
      </c>
      <c r="BB143" s="1">
        <v>1691</v>
      </c>
      <c r="BC143" s="1">
        <v>1844</v>
      </c>
      <c r="BD143" s="1">
        <v>1976</v>
      </c>
      <c r="BE143" s="1">
        <v>2856</v>
      </c>
      <c r="BF143" s="1">
        <v>2415</v>
      </c>
      <c r="BG143" s="1">
        <v>3274</v>
      </c>
      <c r="BH143" s="1">
        <v>1602</v>
      </c>
      <c r="BI143" s="1">
        <v>4706</v>
      </c>
      <c r="BJ143" s="1"/>
      <c r="BK143" s="1"/>
      <c r="BL143" s="1"/>
      <c r="BM143" s="1">
        <v>2005</v>
      </c>
      <c r="BN143" s="1">
        <v>1674</v>
      </c>
      <c r="BO143" s="1">
        <v>1739</v>
      </c>
      <c r="BP143" s="1">
        <v>1915</v>
      </c>
      <c r="BQ143" s="1">
        <v>2956</v>
      </c>
      <c r="BR143" s="1">
        <v>2395</v>
      </c>
      <c r="BS143" s="1">
        <v>3135</v>
      </c>
      <c r="BT143" s="1">
        <v>1577</v>
      </c>
      <c r="BU143" s="1">
        <v>8311</v>
      </c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</row>
    <row r="144" spans="1:99" x14ac:dyDescent="0.2">
      <c r="A144" s="4" t="s">
        <v>201</v>
      </c>
      <c r="B144" s="1">
        <v>17121.814999999999</v>
      </c>
      <c r="C144" s="1">
        <v>36.9</v>
      </c>
      <c r="D144" s="1">
        <f t="shared" si="1"/>
        <v>4.7560597222222221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>
        <v>1763</v>
      </c>
      <c r="AP144" s="1">
        <v>1708</v>
      </c>
      <c r="AQ144" s="1">
        <v>1801</v>
      </c>
      <c r="AR144" s="1">
        <v>1850</v>
      </c>
      <c r="AS144" s="1">
        <v>2524</v>
      </c>
      <c r="AT144" s="1">
        <v>2051</v>
      </c>
      <c r="AU144" s="1">
        <v>2648</v>
      </c>
      <c r="AV144" s="1">
        <v>1755</v>
      </c>
      <c r="AW144" s="1">
        <v>3914</v>
      </c>
      <c r="AX144" s="1"/>
      <c r="AY144" s="1"/>
      <c r="AZ144" s="1"/>
      <c r="BA144" s="1">
        <v>1708</v>
      </c>
      <c r="BB144" s="1">
        <v>1681</v>
      </c>
      <c r="BC144" s="1">
        <v>1841</v>
      </c>
      <c r="BD144" s="1">
        <v>1969</v>
      </c>
      <c r="BE144" s="1">
        <v>2796</v>
      </c>
      <c r="BF144" s="1">
        <v>2388</v>
      </c>
      <c r="BG144" s="1">
        <v>3161</v>
      </c>
      <c r="BH144" s="1">
        <v>1607</v>
      </c>
      <c r="BI144" s="1">
        <v>4498</v>
      </c>
      <c r="BJ144" s="1"/>
      <c r="BK144" s="1"/>
      <c r="BL144" s="1"/>
      <c r="BM144" s="1">
        <v>1979</v>
      </c>
      <c r="BN144" s="1">
        <v>1660</v>
      </c>
      <c r="BO144" s="1">
        <v>1715</v>
      </c>
      <c r="BP144" s="1">
        <v>1884</v>
      </c>
      <c r="BQ144" s="1">
        <v>2864</v>
      </c>
      <c r="BR144" s="1">
        <v>2362</v>
      </c>
      <c r="BS144" s="1">
        <v>2961</v>
      </c>
      <c r="BT144" s="1">
        <v>1586</v>
      </c>
      <c r="BU144" s="1">
        <v>7846</v>
      </c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</row>
    <row r="145" spans="1:99" x14ac:dyDescent="0.2">
      <c r="A145" s="4" t="s">
        <v>202</v>
      </c>
      <c r="B145" s="1">
        <v>17977.754000000001</v>
      </c>
      <c r="C145" s="1">
        <v>35.6</v>
      </c>
      <c r="D145" s="1">
        <f t="shared" si="1"/>
        <v>4.9938205555555557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>
        <v>1796</v>
      </c>
      <c r="AP145" s="1">
        <v>1727</v>
      </c>
      <c r="AQ145" s="1">
        <v>1886</v>
      </c>
      <c r="AR145" s="1">
        <v>1889</v>
      </c>
      <c r="AS145" s="1">
        <v>2543</v>
      </c>
      <c r="AT145" s="1">
        <v>2060</v>
      </c>
      <c r="AU145" s="1">
        <v>2686</v>
      </c>
      <c r="AV145" s="1">
        <v>1729</v>
      </c>
      <c r="AW145" s="1">
        <v>3958</v>
      </c>
      <c r="AX145" s="1"/>
      <c r="AY145" s="1"/>
      <c r="AZ145" s="1"/>
      <c r="BA145" s="1">
        <v>1742</v>
      </c>
      <c r="BB145" s="1">
        <v>1685</v>
      </c>
      <c r="BC145" s="1">
        <v>1881</v>
      </c>
      <c r="BD145" s="1">
        <v>1952</v>
      </c>
      <c r="BE145" s="1">
        <v>2820</v>
      </c>
      <c r="BF145" s="1">
        <v>2387</v>
      </c>
      <c r="BG145" s="1">
        <v>3135</v>
      </c>
      <c r="BH145" s="1">
        <v>1626</v>
      </c>
      <c r="BI145" s="1">
        <v>4540</v>
      </c>
      <c r="BJ145" s="1"/>
      <c r="BK145" s="1"/>
      <c r="BL145" s="1"/>
      <c r="BM145" s="1">
        <v>2023</v>
      </c>
      <c r="BN145" s="1">
        <v>1686</v>
      </c>
      <c r="BO145" s="1">
        <v>1727</v>
      </c>
      <c r="BP145" s="1">
        <v>1898</v>
      </c>
      <c r="BQ145" s="1">
        <v>2865</v>
      </c>
      <c r="BR145" s="1">
        <v>2350</v>
      </c>
      <c r="BS145" s="1">
        <v>2939</v>
      </c>
      <c r="BT145" s="1">
        <v>1592</v>
      </c>
      <c r="BU145" s="1">
        <v>7735</v>
      </c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</row>
    <row r="146" spans="1:99" x14ac:dyDescent="0.2">
      <c r="A146" s="4" t="s">
        <v>203</v>
      </c>
      <c r="B146" s="1">
        <v>18834.023000000001</v>
      </c>
      <c r="C146" s="1">
        <v>36.9</v>
      </c>
      <c r="D146" s="1">
        <f t="shared" si="1"/>
        <v>5.2316730555555555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>
        <v>1802</v>
      </c>
      <c r="AP146" s="1">
        <v>1749</v>
      </c>
      <c r="AQ146" s="1">
        <v>1889</v>
      </c>
      <c r="AR146" s="1">
        <v>1900</v>
      </c>
      <c r="AS146" s="1">
        <v>2553</v>
      </c>
      <c r="AT146" s="1">
        <v>2059</v>
      </c>
      <c r="AU146" s="1">
        <v>2645</v>
      </c>
      <c r="AV146" s="1">
        <v>1725</v>
      </c>
      <c r="AW146" s="1">
        <v>3915</v>
      </c>
      <c r="AX146" s="1"/>
      <c r="AY146" s="1"/>
      <c r="AZ146" s="1"/>
      <c r="BA146" s="1">
        <v>1776</v>
      </c>
      <c r="BB146" s="1">
        <v>1731</v>
      </c>
      <c r="BC146" s="1">
        <v>1856</v>
      </c>
      <c r="BD146" s="1">
        <v>1994</v>
      </c>
      <c r="BE146" s="1">
        <v>2807</v>
      </c>
      <c r="BF146" s="1">
        <v>2439</v>
      </c>
      <c r="BG146" s="1">
        <v>3092</v>
      </c>
      <c r="BH146" s="1">
        <v>1628</v>
      </c>
      <c r="BI146" s="1">
        <v>4423</v>
      </c>
      <c r="BJ146" s="1"/>
      <c r="BK146" s="1"/>
      <c r="BL146" s="1"/>
      <c r="BM146" s="1">
        <v>1933</v>
      </c>
      <c r="BN146" s="1">
        <v>1688</v>
      </c>
      <c r="BO146" s="1">
        <v>1718</v>
      </c>
      <c r="BP146" s="1">
        <v>1928</v>
      </c>
      <c r="BQ146" s="1">
        <v>2808</v>
      </c>
      <c r="BR146" s="1">
        <v>2342</v>
      </c>
      <c r="BS146" s="1">
        <v>2883</v>
      </c>
      <c r="BT146" s="1">
        <v>1553</v>
      </c>
      <c r="BU146" s="1">
        <v>7357</v>
      </c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</row>
    <row r="147" spans="1:99" x14ac:dyDescent="0.2">
      <c r="A147" s="4" t="s">
        <v>204</v>
      </c>
      <c r="B147" s="1">
        <v>19689.952000000001</v>
      </c>
      <c r="C147" s="1">
        <v>35.6</v>
      </c>
      <c r="D147" s="1">
        <f t="shared" si="1"/>
        <v>5.4694311111111116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>
        <v>1812</v>
      </c>
      <c r="AP147" s="1">
        <v>1769</v>
      </c>
      <c r="AQ147" s="1">
        <v>1874</v>
      </c>
      <c r="AR147" s="1">
        <v>1886</v>
      </c>
      <c r="AS147" s="1">
        <v>2573</v>
      </c>
      <c r="AT147" s="1">
        <v>2061</v>
      </c>
      <c r="AU147" s="1">
        <v>2641</v>
      </c>
      <c r="AV147" s="1">
        <v>1698</v>
      </c>
      <c r="AW147" s="1">
        <v>3853</v>
      </c>
      <c r="AX147" s="1"/>
      <c r="AY147" s="1"/>
      <c r="AZ147" s="1"/>
      <c r="BA147" s="1">
        <v>1804</v>
      </c>
      <c r="BB147" s="1">
        <v>1711</v>
      </c>
      <c r="BC147" s="1">
        <v>1872</v>
      </c>
      <c r="BD147" s="1">
        <v>1964</v>
      </c>
      <c r="BE147" s="1">
        <v>2766</v>
      </c>
      <c r="BF147" s="1">
        <v>2373</v>
      </c>
      <c r="BG147" s="1">
        <v>3071</v>
      </c>
      <c r="BH147" s="1">
        <v>1626</v>
      </c>
      <c r="BI147" s="1">
        <v>4319</v>
      </c>
      <c r="BJ147" s="1"/>
      <c r="BK147" s="1"/>
      <c r="BL147" s="1"/>
      <c r="BM147" s="1">
        <v>1965</v>
      </c>
      <c r="BN147" s="1">
        <v>1691</v>
      </c>
      <c r="BO147" s="1">
        <v>1722</v>
      </c>
      <c r="BP147" s="1">
        <v>1913</v>
      </c>
      <c r="BQ147" s="1">
        <v>2806</v>
      </c>
      <c r="BR147" s="1">
        <v>2341</v>
      </c>
      <c r="BS147" s="1">
        <v>2823</v>
      </c>
      <c r="BT147" s="1">
        <v>1592</v>
      </c>
      <c r="BU147" s="1">
        <v>7232</v>
      </c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</row>
    <row r="148" spans="1:99" x14ac:dyDescent="0.2">
      <c r="A148" s="4" t="s">
        <v>205</v>
      </c>
      <c r="B148" s="1">
        <v>20545.900000000001</v>
      </c>
      <c r="C148" s="1">
        <v>36.799999999999997</v>
      </c>
      <c r="D148" s="1">
        <f t="shared" si="1"/>
        <v>5.7071944444444451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>
        <v>1774</v>
      </c>
      <c r="AP148" s="1">
        <v>1763</v>
      </c>
      <c r="AQ148" s="1">
        <v>1842</v>
      </c>
      <c r="AR148" s="1">
        <v>1857</v>
      </c>
      <c r="AS148" s="1">
        <v>2523</v>
      </c>
      <c r="AT148" s="1">
        <v>2036</v>
      </c>
      <c r="AU148" s="1">
        <v>2608</v>
      </c>
      <c r="AV148" s="1">
        <v>1721</v>
      </c>
      <c r="AW148" s="1">
        <v>3835</v>
      </c>
      <c r="AX148" s="1"/>
      <c r="AY148" s="1"/>
      <c r="AZ148" s="1"/>
      <c r="BA148" s="1">
        <v>1806</v>
      </c>
      <c r="BB148" s="1">
        <v>1720</v>
      </c>
      <c r="BC148" s="1">
        <v>1892</v>
      </c>
      <c r="BD148" s="1">
        <v>2001</v>
      </c>
      <c r="BE148" s="1">
        <v>2731</v>
      </c>
      <c r="BF148" s="1">
        <v>2383</v>
      </c>
      <c r="BG148" s="1">
        <v>3026</v>
      </c>
      <c r="BH148" s="1">
        <v>1607</v>
      </c>
      <c r="BI148" s="1">
        <v>4226</v>
      </c>
      <c r="BJ148" s="1"/>
      <c r="BK148" s="1"/>
      <c r="BL148" s="1"/>
      <c r="BM148" s="1">
        <v>1954</v>
      </c>
      <c r="BN148" s="1">
        <v>1678</v>
      </c>
      <c r="BO148" s="1">
        <v>1725</v>
      </c>
      <c r="BP148" s="1">
        <v>1874</v>
      </c>
      <c r="BQ148" s="1">
        <v>2740</v>
      </c>
      <c r="BR148" s="1">
        <v>2253</v>
      </c>
      <c r="BS148" s="1">
        <v>2752</v>
      </c>
      <c r="BT148" s="1">
        <v>1585</v>
      </c>
      <c r="BU148" s="1">
        <v>6845</v>
      </c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</row>
    <row r="149" spans="1:99" x14ac:dyDescent="0.2">
      <c r="A149" s="4" t="s">
        <v>206</v>
      </c>
      <c r="B149" s="1">
        <v>21402.089</v>
      </c>
      <c r="C149" s="1">
        <v>36.9</v>
      </c>
      <c r="D149" s="1">
        <f t="shared" si="1"/>
        <v>5.9450247222222226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>
        <v>1796</v>
      </c>
      <c r="AP149" s="1">
        <v>1752</v>
      </c>
      <c r="AQ149" s="1">
        <v>1791</v>
      </c>
      <c r="AR149" s="1">
        <v>1867</v>
      </c>
      <c r="AS149" s="1">
        <v>2425</v>
      </c>
      <c r="AT149" s="1">
        <v>1992</v>
      </c>
      <c r="AU149" s="1">
        <v>2503</v>
      </c>
      <c r="AV149" s="1">
        <v>1710</v>
      </c>
      <c r="AW149" s="1">
        <v>3692</v>
      </c>
      <c r="AX149" s="1"/>
      <c r="AY149" s="1"/>
      <c r="AZ149" s="1"/>
      <c r="BA149" s="1">
        <v>1758</v>
      </c>
      <c r="BB149" s="1">
        <v>1696</v>
      </c>
      <c r="BC149" s="1">
        <v>1845</v>
      </c>
      <c r="BD149" s="1">
        <v>1971</v>
      </c>
      <c r="BE149" s="1">
        <v>2667</v>
      </c>
      <c r="BF149" s="1">
        <v>2321</v>
      </c>
      <c r="BG149" s="1">
        <v>2901</v>
      </c>
      <c r="BH149" s="1">
        <v>1616</v>
      </c>
      <c r="BI149" s="1">
        <v>4009</v>
      </c>
      <c r="BJ149" s="1"/>
      <c r="BK149" s="1"/>
      <c r="BL149" s="1"/>
      <c r="BM149" s="1">
        <v>1918</v>
      </c>
      <c r="BN149" s="1">
        <v>1638</v>
      </c>
      <c r="BO149" s="1">
        <v>1698</v>
      </c>
      <c r="BP149" s="1">
        <v>1857</v>
      </c>
      <c r="BQ149" s="1">
        <v>2656</v>
      </c>
      <c r="BR149" s="1">
        <v>2174</v>
      </c>
      <c r="BS149" s="1">
        <v>2602</v>
      </c>
      <c r="BT149" s="1">
        <v>1573</v>
      </c>
      <c r="BU149" s="1">
        <v>6529</v>
      </c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</row>
    <row r="150" spans="1:99" x14ac:dyDescent="0.2">
      <c r="A150" s="4" t="s">
        <v>207</v>
      </c>
      <c r="B150" s="1">
        <v>22258.032999999999</v>
      </c>
      <c r="C150" s="1">
        <v>35.6</v>
      </c>
      <c r="D150" s="1">
        <f t="shared" si="1"/>
        <v>6.1827869444444445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>
        <v>1796</v>
      </c>
      <c r="AP150" s="1">
        <v>1766</v>
      </c>
      <c r="AQ150" s="1">
        <v>1842</v>
      </c>
      <c r="AR150" s="1">
        <v>1860</v>
      </c>
      <c r="AS150" s="1">
        <v>2457</v>
      </c>
      <c r="AT150" s="1">
        <v>2027</v>
      </c>
      <c r="AU150" s="1">
        <v>2523</v>
      </c>
      <c r="AV150" s="1">
        <v>1718</v>
      </c>
      <c r="AW150" s="1">
        <v>3675</v>
      </c>
      <c r="AX150" s="1"/>
      <c r="AY150" s="1"/>
      <c r="AZ150" s="1"/>
      <c r="BA150" s="1">
        <v>1814</v>
      </c>
      <c r="BB150" s="1">
        <v>1701</v>
      </c>
      <c r="BC150" s="1">
        <v>1889</v>
      </c>
      <c r="BD150" s="1">
        <v>1972</v>
      </c>
      <c r="BE150" s="1">
        <v>2658</v>
      </c>
      <c r="BF150" s="1">
        <v>2319</v>
      </c>
      <c r="BG150" s="1">
        <v>2913</v>
      </c>
      <c r="BH150" s="1">
        <v>1646</v>
      </c>
      <c r="BI150" s="1">
        <v>4045</v>
      </c>
      <c r="BJ150" s="1"/>
      <c r="BK150" s="1"/>
      <c r="BL150" s="1"/>
      <c r="BM150" s="1">
        <v>1947</v>
      </c>
      <c r="BN150" s="1">
        <v>1670</v>
      </c>
      <c r="BO150" s="1">
        <v>1719</v>
      </c>
      <c r="BP150" s="1">
        <v>1869</v>
      </c>
      <c r="BQ150" s="1">
        <v>2670</v>
      </c>
      <c r="BR150" s="1">
        <v>2230</v>
      </c>
      <c r="BS150" s="1">
        <v>2660</v>
      </c>
      <c r="BT150" s="1">
        <v>1602</v>
      </c>
      <c r="BU150" s="1">
        <v>6438</v>
      </c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</row>
    <row r="151" spans="1:99" x14ac:dyDescent="0.2">
      <c r="A151" s="4" t="s">
        <v>208</v>
      </c>
      <c r="B151" s="1">
        <v>23114.003000000001</v>
      </c>
      <c r="C151" s="1">
        <v>36.799999999999997</v>
      </c>
      <c r="D151" s="1">
        <f t="shared" si="1"/>
        <v>6.4205563888888895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>
        <v>1781</v>
      </c>
      <c r="AP151" s="1">
        <v>1820</v>
      </c>
      <c r="AQ151" s="1">
        <v>1851</v>
      </c>
      <c r="AR151" s="1">
        <v>1850</v>
      </c>
      <c r="AS151" s="1">
        <v>2445</v>
      </c>
      <c r="AT151" s="1">
        <v>1995</v>
      </c>
      <c r="AU151" s="1">
        <v>2471</v>
      </c>
      <c r="AV151" s="1">
        <v>1742</v>
      </c>
      <c r="AW151" s="1">
        <v>3590</v>
      </c>
      <c r="AX151" s="1"/>
      <c r="AY151" s="1"/>
      <c r="AZ151" s="1"/>
      <c r="BA151" s="1">
        <v>1784</v>
      </c>
      <c r="BB151" s="1">
        <v>1701</v>
      </c>
      <c r="BC151" s="1">
        <v>1800</v>
      </c>
      <c r="BD151" s="1">
        <v>1971</v>
      </c>
      <c r="BE151" s="1">
        <v>2678</v>
      </c>
      <c r="BF151" s="1">
        <v>2328</v>
      </c>
      <c r="BG151" s="1">
        <v>2848</v>
      </c>
      <c r="BH151" s="1">
        <v>1635</v>
      </c>
      <c r="BI151" s="1">
        <v>3919</v>
      </c>
      <c r="BJ151" s="1"/>
      <c r="BK151" s="1"/>
      <c r="BL151" s="1"/>
      <c r="BM151" s="1">
        <v>1927</v>
      </c>
      <c r="BN151" s="1">
        <v>1664</v>
      </c>
      <c r="BO151" s="1">
        <v>1680</v>
      </c>
      <c r="BP151" s="1">
        <v>1851</v>
      </c>
      <c r="BQ151" s="1">
        <v>2626</v>
      </c>
      <c r="BR151" s="1">
        <v>2250</v>
      </c>
      <c r="BS151" s="1">
        <v>2620</v>
      </c>
      <c r="BT151" s="1">
        <v>1603</v>
      </c>
      <c r="BU151" s="1">
        <v>6312</v>
      </c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</row>
    <row r="152" spans="1:99" x14ac:dyDescent="0.2">
      <c r="A152" s="4" t="s">
        <v>209</v>
      </c>
      <c r="B152" s="1">
        <v>23970.203000000001</v>
      </c>
      <c r="C152" s="1">
        <v>37</v>
      </c>
      <c r="D152" s="1">
        <f t="shared" si="1"/>
        <v>6.658389722222223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>
        <v>1761</v>
      </c>
      <c r="AP152" s="1">
        <v>1734</v>
      </c>
      <c r="AQ152" s="1">
        <v>1818</v>
      </c>
      <c r="AR152" s="1">
        <v>1823</v>
      </c>
      <c r="AS152" s="1">
        <v>2369</v>
      </c>
      <c r="AT152" s="1">
        <v>1947</v>
      </c>
      <c r="AU152" s="1">
        <v>2430</v>
      </c>
      <c r="AV152" s="1">
        <v>1709</v>
      </c>
      <c r="AW152" s="1">
        <v>3463</v>
      </c>
      <c r="AX152" s="1"/>
      <c r="AY152" s="1"/>
      <c r="AZ152" s="1"/>
      <c r="BA152" s="1">
        <v>1779</v>
      </c>
      <c r="BB152" s="1">
        <v>1682</v>
      </c>
      <c r="BC152" s="1">
        <v>1805</v>
      </c>
      <c r="BD152" s="1">
        <v>1913</v>
      </c>
      <c r="BE152" s="1">
        <v>2571</v>
      </c>
      <c r="BF152" s="1">
        <v>2230</v>
      </c>
      <c r="BG152" s="1">
        <v>2740</v>
      </c>
      <c r="BH152" s="1">
        <v>1614</v>
      </c>
      <c r="BI152" s="1">
        <v>3734</v>
      </c>
      <c r="BJ152" s="1"/>
      <c r="BK152" s="1"/>
      <c r="BL152" s="1"/>
      <c r="BM152" s="1">
        <v>1875</v>
      </c>
      <c r="BN152" s="1">
        <v>1652</v>
      </c>
      <c r="BO152" s="1">
        <v>1643</v>
      </c>
      <c r="BP152" s="1">
        <v>1818</v>
      </c>
      <c r="BQ152" s="1">
        <v>2505</v>
      </c>
      <c r="BR152" s="1">
        <v>2125</v>
      </c>
      <c r="BS152" s="1">
        <v>2533</v>
      </c>
      <c r="BT152" s="1">
        <v>1599</v>
      </c>
      <c r="BU152" s="1">
        <v>6024</v>
      </c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</row>
    <row r="153" spans="1:99" x14ac:dyDescent="0.2">
      <c r="A153" s="4" t="s">
        <v>210</v>
      </c>
      <c r="B153" s="1">
        <v>24826.159</v>
      </c>
      <c r="C153" s="1">
        <v>35.6</v>
      </c>
      <c r="D153" s="1">
        <f t="shared" si="1"/>
        <v>6.8961552777777779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>
        <v>1798</v>
      </c>
      <c r="AP153" s="1">
        <v>1786</v>
      </c>
      <c r="AQ153" s="1">
        <v>1845</v>
      </c>
      <c r="AR153" s="1">
        <v>1882</v>
      </c>
      <c r="AS153" s="1">
        <v>2366</v>
      </c>
      <c r="AT153" s="1">
        <v>1948</v>
      </c>
      <c r="AU153" s="1">
        <v>2431</v>
      </c>
      <c r="AV153" s="1">
        <v>1735</v>
      </c>
      <c r="AW153" s="1">
        <v>3443</v>
      </c>
      <c r="AX153" s="1"/>
      <c r="AY153" s="1"/>
      <c r="AZ153" s="1"/>
      <c r="BA153" s="1">
        <v>1812</v>
      </c>
      <c r="BB153" s="1">
        <v>1725</v>
      </c>
      <c r="BC153" s="1">
        <v>1831</v>
      </c>
      <c r="BD153" s="1">
        <v>1944</v>
      </c>
      <c r="BE153" s="1">
        <v>2524</v>
      </c>
      <c r="BF153" s="1">
        <v>2253</v>
      </c>
      <c r="BG153" s="1">
        <v>2827</v>
      </c>
      <c r="BH153" s="1">
        <v>1628</v>
      </c>
      <c r="BI153" s="1">
        <v>3760</v>
      </c>
      <c r="BJ153" s="1"/>
      <c r="BK153" s="1"/>
      <c r="BL153" s="1"/>
      <c r="BM153" s="1">
        <v>1910</v>
      </c>
      <c r="BN153" s="1">
        <v>1645</v>
      </c>
      <c r="BO153" s="1">
        <v>1675</v>
      </c>
      <c r="BP153" s="1">
        <v>1844</v>
      </c>
      <c r="BQ153" s="1">
        <v>2550</v>
      </c>
      <c r="BR153" s="1">
        <v>2151</v>
      </c>
      <c r="BS153" s="1">
        <v>2551</v>
      </c>
      <c r="BT153" s="1">
        <v>1585</v>
      </c>
      <c r="BU153" s="1">
        <v>5972</v>
      </c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</row>
    <row r="154" spans="1:99" x14ac:dyDescent="0.2">
      <c r="A154" s="4" t="s">
        <v>211</v>
      </c>
      <c r="B154" s="1">
        <v>25682.210999999999</v>
      </c>
      <c r="C154" s="1">
        <v>39.200000000000003</v>
      </c>
      <c r="D154" s="1">
        <f t="shared" si="1"/>
        <v>7.1339474999999997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>
        <v>1746</v>
      </c>
      <c r="AP154" s="1">
        <v>1782</v>
      </c>
      <c r="AQ154" s="1">
        <v>1828</v>
      </c>
      <c r="AR154" s="1">
        <v>1847</v>
      </c>
      <c r="AS154" s="1">
        <v>2347</v>
      </c>
      <c r="AT154" s="1">
        <v>1946</v>
      </c>
      <c r="AU154" s="1">
        <v>2380</v>
      </c>
      <c r="AV154" s="1">
        <v>1737</v>
      </c>
      <c r="AW154" s="1">
        <v>3330</v>
      </c>
      <c r="AX154" s="1"/>
      <c r="AY154" s="1"/>
      <c r="AZ154" s="1"/>
      <c r="BA154" s="1">
        <v>1792</v>
      </c>
      <c r="BB154" s="1">
        <v>1712</v>
      </c>
      <c r="BC154" s="1">
        <v>1847</v>
      </c>
      <c r="BD154" s="1">
        <v>1924</v>
      </c>
      <c r="BE154" s="1">
        <v>2590</v>
      </c>
      <c r="BF154" s="1">
        <v>2230</v>
      </c>
      <c r="BG154" s="1">
        <v>2740</v>
      </c>
      <c r="BH154" s="1">
        <v>1619</v>
      </c>
      <c r="BI154" s="1">
        <v>3733</v>
      </c>
      <c r="BJ154" s="1"/>
      <c r="BK154" s="1"/>
      <c r="BL154" s="1"/>
      <c r="BM154" s="1">
        <v>1882</v>
      </c>
      <c r="BN154" s="1">
        <v>1669</v>
      </c>
      <c r="BO154" s="1">
        <v>1636</v>
      </c>
      <c r="BP154" s="1">
        <v>1821</v>
      </c>
      <c r="BQ154" s="1">
        <v>2540</v>
      </c>
      <c r="BR154" s="1">
        <v>2113</v>
      </c>
      <c r="BS154" s="1">
        <v>2495</v>
      </c>
      <c r="BT154" s="1">
        <v>1595</v>
      </c>
      <c r="BU154" s="1">
        <v>5807</v>
      </c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</row>
    <row r="155" spans="1:99" x14ac:dyDescent="0.2">
      <c r="A155" s="4" t="s">
        <v>212</v>
      </c>
      <c r="B155" s="1">
        <v>26538.422999999999</v>
      </c>
      <c r="C155" s="1">
        <v>35.9</v>
      </c>
      <c r="D155" s="1">
        <f t="shared" si="1"/>
        <v>7.3717841666666661</v>
      </c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>
        <v>1787</v>
      </c>
      <c r="AP155" s="1">
        <v>1799</v>
      </c>
      <c r="AQ155" s="1">
        <v>1844</v>
      </c>
      <c r="AR155" s="1">
        <v>1839</v>
      </c>
      <c r="AS155" s="1">
        <v>2374</v>
      </c>
      <c r="AT155" s="1">
        <v>1949</v>
      </c>
      <c r="AU155" s="1">
        <v>2350</v>
      </c>
      <c r="AV155" s="1">
        <v>1721</v>
      </c>
      <c r="AW155" s="1">
        <v>3314</v>
      </c>
      <c r="AX155" s="1"/>
      <c r="AY155" s="1"/>
      <c r="AZ155" s="1"/>
      <c r="BA155" s="1">
        <v>1806</v>
      </c>
      <c r="BB155" s="1">
        <v>1708</v>
      </c>
      <c r="BC155" s="1">
        <v>1857</v>
      </c>
      <c r="BD155" s="1">
        <v>1997</v>
      </c>
      <c r="BE155" s="1">
        <v>2565</v>
      </c>
      <c r="BF155" s="1">
        <v>2256</v>
      </c>
      <c r="BG155" s="1">
        <v>2748</v>
      </c>
      <c r="BH155" s="1">
        <v>1657</v>
      </c>
      <c r="BI155" s="1">
        <v>3749</v>
      </c>
      <c r="BJ155" s="1"/>
      <c r="BK155" s="1"/>
      <c r="BL155" s="1"/>
      <c r="BM155" s="1">
        <v>1893</v>
      </c>
      <c r="BN155" s="1">
        <v>1666</v>
      </c>
      <c r="BO155" s="1">
        <v>1670</v>
      </c>
      <c r="BP155" s="1">
        <v>1842</v>
      </c>
      <c r="BQ155" s="1">
        <v>2510</v>
      </c>
      <c r="BR155" s="1">
        <v>2136</v>
      </c>
      <c r="BS155" s="1">
        <v>2489</v>
      </c>
      <c r="BT155" s="1">
        <v>1618</v>
      </c>
      <c r="BU155" s="1">
        <v>5841</v>
      </c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</row>
    <row r="156" spans="1:99" x14ac:dyDescent="0.2">
      <c r="A156" s="4" t="s">
        <v>213</v>
      </c>
      <c r="B156" s="1">
        <v>27394.373</v>
      </c>
      <c r="C156" s="1">
        <v>37</v>
      </c>
      <c r="D156" s="1">
        <f t="shared" si="1"/>
        <v>7.609548055555555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>
        <v>1735</v>
      </c>
      <c r="AP156" s="1">
        <v>1769</v>
      </c>
      <c r="AQ156" s="1">
        <v>1817</v>
      </c>
      <c r="AR156" s="1">
        <v>1803</v>
      </c>
      <c r="AS156" s="1">
        <v>2251</v>
      </c>
      <c r="AT156" s="1">
        <v>1891</v>
      </c>
      <c r="AU156" s="1">
        <v>2316</v>
      </c>
      <c r="AV156" s="1">
        <v>1695</v>
      </c>
      <c r="AW156" s="1">
        <v>3212</v>
      </c>
      <c r="AX156" s="1"/>
      <c r="AY156" s="1"/>
      <c r="AZ156" s="1"/>
      <c r="BA156" s="1">
        <v>1794</v>
      </c>
      <c r="BB156" s="1">
        <v>1725</v>
      </c>
      <c r="BC156" s="1">
        <v>1838</v>
      </c>
      <c r="BD156" s="1">
        <v>1921</v>
      </c>
      <c r="BE156" s="1">
        <v>2521</v>
      </c>
      <c r="BF156" s="1">
        <v>2249</v>
      </c>
      <c r="BG156" s="1">
        <v>2654</v>
      </c>
      <c r="BH156" s="1">
        <v>1629</v>
      </c>
      <c r="BI156" s="1">
        <v>3640</v>
      </c>
      <c r="BJ156" s="1"/>
      <c r="BK156" s="1"/>
      <c r="BL156" s="1"/>
      <c r="BM156" s="1">
        <v>1886</v>
      </c>
      <c r="BN156" s="1">
        <v>1666</v>
      </c>
      <c r="BO156" s="1">
        <v>1685</v>
      </c>
      <c r="BP156" s="1">
        <v>1818</v>
      </c>
      <c r="BQ156" s="1">
        <v>2405</v>
      </c>
      <c r="BR156" s="1">
        <v>2114</v>
      </c>
      <c r="BS156" s="1">
        <v>2430</v>
      </c>
      <c r="BT156" s="1">
        <v>1583</v>
      </c>
      <c r="BU156" s="1">
        <v>5622</v>
      </c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</row>
    <row r="157" spans="1:99" x14ac:dyDescent="0.2">
      <c r="A157" s="4" t="s">
        <v>214</v>
      </c>
      <c r="B157" s="1">
        <v>28250.538</v>
      </c>
      <c r="C157" s="1">
        <v>35.5</v>
      </c>
      <c r="D157" s="1">
        <f t="shared" si="1"/>
        <v>7.8473716666666666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>
        <v>1793</v>
      </c>
      <c r="AP157" s="1">
        <v>1828</v>
      </c>
      <c r="AQ157" s="1">
        <v>1849</v>
      </c>
      <c r="AR157" s="1">
        <v>1870</v>
      </c>
      <c r="AS157" s="1">
        <v>2291</v>
      </c>
      <c r="AT157" s="1">
        <v>1919</v>
      </c>
      <c r="AU157" s="1">
        <v>2331</v>
      </c>
      <c r="AV157" s="1">
        <v>1737</v>
      </c>
      <c r="AW157" s="1">
        <v>3251</v>
      </c>
      <c r="AX157" s="1"/>
      <c r="AY157" s="1"/>
      <c r="AZ157" s="1"/>
      <c r="BA157" s="1">
        <v>1818</v>
      </c>
      <c r="BB157" s="1">
        <v>1723</v>
      </c>
      <c r="BC157" s="1">
        <v>1832</v>
      </c>
      <c r="BD157" s="1">
        <v>1946</v>
      </c>
      <c r="BE157" s="1">
        <v>2484</v>
      </c>
      <c r="BF157" s="1">
        <v>2214</v>
      </c>
      <c r="BG157" s="1">
        <v>2656</v>
      </c>
      <c r="BH157" s="1">
        <v>1650</v>
      </c>
      <c r="BI157" s="1">
        <v>3567</v>
      </c>
      <c r="BJ157" s="1"/>
      <c r="BK157" s="1"/>
      <c r="BL157" s="1"/>
      <c r="BM157" s="1">
        <v>1889</v>
      </c>
      <c r="BN157" s="1">
        <v>1690</v>
      </c>
      <c r="BO157" s="1">
        <v>1660</v>
      </c>
      <c r="BP157" s="1">
        <v>1836</v>
      </c>
      <c r="BQ157" s="1">
        <v>2470</v>
      </c>
      <c r="BR157" s="1">
        <v>2103</v>
      </c>
      <c r="BS157" s="1">
        <v>2434</v>
      </c>
      <c r="BT157" s="1">
        <v>1601</v>
      </c>
      <c r="BU157" s="1">
        <v>5633</v>
      </c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</row>
    <row r="158" spans="1:99" x14ac:dyDescent="0.2">
      <c r="A158" s="4" t="s">
        <v>215</v>
      </c>
      <c r="B158" s="1">
        <v>29106.758999999998</v>
      </c>
      <c r="C158" s="1">
        <v>36.799999999999997</v>
      </c>
      <c r="D158" s="1">
        <f t="shared" si="1"/>
        <v>8.085210833333333</v>
      </c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>
        <v>1777</v>
      </c>
      <c r="AP158" s="1">
        <v>1795</v>
      </c>
      <c r="AQ158" s="1">
        <v>1836</v>
      </c>
      <c r="AR158" s="1">
        <v>1817</v>
      </c>
      <c r="AS158" s="1">
        <v>2281</v>
      </c>
      <c r="AT158" s="1">
        <v>1914</v>
      </c>
      <c r="AU158" s="1">
        <v>2284</v>
      </c>
      <c r="AV158" s="1">
        <v>1736</v>
      </c>
      <c r="AW158" s="1">
        <v>3183</v>
      </c>
      <c r="AX158" s="1"/>
      <c r="AY158" s="1"/>
      <c r="AZ158" s="1"/>
      <c r="BA158" s="1">
        <v>1826</v>
      </c>
      <c r="BB158" s="1">
        <v>1743</v>
      </c>
      <c r="BC158" s="1">
        <v>1811</v>
      </c>
      <c r="BD158" s="1">
        <v>1931</v>
      </c>
      <c r="BE158" s="1">
        <v>2501</v>
      </c>
      <c r="BF158" s="1">
        <v>2192</v>
      </c>
      <c r="BG158" s="1">
        <v>2653</v>
      </c>
      <c r="BH158" s="1">
        <v>1621</v>
      </c>
      <c r="BI158" s="1">
        <v>3589</v>
      </c>
      <c r="BJ158" s="1"/>
      <c r="BK158" s="1"/>
      <c r="BL158" s="1"/>
      <c r="BM158" s="1">
        <v>1862</v>
      </c>
      <c r="BN158" s="1">
        <v>1645</v>
      </c>
      <c r="BO158" s="1">
        <v>1655</v>
      </c>
      <c r="BP158" s="1">
        <v>1822</v>
      </c>
      <c r="BQ158" s="1">
        <v>2415</v>
      </c>
      <c r="BR158" s="1">
        <v>2107</v>
      </c>
      <c r="BS158" s="1">
        <v>2438</v>
      </c>
      <c r="BT158" s="1">
        <v>1583</v>
      </c>
      <c r="BU158" s="1">
        <v>5521</v>
      </c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</row>
    <row r="159" spans="1:99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99" x14ac:dyDescent="0.2">
      <c r="A160" s="1" t="s">
        <v>64</v>
      </c>
      <c r="B160" s="1"/>
      <c r="C160" s="1"/>
      <c r="D160" s="1"/>
      <c r="E160" s="1" t="s">
        <v>216</v>
      </c>
      <c r="F160" s="1"/>
      <c r="G160" s="1"/>
      <c r="H160" s="1"/>
      <c r="I160" s="1"/>
      <c r="J160" s="1"/>
      <c r="K160" s="1"/>
    </row>
    <row r="161" spans="1:1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spans="1:1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11" s="5" customFormat="1" x14ac:dyDescent="0.2">
      <c r="A163" s="5" t="s">
        <v>217</v>
      </c>
      <c r="B163" s="5" t="s">
        <v>218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4FFBF-4E0A-7542-9299-2AA7FBD737A8}">
  <dimension ref="A1:M9"/>
  <sheetViews>
    <sheetView tabSelected="1" workbookViewId="0">
      <selection activeCell="C12" sqref="C12"/>
    </sheetView>
  </sheetViews>
  <sheetFormatPr baseColWidth="10" defaultRowHeight="15" x14ac:dyDescent="0.2"/>
  <sheetData>
    <row r="1" spans="1:13" x14ac:dyDescent="0.2">
      <c r="A1" s="92"/>
      <c r="B1" s="93">
        <v>1</v>
      </c>
      <c r="C1" s="93">
        <v>2</v>
      </c>
      <c r="D1" s="93">
        <v>3</v>
      </c>
      <c r="E1" s="93">
        <v>4</v>
      </c>
      <c r="F1" s="93">
        <v>5</v>
      </c>
      <c r="G1" s="93">
        <v>6</v>
      </c>
      <c r="H1" s="93">
        <v>7</v>
      </c>
      <c r="I1" s="93">
        <v>8</v>
      </c>
      <c r="J1" s="93">
        <v>9</v>
      </c>
      <c r="K1" s="93">
        <v>10</v>
      </c>
      <c r="L1" s="93">
        <v>11</v>
      </c>
      <c r="M1" s="94">
        <v>12</v>
      </c>
    </row>
    <row r="2" spans="1:13" ht="16" thickBot="1" x14ac:dyDescent="0.25">
      <c r="A2" s="95" t="s">
        <v>328</v>
      </c>
      <c r="B2" s="96"/>
      <c r="C2" s="97"/>
      <c r="D2" s="97"/>
      <c r="E2" s="97"/>
      <c r="F2" s="97"/>
      <c r="G2" s="97"/>
      <c r="H2" s="97"/>
      <c r="I2" s="97"/>
      <c r="J2" s="97"/>
      <c r="K2" s="97"/>
      <c r="L2" s="96"/>
      <c r="M2" s="98"/>
    </row>
    <row r="3" spans="1:13" ht="16" thickBot="1" x14ac:dyDescent="0.25">
      <c r="A3" s="95" t="s">
        <v>329</v>
      </c>
      <c r="B3" s="99"/>
      <c r="C3" s="100" t="s">
        <v>313</v>
      </c>
      <c r="D3" s="101" t="s">
        <v>314</v>
      </c>
      <c r="E3" s="101" t="s">
        <v>315</v>
      </c>
      <c r="F3" s="101" t="s">
        <v>316</v>
      </c>
      <c r="G3" s="101" t="s">
        <v>317</v>
      </c>
      <c r="H3" s="101" t="s">
        <v>319</v>
      </c>
      <c r="I3" s="101" t="s">
        <v>318</v>
      </c>
      <c r="J3" s="101" t="s">
        <v>320</v>
      </c>
      <c r="K3" s="102" t="s">
        <v>321</v>
      </c>
      <c r="L3" s="103"/>
      <c r="M3" s="98"/>
    </row>
    <row r="4" spans="1:13" ht="16" thickBot="1" x14ac:dyDescent="0.25">
      <c r="A4" s="95" t="s">
        <v>330</v>
      </c>
      <c r="B4" s="96"/>
      <c r="C4" s="100"/>
      <c r="D4" s="101"/>
      <c r="E4" s="101"/>
      <c r="F4" s="101"/>
      <c r="G4" s="101"/>
      <c r="H4" s="101"/>
      <c r="I4" s="101"/>
      <c r="J4" s="101"/>
      <c r="K4" s="102"/>
      <c r="L4" s="96"/>
      <c r="M4" s="98"/>
    </row>
    <row r="5" spans="1:13" ht="16" thickBot="1" x14ac:dyDescent="0.25">
      <c r="A5" s="95" t="s">
        <v>331</v>
      </c>
      <c r="B5" s="99"/>
      <c r="C5" s="100" t="s">
        <v>313</v>
      </c>
      <c r="D5" s="101" t="s">
        <v>314</v>
      </c>
      <c r="E5" s="101" t="s">
        <v>315</v>
      </c>
      <c r="F5" s="101" t="s">
        <v>316</v>
      </c>
      <c r="G5" s="101" t="s">
        <v>317</v>
      </c>
      <c r="H5" s="101" t="s">
        <v>319</v>
      </c>
      <c r="I5" s="101" t="s">
        <v>318</v>
      </c>
      <c r="J5" s="101" t="s">
        <v>320</v>
      </c>
      <c r="K5" s="102" t="s">
        <v>321</v>
      </c>
      <c r="L5" s="103"/>
      <c r="M5" s="98"/>
    </row>
    <row r="6" spans="1:13" ht="16" thickBot="1" x14ac:dyDescent="0.25">
      <c r="A6" s="95" t="s">
        <v>332</v>
      </c>
      <c r="B6" s="99"/>
      <c r="C6" s="100" t="s">
        <v>313</v>
      </c>
      <c r="D6" s="101" t="s">
        <v>314</v>
      </c>
      <c r="E6" s="101" t="s">
        <v>315</v>
      </c>
      <c r="F6" s="101" t="s">
        <v>316</v>
      </c>
      <c r="G6" s="101" t="s">
        <v>317</v>
      </c>
      <c r="H6" s="101" t="s">
        <v>319</v>
      </c>
      <c r="I6" s="101" t="s">
        <v>318</v>
      </c>
      <c r="J6" s="101" t="s">
        <v>336</v>
      </c>
      <c r="K6" s="102" t="s">
        <v>337</v>
      </c>
      <c r="L6" s="103"/>
      <c r="M6" s="98"/>
    </row>
    <row r="7" spans="1:13" ht="16" thickBot="1" x14ac:dyDescent="0.25">
      <c r="A7" s="95" t="s">
        <v>333</v>
      </c>
      <c r="B7" s="99"/>
      <c r="C7" s="100" t="s">
        <v>313</v>
      </c>
      <c r="D7" s="101" t="s">
        <v>314</v>
      </c>
      <c r="E7" s="101" t="s">
        <v>315</v>
      </c>
      <c r="F7" s="101" t="s">
        <v>316</v>
      </c>
      <c r="G7" s="101" t="s">
        <v>317</v>
      </c>
      <c r="H7" s="101" t="s">
        <v>319</v>
      </c>
      <c r="I7" s="101" t="s">
        <v>318</v>
      </c>
      <c r="J7" s="101" t="s">
        <v>338</v>
      </c>
      <c r="K7" s="102" t="s">
        <v>339</v>
      </c>
      <c r="L7" s="103"/>
      <c r="M7" s="98"/>
    </row>
    <row r="8" spans="1:13" x14ac:dyDescent="0.2">
      <c r="A8" s="95" t="s">
        <v>334</v>
      </c>
      <c r="B8" s="96"/>
      <c r="C8" s="114"/>
      <c r="D8" s="114"/>
      <c r="E8" s="114"/>
      <c r="F8" s="114"/>
      <c r="G8" s="114"/>
      <c r="H8" s="114"/>
      <c r="I8" s="114"/>
      <c r="J8" s="114"/>
      <c r="K8" s="114"/>
      <c r="L8" s="96"/>
      <c r="M8" s="98"/>
    </row>
    <row r="9" spans="1:13" ht="16" thickBot="1" x14ac:dyDescent="0.25">
      <c r="A9" s="115" t="s">
        <v>335</v>
      </c>
      <c r="B9" s="173"/>
      <c r="C9" s="173"/>
      <c r="D9" s="173"/>
      <c r="E9" s="173"/>
      <c r="F9" s="173"/>
      <c r="G9" s="173"/>
      <c r="H9" s="173"/>
      <c r="I9" s="173"/>
      <c r="J9" s="173"/>
      <c r="K9" s="173"/>
      <c r="L9" s="173"/>
      <c r="M9" s="98"/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E5FE6-42BA-0E4A-97BA-BFB32FBF3FF1}">
  <dimension ref="A1:M9"/>
  <sheetViews>
    <sheetView workbookViewId="0">
      <selection activeCell="D19" sqref="D19"/>
    </sheetView>
  </sheetViews>
  <sheetFormatPr baseColWidth="10" defaultRowHeight="15" x14ac:dyDescent="0.2"/>
  <sheetData>
    <row r="1" spans="1:13" x14ac:dyDescent="0.2">
      <c r="A1" s="92"/>
      <c r="B1" s="93">
        <v>1</v>
      </c>
      <c r="C1" s="93">
        <v>2</v>
      </c>
      <c r="D1" s="93">
        <v>3</v>
      </c>
      <c r="E1" s="93">
        <v>4</v>
      </c>
      <c r="F1" s="93">
        <v>5</v>
      </c>
      <c r="G1" s="93">
        <v>6</v>
      </c>
      <c r="H1" s="93">
        <v>7</v>
      </c>
      <c r="I1" s="93">
        <v>8</v>
      </c>
      <c r="J1" s="93">
        <v>9</v>
      </c>
      <c r="K1" s="93">
        <v>10</v>
      </c>
      <c r="L1" s="93">
        <v>11</v>
      </c>
      <c r="M1" s="94">
        <v>12</v>
      </c>
    </row>
    <row r="2" spans="1:13" ht="16" thickBot="1" x14ac:dyDescent="0.25">
      <c r="A2" s="95" t="s">
        <v>311</v>
      </c>
      <c r="B2" s="96"/>
      <c r="C2" s="97"/>
      <c r="D2" s="97"/>
      <c r="E2" s="97"/>
      <c r="F2" s="97"/>
      <c r="G2" s="97"/>
      <c r="H2" s="97"/>
      <c r="I2" s="97"/>
      <c r="J2" s="97"/>
      <c r="K2" s="97"/>
      <c r="L2" s="96"/>
      <c r="M2" s="98"/>
    </row>
    <row r="3" spans="1:13" ht="16" thickBot="1" x14ac:dyDescent="0.25">
      <c r="A3" s="95" t="s">
        <v>312</v>
      </c>
      <c r="B3" s="99"/>
      <c r="C3" s="100" t="s">
        <v>313</v>
      </c>
      <c r="D3" s="101" t="s">
        <v>314</v>
      </c>
      <c r="E3" s="101" t="s">
        <v>315</v>
      </c>
      <c r="F3" s="101" t="s">
        <v>316</v>
      </c>
      <c r="G3" s="101" t="s">
        <v>317</v>
      </c>
      <c r="H3" s="101" t="s">
        <v>318</v>
      </c>
      <c r="I3" s="101" t="s">
        <v>319</v>
      </c>
      <c r="J3" s="101" t="s">
        <v>320</v>
      </c>
      <c r="K3" s="102" t="s">
        <v>321</v>
      </c>
      <c r="L3" s="103"/>
      <c r="M3" s="104"/>
    </row>
    <row r="4" spans="1:13" ht="16" thickBot="1" x14ac:dyDescent="0.25">
      <c r="A4" s="95" t="s">
        <v>322</v>
      </c>
      <c r="B4" s="96"/>
      <c r="C4" s="105"/>
      <c r="D4" s="105"/>
      <c r="E4" s="105"/>
      <c r="F4" s="105"/>
      <c r="G4" s="105"/>
      <c r="H4" s="105"/>
      <c r="I4" s="105"/>
      <c r="J4" s="105"/>
      <c r="K4" s="105"/>
      <c r="L4" s="96"/>
      <c r="M4" s="98"/>
    </row>
    <row r="5" spans="1:13" ht="16" thickBot="1" x14ac:dyDescent="0.25">
      <c r="A5" s="95" t="s">
        <v>323</v>
      </c>
      <c r="B5" s="99"/>
      <c r="C5" s="106" t="s">
        <v>313</v>
      </c>
      <c r="D5" s="107" t="s">
        <v>314</v>
      </c>
      <c r="E5" s="107" t="s">
        <v>315</v>
      </c>
      <c r="F5" s="107" t="s">
        <v>316</v>
      </c>
      <c r="G5" s="107" t="s">
        <v>317</v>
      </c>
      <c r="H5" s="107" t="s">
        <v>318</v>
      </c>
      <c r="I5" s="107" t="s">
        <v>319</v>
      </c>
      <c r="J5" s="108" t="s">
        <v>320</v>
      </c>
      <c r="K5" s="109" t="s">
        <v>321</v>
      </c>
      <c r="L5" s="103"/>
      <c r="M5" s="104"/>
    </row>
    <row r="6" spans="1:13" ht="16" thickBot="1" x14ac:dyDescent="0.25">
      <c r="A6" s="95" t="s">
        <v>324</v>
      </c>
      <c r="B6" s="99"/>
      <c r="C6" s="110" t="s">
        <v>313</v>
      </c>
      <c r="D6" s="111" t="s">
        <v>314</v>
      </c>
      <c r="E6" s="111" t="s">
        <v>315</v>
      </c>
      <c r="F6" s="111" t="s">
        <v>316</v>
      </c>
      <c r="G6" s="111" t="s">
        <v>317</v>
      </c>
      <c r="H6" s="111" t="s">
        <v>318</v>
      </c>
      <c r="I6" s="111" t="s">
        <v>319</v>
      </c>
      <c r="J6" s="108" t="s">
        <v>320</v>
      </c>
      <c r="K6" s="109" t="s">
        <v>321</v>
      </c>
      <c r="L6" s="103"/>
      <c r="M6" s="104"/>
    </row>
    <row r="7" spans="1:13" ht="16" thickBot="1" x14ac:dyDescent="0.25">
      <c r="A7" s="95" t="s">
        <v>325</v>
      </c>
      <c r="B7" s="99"/>
      <c r="C7" s="112" t="s">
        <v>313</v>
      </c>
      <c r="D7" s="113" t="s">
        <v>314</v>
      </c>
      <c r="E7" s="113" t="s">
        <v>315</v>
      </c>
      <c r="F7" s="113" t="s">
        <v>316</v>
      </c>
      <c r="G7" s="113" t="s">
        <v>317</v>
      </c>
      <c r="H7" s="113" t="s">
        <v>318</v>
      </c>
      <c r="I7" s="113" t="s">
        <v>319</v>
      </c>
      <c r="J7" s="108" t="s">
        <v>320</v>
      </c>
      <c r="K7" s="109" t="s">
        <v>321</v>
      </c>
      <c r="L7" s="103"/>
      <c r="M7" s="104"/>
    </row>
    <row r="8" spans="1:13" x14ac:dyDescent="0.2">
      <c r="A8" s="95" t="s">
        <v>326</v>
      </c>
      <c r="B8" s="96"/>
      <c r="C8" s="114"/>
      <c r="D8" s="114"/>
      <c r="E8" s="114"/>
      <c r="F8" s="114"/>
      <c r="G8" s="114"/>
      <c r="H8" s="114"/>
      <c r="I8" s="114"/>
      <c r="J8" s="114"/>
      <c r="K8" s="114"/>
      <c r="L8" s="96"/>
      <c r="M8" s="104"/>
    </row>
    <row r="9" spans="1:13" ht="16" thickBot="1" x14ac:dyDescent="0.25">
      <c r="A9" s="115" t="s">
        <v>327</v>
      </c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1CB77-B3E8-5044-A36B-BEAE9F1D89F4}">
  <dimension ref="A1:CL91"/>
  <sheetViews>
    <sheetView zoomScale="84" zoomScaleNormal="100" workbookViewId="0">
      <selection activeCell="AZ10" sqref="AZ10"/>
    </sheetView>
  </sheetViews>
  <sheetFormatPr baseColWidth="10" defaultRowHeight="15" x14ac:dyDescent="0.2"/>
  <cols>
    <col min="40" max="40" width="10.83203125" customWidth="1"/>
    <col min="43" max="43" width="12" bestFit="1" customWidth="1"/>
  </cols>
  <sheetData>
    <row r="1" spans="1:90" x14ac:dyDescent="0.2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90" x14ac:dyDescent="0.2">
      <c r="A2" s="4" t="s">
        <v>94</v>
      </c>
      <c r="B2" s="4" t="s">
        <v>95</v>
      </c>
      <c r="C2" s="4" t="s">
        <v>96</v>
      </c>
      <c r="D2" s="4" t="s">
        <v>97</v>
      </c>
      <c r="E2" s="4" t="s">
        <v>98</v>
      </c>
      <c r="F2" s="4" t="s">
        <v>99</v>
      </c>
      <c r="G2" s="4" t="s">
        <v>100</v>
      </c>
      <c r="H2" s="4" t="s">
        <v>101</v>
      </c>
      <c r="I2" s="4" t="s">
        <v>102</v>
      </c>
      <c r="J2" s="4" t="s">
        <v>103</v>
      </c>
      <c r="K2" s="4" t="s">
        <v>104</v>
      </c>
      <c r="L2" s="4" t="s">
        <v>105</v>
      </c>
      <c r="M2" s="4" t="s">
        <v>106</v>
      </c>
      <c r="N2" s="4" t="s">
        <v>107</v>
      </c>
      <c r="O2" s="4" t="s">
        <v>108</v>
      </c>
      <c r="P2" s="4" t="s">
        <v>109</v>
      </c>
      <c r="Q2" s="4" t="s">
        <v>110</v>
      </c>
      <c r="R2" s="4" t="s">
        <v>111</v>
      </c>
      <c r="S2" s="4" t="s">
        <v>112</v>
      </c>
      <c r="T2" s="4" t="s">
        <v>113</v>
      </c>
      <c r="U2" s="4" t="s">
        <v>114</v>
      </c>
      <c r="V2" s="4" t="s">
        <v>115</v>
      </c>
      <c r="W2" s="4" t="s">
        <v>116</v>
      </c>
      <c r="X2" s="4" t="s">
        <v>117</v>
      </c>
      <c r="Y2" s="4" t="s">
        <v>118</v>
      </c>
      <c r="Z2" s="4" t="s">
        <v>119</v>
      </c>
      <c r="AA2" s="4" t="s">
        <v>120</v>
      </c>
      <c r="AB2" s="4" t="s">
        <v>121</v>
      </c>
      <c r="AC2" s="4" t="s">
        <v>122</v>
      </c>
      <c r="AD2" s="4" t="s">
        <v>123</v>
      </c>
      <c r="AE2" s="4" t="s">
        <v>124</v>
      </c>
      <c r="AF2" s="4" t="s">
        <v>125</v>
      </c>
      <c r="AG2" s="4" t="s">
        <v>126</v>
      </c>
      <c r="AH2" s="4" t="s">
        <v>127</v>
      </c>
      <c r="AI2" s="4" t="s">
        <v>128</v>
      </c>
    </row>
    <row r="3" spans="1:90" x14ac:dyDescent="0.2">
      <c r="A3" s="4" t="s">
        <v>38</v>
      </c>
      <c r="B3" s="1">
        <v>0</v>
      </c>
      <c r="C3" s="1">
        <v>25.5</v>
      </c>
      <c r="D3" s="1">
        <f>B3/3600</f>
        <v>0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P3" s="7">
        <v>0.1052</v>
      </c>
      <c r="AS3" s="7">
        <v>0.1056</v>
      </c>
      <c r="AV3" s="7">
        <v>0.1053</v>
      </c>
      <c r="AY3" s="7">
        <v>0.105</v>
      </c>
      <c r="BB3" s="7">
        <v>0.1094</v>
      </c>
      <c r="BE3" s="7">
        <v>0.10829999999999999</v>
      </c>
      <c r="BH3" s="1">
        <v>0.1066</v>
      </c>
      <c r="BK3" s="1">
        <v>0.1051</v>
      </c>
      <c r="BN3" s="1">
        <v>0.10780000000000001</v>
      </c>
    </row>
    <row r="4" spans="1:90" x14ac:dyDescent="0.2">
      <c r="A4" s="4" t="s">
        <v>39</v>
      </c>
      <c r="B4" s="1">
        <v>856.55799999999999</v>
      </c>
      <c r="C4" s="1">
        <v>27.6</v>
      </c>
      <c r="D4" s="1">
        <f t="shared" ref="D4:D37" si="0">B4/3600</f>
        <v>0.23793277777777777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P4" s="6" t="s">
        <v>219</v>
      </c>
      <c r="AQ4" s="6" t="s">
        <v>220</v>
      </c>
      <c r="AS4" s="6" t="s">
        <v>219</v>
      </c>
      <c r="AT4" s="6" t="s">
        <v>220</v>
      </c>
      <c r="AV4" s="6" t="s">
        <v>219</v>
      </c>
      <c r="AW4" s="6" t="s">
        <v>220</v>
      </c>
      <c r="AY4" s="6" t="s">
        <v>219</v>
      </c>
      <c r="AZ4" s="6" t="s">
        <v>220</v>
      </c>
      <c r="BB4" s="6" t="s">
        <v>219</v>
      </c>
      <c r="BC4" s="6" t="s">
        <v>220</v>
      </c>
      <c r="BE4" s="6" t="s">
        <v>219</v>
      </c>
      <c r="BF4" s="6" t="s">
        <v>220</v>
      </c>
      <c r="BH4" s="6" t="s">
        <v>219</v>
      </c>
      <c r="BI4" s="6" t="s">
        <v>220</v>
      </c>
    </row>
    <row r="5" spans="1:90" x14ac:dyDescent="0.2">
      <c r="A5" s="4" t="s">
        <v>40</v>
      </c>
      <c r="B5" s="1">
        <v>1712.5909999999999</v>
      </c>
      <c r="C5" s="1">
        <v>30.5</v>
      </c>
      <c r="D5" s="1">
        <f t="shared" si="0"/>
        <v>0.4757197222222222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4" t="s">
        <v>129</v>
      </c>
      <c r="AK5" s="4" t="s">
        <v>130</v>
      </c>
      <c r="AL5" s="4" t="s">
        <v>131</v>
      </c>
      <c r="AM5" s="4" t="s">
        <v>132</v>
      </c>
      <c r="AN5" s="4" t="s">
        <v>133</v>
      </c>
      <c r="AO5" s="4" t="s">
        <v>134</v>
      </c>
      <c r="AP5" s="4"/>
      <c r="AQ5" s="4"/>
      <c r="AR5" s="4" t="s">
        <v>135</v>
      </c>
      <c r="AS5" s="4"/>
      <c r="AT5" s="4"/>
      <c r="AU5" s="4" t="s">
        <v>136</v>
      </c>
      <c r="AV5" s="4"/>
      <c r="AW5" s="4"/>
      <c r="AX5" s="4" t="s">
        <v>137</v>
      </c>
      <c r="AY5" s="4"/>
      <c r="AZ5" s="4"/>
      <c r="BA5" s="4" t="s">
        <v>138</v>
      </c>
      <c r="BB5" s="4"/>
      <c r="BC5" s="4"/>
      <c r="BD5" s="4" t="s">
        <v>139</v>
      </c>
      <c r="BE5" s="4"/>
      <c r="BF5" s="4"/>
      <c r="BG5" s="4" t="s">
        <v>140</v>
      </c>
      <c r="BH5" s="4"/>
      <c r="BI5" s="4"/>
      <c r="BJ5" s="3" t="s">
        <v>141</v>
      </c>
      <c r="BK5" s="3"/>
      <c r="BL5" s="3"/>
      <c r="BM5" s="3" t="s">
        <v>142</v>
      </c>
      <c r="BN5" s="3" t="s">
        <v>143</v>
      </c>
      <c r="BO5" s="3" t="s">
        <v>144</v>
      </c>
      <c r="BP5" s="4" t="s">
        <v>145</v>
      </c>
      <c r="BQ5" s="4" t="s">
        <v>146</v>
      </c>
      <c r="BR5" s="4" t="s">
        <v>147</v>
      </c>
      <c r="BS5" s="4" t="s">
        <v>148</v>
      </c>
      <c r="BT5" s="4" t="s">
        <v>149</v>
      </c>
      <c r="BU5" s="4" t="s">
        <v>150</v>
      </c>
      <c r="BV5" s="4" t="s">
        <v>151</v>
      </c>
      <c r="BW5" s="4" t="s">
        <v>152</v>
      </c>
      <c r="BX5" s="4" t="s">
        <v>153</v>
      </c>
      <c r="BY5" s="4" t="s">
        <v>154</v>
      </c>
      <c r="BZ5" s="4" t="s">
        <v>155</v>
      </c>
      <c r="CA5" s="4" t="s">
        <v>156</v>
      </c>
      <c r="CB5" s="4" t="s">
        <v>157</v>
      </c>
      <c r="CC5" s="4" t="s">
        <v>158</v>
      </c>
      <c r="CD5" s="4" t="s">
        <v>159</v>
      </c>
      <c r="CE5" s="4" t="s">
        <v>160</v>
      </c>
      <c r="CF5" s="4" t="s">
        <v>161</v>
      </c>
      <c r="CG5" s="4" t="s">
        <v>162</v>
      </c>
      <c r="CH5" s="4" t="s">
        <v>163</v>
      </c>
      <c r="CI5" s="4" t="s">
        <v>164</v>
      </c>
      <c r="CJ5" s="4" t="s">
        <v>165</v>
      </c>
      <c r="CK5" s="4" t="s">
        <v>166</v>
      </c>
      <c r="CL5" s="4" t="s">
        <v>167</v>
      </c>
    </row>
    <row r="6" spans="1:90" x14ac:dyDescent="0.2">
      <c r="A6" s="4" t="s">
        <v>41</v>
      </c>
      <c r="B6" s="1">
        <v>2568.7759999999998</v>
      </c>
      <c r="C6" s="1">
        <v>33</v>
      </c>
      <c r="D6" s="1">
        <f t="shared" si="0"/>
        <v>0.7135488888888889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>
        <v>0</v>
      </c>
      <c r="AN6" s="1">
        <f>LN(AP6)</f>
        <v>-5.2590966533947565</v>
      </c>
      <c r="AO6" s="1">
        <v>0.1104</v>
      </c>
      <c r="AP6" s="1">
        <f>AO6-$AP$3</f>
        <v>5.1999999999999963E-3</v>
      </c>
      <c r="AQ6" s="1">
        <f>-LN(AP6)</f>
        <v>5.2590966533947565</v>
      </c>
      <c r="AR6" s="1">
        <v>0.1072</v>
      </c>
      <c r="AS6" s="1"/>
      <c r="AT6" s="1" t="e">
        <f>LN(AS6)</f>
        <v>#NUM!</v>
      </c>
      <c r="AU6" s="1">
        <v>0.1067</v>
      </c>
      <c r="AV6" s="1">
        <f>AU6-$AV$3</f>
        <v>1.3999999999999985E-3</v>
      </c>
      <c r="AW6" s="1">
        <f>LN(AV6)</f>
        <v>-6.5712830423609256</v>
      </c>
      <c r="AX6" s="1">
        <v>0.1051</v>
      </c>
      <c r="AY6" s="1">
        <f>AX6-$AY$3</f>
        <v>1.0000000000000286E-4</v>
      </c>
      <c r="AZ6" s="1">
        <f>LN(AY6)</f>
        <v>-9.2103403719761534</v>
      </c>
      <c r="BA6" s="1">
        <v>0.10979999999999999</v>
      </c>
      <c r="BB6" s="1">
        <f>BA6-$BB$3</f>
        <v>3.9999999999999758E-4</v>
      </c>
      <c r="BC6" s="1">
        <f>LN(BB6)</f>
        <v>-7.8240460108562981</v>
      </c>
      <c r="BD6" s="1">
        <v>0.10920000000000001</v>
      </c>
      <c r="BE6" s="1">
        <f>BD6-$BE$3</f>
        <v>9.000000000000119E-4</v>
      </c>
      <c r="BF6" s="1">
        <f>LN(BE6)</f>
        <v>-7.0131157946399503</v>
      </c>
      <c r="BG6" s="1">
        <v>0.1096</v>
      </c>
      <c r="BH6" s="1">
        <f>BG6-$BH$3</f>
        <v>3.0000000000000027E-3</v>
      </c>
      <c r="BI6" s="1">
        <f>LN(BH6)</f>
        <v>-5.8091429903140268</v>
      </c>
      <c r="BJ6" s="1">
        <v>0.10390000000000001</v>
      </c>
      <c r="BK6" s="1">
        <f>BJ6-$BK$3</f>
        <v>-1.1999999999999927E-3</v>
      </c>
      <c r="BL6" s="1" t="e">
        <f>LN(BK6)</f>
        <v>#NUM!</v>
      </c>
      <c r="BM6" s="1">
        <v>0.1085</v>
      </c>
      <c r="BN6" s="1">
        <f>BM6-$BN$3</f>
        <v>6.999999999999923E-4</v>
      </c>
      <c r="BO6" s="1">
        <f>LN(BN6)</f>
        <v>-7.2644302229208808</v>
      </c>
      <c r="BP6" s="1"/>
      <c r="BQ6" s="1">
        <v>0.1028</v>
      </c>
      <c r="BR6" s="1">
        <v>0.1108</v>
      </c>
      <c r="BS6" s="1">
        <v>0.1031</v>
      </c>
      <c r="BT6" s="1">
        <v>0.10390000000000001</v>
      </c>
      <c r="BU6" s="1">
        <v>0.105</v>
      </c>
      <c r="BV6" s="1">
        <v>0.10730000000000001</v>
      </c>
      <c r="BW6" s="1">
        <v>0.1079</v>
      </c>
      <c r="BX6" s="1">
        <v>0.108</v>
      </c>
      <c r="BY6" s="1">
        <v>0.1043</v>
      </c>
      <c r="BZ6" s="1"/>
      <c r="CA6" s="1"/>
      <c r="CB6" s="1"/>
      <c r="CC6" s="1">
        <v>0.1047</v>
      </c>
      <c r="CD6" s="1">
        <v>0.1038</v>
      </c>
      <c r="CE6" s="1">
        <v>0.104</v>
      </c>
      <c r="CF6" s="1">
        <v>0.10349999999999999</v>
      </c>
      <c r="CG6" s="1">
        <v>0.1057</v>
      </c>
      <c r="CH6" s="1">
        <v>0.1198</v>
      </c>
      <c r="CI6" s="1">
        <v>0.10580000000000001</v>
      </c>
      <c r="CJ6" s="1">
        <v>0.1051</v>
      </c>
      <c r="CK6" s="1">
        <v>0.10489999999999999</v>
      </c>
      <c r="CL6" s="1"/>
    </row>
    <row r="7" spans="1:90" x14ac:dyDescent="0.2">
      <c r="A7" s="4" t="s">
        <v>42</v>
      </c>
      <c r="B7" s="1">
        <v>3424.9659999999999</v>
      </c>
      <c r="C7" s="1">
        <v>35.5</v>
      </c>
      <c r="D7" s="1">
        <f t="shared" si="0"/>
        <v>0.95137944444444444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>
        <v>0.23793277777777777</v>
      </c>
      <c r="AN7" s="1">
        <f t="shared" ref="AN7:AN40" si="1">LN(AP7)</f>
        <v>-8.5171931914162773</v>
      </c>
      <c r="AO7" s="1">
        <v>0.10539999999999999</v>
      </c>
      <c r="AP7" s="1">
        <f t="shared" ref="AP7:AP40" si="2">AO7-$AP$3</f>
        <v>1.9999999999999185E-4</v>
      </c>
      <c r="AQ7" s="1">
        <f>-LN(AP7)</f>
        <v>8.5171931914162773</v>
      </c>
      <c r="AR7" s="7">
        <v>0.1056</v>
      </c>
      <c r="AS7" s="1">
        <f>AR7-$AS$3</f>
        <v>0</v>
      </c>
      <c r="AT7" s="1" t="e">
        <f t="shared" ref="AT7:AT40" si="3">LN(AS7)</f>
        <v>#NUM!</v>
      </c>
      <c r="AU7" s="7">
        <v>0.1053</v>
      </c>
      <c r="AV7" s="1">
        <f t="shared" ref="AV7:AV40" si="4">AU7-$AV$3</f>
        <v>0</v>
      </c>
      <c r="AW7" s="1" t="e">
        <f t="shared" ref="AW7:AW40" si="5">LN(AV7)</f>
        <v>#NUM!</v>
      </c>
      <c r="AX7" s="7">
        <v>0.105</v>
      </c>
      <c r="AY7" s="1">
        <f t="shared" ref="AY7:AY40" si="6">AX7-$AY$3</f>
        <v>0</v>
      </c>
      <c r="AZ7" s="1" t="e">
        <f t="shared" ref="AZ7:AZ41" si="7">LN(AY7)</f>
        <v>#NUM!</v>
      </c>
      <c r="BA7" s="7">
        <v>0.1094</v>
      </c>
      <c r="BB7" s="1">
        <f t="shared" ref="BB7:BB40" si="8">BA7-$BB$3</f>
        <v>0</v>
      </c>
      <c r="BC7" s="1" t="e">
        <f t="shared" ref="BC7:BC40" si="9">LN(BB7)</f>
        <v>#NUM!</v>
      </c>
      <c r="BD7" s="7">
        <v>0.10829999999999999</v>
      </c>
      <c r="BE7" s="1">
        <f t="shared" ref="BE7:BE40" si="10">BD7-$BE$3</f>
        <v>0</v>
      </c>
      <c r="BF7" s="1" t="e">
        <f t="shared" ref="BF7:BF40" si="11">LN(BE7)</f>
        <v>#NUM!</v>
      </c>
      <c r="BG7" s="1">
        <v>0.1066</v>
      </c>
      <c r="BH7" s="1">
        <f t="shared" ref="BH7:BH40" si="12">BG7-$BH$3</f>
        <v>0</v>
      </c>
      <c r="BI7" s="1" t="e">
        <f t="shared" ref="BI7:BI40" si="13">LN(BH7)</f>
        <v>#NUM!</v>
      </c>
      <c r="BJ7" s="1">
        <v>0.1051</v>
      </c>
      <c r="BK7" s="1">
        <f t="shared" ref="BK7:BK40" si="14">BJ7-$BK$3</f>
        <v>0</v>
      </c>
      <c r="BL7" s="1" t="e">
        <f t="shared" ref="BL7:BL42" si="15">LN(BK7)</f>
        <v>#NUM!</v>
      </c>
      <c r="BM7" s="1">
        <v>0.1081</v>
      </c>
      <c r="BN7" s="1">
        <f t="shared" ref="BN7:BN40" si="16">BM7-$BN$3</f>
        <v>2.9999999999999472E-4</v>
      </c>
      <c r="BO7" s="1">
        <f t="shared" ref="BO7:BO40" si="17">LN(BN7)</f>
        <v>-8.1117280833080905</v>
      </c>
      <c r="BP7" s="1"/>
      <c r="BQ7" s="1">
        <v>0.1013</v>
      </c>
      <c r="BR7" s="1">
        <v>0.1047</v>
      </c>
      <c r="BS7" s="1">
        <v>0.1047</v>
      </c>
      <c r="BT7" s="1">
        <v>0.105</v>
      </c>
      <c r="BU7" s="1">
        <v>0.10539999999999999</v>
      </c>
      <c r="BV7" s="1">
        <v>0.1069</v>
      </c>
      <c r="BW7" s="1">
        <v>0.1087</v>
      </c>
      <c r="BX7" s="1">
        <v>0.106</v>
      </c>
      <c r="BY7" s="1">
        <v>0.1053</v>
      </c>
      <c r="BZ7" s="1"/>
      <c r="CA7" s="1"/>
      <c r="CB7" s="1"/>
      <c r="CC7" s="1">
        <v>0.1071</v>
      </c>
      <c r="CD7" s="1">
        <v>0.106</v>
      </c>
      <c r="CE7" s="1">
        <v>0.1053</v>
      </c>
      <c r="CF7" s="1">
        <v>0.1055</v>
      </c>
      <c r="CG7" s="1">
        <v>0.1075</v>
      </c>
      <c r="CH7" s="1">
        <v>0.12189999999999999</v>
      </c>
      <c r="CI7" s="1">
        <v>0.1084</v>
      </c>
      <c r="CJ7" s="1">
        <v>0.10589999999999999</v>
      </c>
      <c r="CK7" s="1">
        <v>0.10879999999999999</v>
      </c>
      <c r="CL7" s="1"/>
    </row>
    <row r="8" spans="1:90" x14ac:dyDescent="0.2">
      <c r="A8" s="4" t="s">
        <v>43</v>
      </c>
      <c r="B8" s="1">
        <v>4280.9219999999996</v>
      </c>
      <c r="C8" s="1">
        <v>36.799999999999997</v>
      </c>
      <c r="D8" s="1">
        <f t="shared" si="0"/>
        <v>1.1891449999999999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>
        <v>0.4757197222222222</v>
      </c>
      <c r="AN8" s="1" t="e">
        <f t="shared" si="1"/>
        <v>#NUM!</v>
      </c>
      <c r="AO8" s="7">
        <v>0.1052</v>
      </c>
      <c r="AP8" s="1">
        <f t="shared" si="2"/>
        <v>0</v>
      </c>
      <c r="AQ8" s="1">
        <v>0</v>
      </c>
      <c r="AR8" s="1">
        <v>0.106</v>
      </c>
      <c r="AS8" s="1">
        <f t="shared" ref="AS8:AS40" si="18">AR8-$AS$3</f>
        <v>3.9999999999999758E-4</v>
      </c>
      <c r="AT8" s="1">
        <f t="shared" si="3"/>
        <v>-7.8240460108562981</v>
      </c>
      <c r="AU8" s="1">
        <v>0.1057</v>
      </c>
      <c r="AV8" s="1">
        <f t="shared" si="4"/>
        <v>3.9999999999999758E-4</v>
      </c>
      <c r="AW8" s="1">
        <f t="shared" si="5"/>
        <v>-7.8240460108562981</v>
      </c>
      <c r="AX8" s="1">
        <v>0.1051</v>
      </c>
      <c r="AY8" s="1">
        <f t="shared" si="6"/>
        <v>1.0000000000000286E-4</v>
      </c>
      <c r="AZ8" s="1">
        <f t="shared" si="7"/>
        <v>-9.2103403719761534</v>
      </c>
      <c r="BA8" s="1">
        <v>0.11020000000000001</v>
      </c>
      <c r="BB8" s="1">
        <f t="shared" si="8"/>
        <v>8.0000000000000904E-4</v>
      </c>
      <c r="BC8" s="1">
        <f t="shared" si="9"/>
        <v>-7.1308988302963359</v>
      </c>
      <c r="BD8" s="1">
        <v>0.1089</v>
      </c>
      <c r="BE8" s="1">
        <f t="shared" si="10"/>
        <v>6.0000000000000331E-4</v>
      </c>
      <c r="BF8" s="1">
        <f t="shared" si="11"/>
        <v>-7.418580902748122</v>
      </c>
      <c r="BG8" s="1">
        <v>0.1074</v>
      </c>
      <c r="BH8" s="1">
        <f t="shared" si="12"/>
        <v>7.9999999999999516E-4</v>
      </c>
      <c r="BI8" s="1">
        <f t="shared" si="13"/>
        <v>-7.1308988302963527</v>
      </c>
      <c r="BJ8" s="1">
        <v>0.1057</v>
      </c>
      <c r="BK8" s="1">
        <f t="shared" si="14"/>
        <v>6.0000000000000331E-4</v>
      </c>
      <c r="BL8" s="1">
        <f t="shared" si="15"/>
        <v>-7.418580902748122</v>
      </c>
      <c r="BM8" s="1">
        <v>0.10780000000000001</v>
      </c>
      <c r="BN8" s="1">
        <f t="shared" si="16"/>
        <v>0</v>
      </c>
      <c r="BO8" s="1" t="e">
        <f t="shared" si="17"/>
        <v>#NUM!</v>
      </c>
      <c r="BP8" s="1"/>
      <c r="BQ8" s="1">
        <v>0.1008</v>
      </c>
      <c r="BR8" s="1">
        <v>0.1048</v>
      </c>
      <c r="BS8" s="1">
        <v>0.1046</v>
      </c>
      <c r="BT8" s="1">
        <v>0.1055</v>
      </c>
      <c r="BU8" s="1">
        <v>0.1061</v>
      </c>
      <c r="BV8" s="1">
        <v>0.1071</v>
      </c>
      <c r="BW8" s="1">
        <v>0.1096</v>
      </c>
      <c r="BX8" s="1">
        <v>0.1052</v>
      </c>
      <c r="BY8" s="1">
        <v>0.10580000000000001</v>
      </c>
      <c r="BZ8" s="1"/>
      <c r="CA8" s="1"/>
      <c r="CB8" s="1"/>
      <c r="CC8" s="1">
        <v>0.1072</v>
      </c>
      <c r="CD8" s="1">
        <v>0.106</v>
      </c>
      <c r="CE8" s="1">
        <v>0.10539999999999999</v>
      </c>
      <c r="CF8" s="1">
        <v>0.10589999999999999</v>
      </c>
      <c r="CG8" s="1">
        <v>0.1087</v>
      </c>
      <c r="CH8" s="1">
        <v>0.12230000000000001</v>
      </c>
      <c r="CI8" s="1">
        <v>0.1085</v>
      </c>
      <c r="CJ8" s="1">
        <v>0.10580000000000001</v>
      </c>
      <c r="CK8" s="1">
        <v>0.10879999999999999</v>
      </c>
      <c r="CL8" s="1"/>
    </row>
    <row r="9" spans="1:90" x14ac:dyDescent="0.2">
      <c r="A9" s="4" t="s">
        <v>44</v>
      </c>
      <c r="B9" s="1">
        <v>5137.12</v>
      </c>
      <c r="C9" s="1">
        <v>38.299999999999997</v>
      </c>
      <c r="D9" s="1">
        <f t="shared" si="0"/>
        <v>1.4269777777777777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>
        <v>0.7135488888888889</v>
      </c>
      <c r="AN9" s="1">
        <f t="shared" si="1"/>
        <v>-5.9914645471079808</v>
      </c>
      <c r="AO9" s="1">
        <v>0.1077</v>
      </c>
      <c r="AP9" s="1">
        <f t="shared" si="2"/>
        <v>2.5000000000000022E-3</v>
      </c>
      <c r="AQ9" s="1">
        <f t="shared" ref="AQ9:AQ40" si="19">-LN(AP9)</f>
        <v>5.9914645471079808</v>
      </c>
      <c r="AR9" s="1">
        <v>0.1077</v>
      </c>
      <c r="AS9" s="1">
        <f t="shared" si="18"/>
        <v>2.1000000000000046E-3</v>
      </c>
      <c r="AT9" s="1">
        <f t="shared" si="3"/>
        <v>-6.1658179342527575</v>
      </c>
      <c r="AU9" s="1">
        <v>0.10780000000000001</v>
      </c>
      <c r="AV9" s="1">
        <f t="shared" si="4"/>
        <v>2.5000000000000022E-3</v>
      </c>
      <c r="AW9" s="1">
        <f t="shared" si="5"/>
        <v>-5.9914645471079808</v>
      </c>
      <c r="AX9" s="1">
        <v>0.1077</v>
      </c>
      <c r="AY9" s="1">
        <f t="shared" si="6"/>
        <v>2.7000000000000079E-3</v>
      </c>
      <c r="AZ9" s="1">
        <f t="shared" si="7"/>
        <v>-5.9145035059718509</v>
      </c>
      <c r="BA9" s="1">
        <v>0.1115</v>
      </c>
      <c r="BB9" s="1">
        <f t="shared" si="8"/>
        <v>2.1000000000000046E-3</v>
      </c>
      <c r="BC9" s="1">
        <f t="shared" si="9"/>
        <v>-6.1658179342527575</v>
      </c>
      <c r="BD9" s="1">
        <v>0.1125</v>
      </c>
      <c r="BE9" s="1">
        <f t="shared" si="10"/>
        <v>4.2000000000000093E-3</v>
      </c>
      <c r="BF9" s="1">
        <f t="shared" si="11"/>
        <v>-5.4726707536928121</v>
      </c>
      <c r="BG9" s="1">
        <v>0.1101</v>
      </c>
      <c r="BH9" s="1">
        <f t="shared" si="12"/>
        <v>3.5000000000000031E-3</v>
      </c>
      <c r="BI9" s="1">
        <f t="shared" si="13"/>
        <v>-5.6549923104867679</v>
      </c>
      <c r="BJ9" s="1">
        <v>0.1086</v>
      </c>
      <c r="BK9" s="1">
        <f t="shared" si="14"/>
        <v>3.5000000000000031E-3</v>
      </c>
      <c r="BL9" s="1">
        <f t="shared" si="15"/>
        <v>-5.6549923104867679</v>
      </c>
      <c r="BM9" s="1">
        <v>0.10879999999999999</v>
      </c>
      <c r="BN9" s="1">
        <f t="shared" si="16"/>
        <v>9.9999999999998701E-4</v>
      </c>
      <c r="BO9" s="1">
        <f t="shared" si="17"/>
        <v>-6.9077552789821501</v>
      </c>
      <c r="BP9" s="1"/>
      <c r="BQ9" s="1">
        <v>0.1009</v>
      </c>
      <c r="BR9" s="1">
        <v>0.1066</v>
      </c>
      <c r="BS9" s="1">
        <v>0.10639999999999999</v>
      </c>
      <c r="BT9" s="1">
        <v>0.10780000000000001</v>
      </c>
      <c r="BU9" s="1">
        <v>0.1084</v>
      </c>
      <c r="BV9" s="1">
        <v>0.10979999999999999</v>
      </c>
      <c r="BW9" s="1">
        <v>0.1114</v>
      </c>
      <c r="BX9" s="1">
        <v>0.10730000000000001</v>
      </c>
      <c r="BY9" s="1">
        <v>0.1075</v>
      </c>
      <c r="BZ9" s="1"/>
      <c r="CA9" s="1"/>
      <c r="CB9" s="1"/>
      <c r="CC9" s="1">
        <v>0.11070000000000001</v>
      </c>
      <c r="CD9" s="1">
        <v>0.1087</v>
      </c>
      <c r="CE9" s="1">
        <v>0.10780000000000001</v>
      </c>
      <c r="CF9" s="1">
        <v>0.1085</v>
      </c>
      <c r="CG9" s="1">
        <v>0.1115</v>
      </c>
      <c r="CH9" s="1">
        <v>0.12429999999999999</v>
      </c>
      <c r="CI9" s="1">
        <v>0.11219999999999999</v>
      </c>
      <c r="CJ9" s="1">
        <v>0.1087</v>
      </c>
      <c r="CK9" s="1">
        <v>0.1109</v>
      </c>
      <c r="CL9" s="1"/>
    </row>
    <row r="10" spans="1:90" x14ac:dyDescent="0.2">
      <c r="A10" s="4" t="s">
        <v>45</v>
      </c>
      <c r="B10" s="1">
        <v>5993.308</v>
      </c>
      <c r="C10" s="1">
        <v>35.4</v>
      </c>
      <c r="D10" s="1">
        <f t="shared" si="0"/>
        <v>1.6648077777777779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>
        <v>0.95137944444444444</v>
      </c>
      <c r="AN10" s="1">
        <f t="shared" si="1"/>
        <v>-5.005647752585217</v>
      </c>
      <c r="AO10" s="1">
        <v>0.1119</v>
      </c>
      <c r="AP10" s="1">
        <f t="shared" si="2"/>
        <v>6.6999999999999976E-3</v>
      </c>
      <c r="AQ10" s="1">
        <f t="shared" si="19"/>
        <v>5.005647752585217</v>
      </c>
      <c r="AR10" s="1">
        <v>0.1124</v>
      </c>
      <c r="AS10" s="1">
        <f t="shared" si="18"/>
        <v>6.8000000000000005E-3</v>
      </c>
      <c r="AT10" s="1">
        <f t="shared" si="3"/>
        <v>-4.9908326668000758</v>
      </c>
      <c r="AU10" s="1">
        <v>0.1125</v>
      </c>
      <c r="AV10" s="1">
        <f t="shared" si="4"/>
        <v>7.1999999999999981E-3</v>
      </c>
      <c r="AW10" s="1">
        <f>LN(AV10)</f>
        <v>-4.9336742529601274</v>
      </c>
      <c r="AX10" s="1">
        <v>0.11260000000000001</v>
      </c>
      <c r="AY10" s="1">
        <f t="shared" si="6"/>
        <v>7.6000000000000095E-3</v>
      </c>
      <c r="AZ10" s="1">
        <f>LN(AY10)</f>
        <v>-4.8796070316898508</v>
      </c>
      <c r="BA10" s="1">
        <v>0.1158</v>
      </c>
      <c r="BB10" s="1">
        <f t="shared" si="8"/>
        <v>6.4000000000000029E-3</v>
      </c>
      <c r="BC10" s="1">
        <f t="shared" si="9"/>
        <v>-5.0514572886165103</v>
      </c>
      <c r="BD10" s="1">
        <v>0.11899999999999999</v>
      </c>
      <c r="BE10" s="1">
        <f t="shared" si="10"/>
        <v>1.0700000000000001E-2</v>
      </c>
      <c r="BF10" s="1">
        <f t="shared" si="11"/>
        <v>-4.537511537514276</v>
      </c>
      <c r="BG10" s="1">
        <v>0.1158</v>
      </c>
      <c r="BH10" s="1">
        <f t="shared" si="12"/>
        <v>9.1999999999999998E-3</v>
      </c>
      <c r="BI10" s="1">
        <f t="shared" si="13"/>
        <v>-4.6885517949271422</v>
      </c>
      <c r="BJ10" s="1">
        <v>0.1135</v>
      </c>
      <c r="BK10" s="1">
        <f t="shared" si="14"/>
        <v>8.4000000000000047E-3</v>
      </c>
      <c r="BL10" s="1">
        <f t="shared" si="15"/>
        <v>-4.7795235731328685</v>
      </c>
      <c r="BM10" s="1">
        <v>0.1113</v>
      </c>
      <c r="BN10" s="1">
        <f t="shared" si="16"/>
        <v>3.4999999999999892E-3</v>
      </c>
      <c r="BO10" s="1">
        <f t="shared" si="17"/>
        <v>-5.6549923104867723</v>
      </c>
      <c r="BP10" s="1"/>
      <c r="BQ10" s="1">
        <v>0.1014</v>
      </c>
      <c r="BR10" s="1">
        <v>0.11070000000000001</v>
      </c>
      <c r="BS10" s="1">
        <v>0.111</v>
      </c>
      <c r="BT10" s="1">
        <v>0.1124</v>
      </c>
      <c r="BU10" s="1">
        <v>0.11269999999999999</v>
      </c>
      <c r="BV10" s="1">
        <v>0.1154</v>
      </c>
      <c r="BW10" s="1">
        <v>0.11650000000000001</v>
      </c>
      <c r="BX10" s="1">
        <v>0.1116</v>
      </c>
      <c r="BY10" s="1">
        <v>0.1114</v>
      </c>
      <c r="BZ10" s="1"/>
      <c r="CA10" s="1"/>
      <c r="CB10" s="1"/>
      <c r="CC10" s="1">
        <v>0.1168</v>
      </c>
      <c r="CD10" s="1">
        <v>0.1139</v>
      </c>
      <c r="CE10" s="1">
        <v>0.113</v>
      </c>
      <c r="CF10" s="1">
        <v>0.1135</v>
      </c>
      <c r="CG10" s="1">
        <v>0.11650000000000001</v>
      </c>
      <c r="CH10" s="1">
        <v>0.12920000000000001</v>
      </c>
      <c r="CI10" s="1">
        <v>0.1178</v>
      </c>
      <c r="CJ10" s="1">
        <v>0.11360000000000001</v>
      </c>
      <c r="CK10" s="1">
        <v>0.1154</v>
      </c>
      <c r="CL10" s="1"/>
    </row>
    <row r="11" spans="1:90" x14ac:dyDescent="0.2">
      <c r="A11" s="4" t="s">
        <v>46</v>
      </c>
      <c r="B11" s="1">
        <v>6849.28</v>
      </c>
      <c r="C11" s="1">
        <v>36.700000000000003</v>
      </c>
      <c r="D11" s="1">
        <f t="shared" si="0"/>
        <v>1.9025777777777777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>
        <v>1.1891449999999999</v>
      </c>
      <c r="AN11" s="1">
        <f t="shared" si="1"/>
        <v>-4.5189924897470393</v>
      </c>
      <c r="AO11" s="1">
        <v>0.11609999999999999</v>
      </c>
      <c r="AP11" s="1">
        <f t="shared" si="2"/>
        <v>1.0899999999999993E-2</v>
      </c>
      <c r="AQ11" s="1">
        <f t="shared" si="19"/>
        <v>4.5189924897470393</v>
      </c>
      <c r="AR11" s="1">
        <v>0.1173</v>
      </c>
      <c r="AS11" s="1">
        <f t="shared" si="18"/>
        <v>1.1700000000000002E-2</v>
      </c>
      <c r="AT11" s="1">
        <f t="shared" si="3"/>
        <v>-4.4481664371784264</v>
      </c>
      <c r="AU11" s="1">
        <v>0.11890000000000001</v>
      </c>
      <c r="AV11" s="1">
        <f t="shared" si="4"/>
        <v>1.3600000000000001E-2</v>
      </c>
      <c r="AW11" s="1">
        <f t="shared" si="5"/>
        <v>-4.2976854862401304</v>
      </c>
      <c r="AX11" s="1">
        <v>0.1196</v>
      </c>
      <c r="AY11" s="1">
        <f t="shared" si="6"/>
        <v>1.4600000000000002E-2</v>
      </c>
      <c r="AZ11" s="1">
        <f t="shared" si="7"/>
        <v>-4.2267337502678464</v>
      </c>
      <c r="BA11" s="1">
        <v>0.1216</v>
      </c>
      <c r="BB11" s="1">
        <f t="shared" si="8"/>
        <v>1.2200000000000003E-2</v>
      </c>
      <c r="BC11" s="1">
        <f t="shared" si="9"/>
        <v>-4.406319327242926</v>
      </c>
      <c r="BD11" s="1">
        <v>0.12790000000000001</v>
      </c>
      <c r="BE11" s="1">
        <f t="shared" si="10"/>
        <v>1.960000000000002E-2</v>
      </c>
      <c r="BF11" s="1">
        <f t="shared" si="11"/>
        <v>-3.9322257127456646</v>
      </c>
      <c r="BG11" s="1">
        <v>0.1229</v>
      </c>
      <c r="BH11" s="1">
        <f t="shared" si="12"/>
        <v>1.6299999999999995E-2</v>
      </c>
      <c r="BI11" s="1">
        <f t="shared" si="13"/>
        <v>-4.1165901711694204</v>
      </c>
      <c r="BJ11" s="1">
        <v>0.12139999999999999</v>
      </c>
      <c r="BK11" s="1">
        <f t="shared" si="14"/>
        <v>1.6299999999999995E-2</v>
      </c>
      <c r="BL11" s="1">
        <f t="shared" si="15"/>
        <v>-4.1165901711694204</v>
      </c>
      <c r="BM11" s="1">
        <v>0.1154</v>
      </c>
      <c r="BN11" s="1">
        <f t="shared" si="16"/>
        <v>7.5999999999999956E-3</v>
      </c>
      <c r="BO11" s="1">
        <f t="shared" si="17"/>
        <v>-4.8796070316898525</v>
      </c>
      <c r="BP11" s="1"/>
      <c r="BQ11" s="1">
        <v>0.1023</v>
      </c>
      <c r="BR11" s="1">
        <v>0.11559999999999999</v>
      </c>
      <c r="BS11" s="1">
        <v>0.11609999999999999</v>
      </c>
      <c r="BT11" s="1">
        <v>0.1192</v>
      </c>
      <c r="BU11" s="1">
        <v>0.1188</v>
      </c>
      <c r="BV11" s="1">
        <v>0.1231</v>
      </c>
      <c r="BW11" s="1">
        <v>0.1242</v>
      </c>
      <c r="BX11" s="1">
        <v>0.12</v>
      </c>
      <c r="BY11" s="1">
        <v>0.1181</v>
      </c>
      <c r="BZ11" s="1"/>
      <c r="CA11" s="1"/>
      <c r="CB11" s="1"/>
      <c r="CC11" s="1">
        <v>0.12189999999999999</v>
      </c>
      <c r="CD11" s="1">
        <v>0.1208</v>
      </c>
      <c r="CE11" s="1">
        <v>0.1193</v>
      </c>
      <c r="CF11" s="1">
        <v>0.1203</v>
      </c>
      <c r="CG11" s="1">
        <v>0.1235</v>
      </c>
      <c r="CH11" s="1">
        <v>0.13689999999999999</v>
      </c>
      <c r="CI11" s="1">
        <v>0.12709999999999999</v>
      </c>
      <c r="CJ11" s="1">
        <v>0.1226</v>
      </c>
      <c r="CK11" s="1">
        <v>0.123</v>
      </c>
      <c r="CL11" s="1"/>
    </row>
    <row r="12" spans="1:90" x14ac:dyDescent="0.2">
      <c r="A12" s="4" t="s">
        <v>47</v>
      </c>
      <c r="B12" s="1">
        <v>7705.3580000000002</v>
      </c>
      <c r="C12" s="1">
        <v>36.9</v>
      </c>
      <c r="D12" s="1">
        <f t="shared" si="0"/>
        <v>2.1403772222222224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>
        <v>1.4269777777777777</v>
      </c>
      <c r="AN12" s="1">
        <f t="shared" si="1"/>
        <v>-4.3050655935377531</v>
      </c>
      <c r="AO12" s="1">
        <v>0.1187</v>
      </c>
      <c r="AP12" s="1">
        <f t="shared" si="2"/>
        <v>1.3499999999999998E-2</v>
      </c>
      <c r="AQ12" s="1">
        <f t="shared" si="19"/>
        <v>4.3050655935377531</v>
      </c>
      <c r="AR12" s="1">
        <v>0.1187</v>
      </c>
      <c r="AS12" s="1">
        <f t="shared" si="18"/>
        <v>1.3100000000000001E-2</v>
      </c>
      <c r="AT12" s="1">
        <f t="shared" si="3"/>
        <v>-4.3351430487750315</v>
      </c>
      <c r="AU12" s="1">
        <v>0.1205</v>
      </c>
      <c r="AV12" s="1">
        <f t="shared" si="4"/>
        <v>1.5199999999999991E-2</v>
      </c>
      <c r="AW12" s="1">
        <f t="shared" si="5"/>
        <v>-4.1864598511299072</v>
      </c>
      <c r="AX12" s="1">
        <v>0.1225</v>
      </c>
      <c r="AY12" s="1">
        <f t="shared" si="6"/>
        <v>1.7500000000000002E-2</v>
      </c>
      <c r="AZ12" s="1">
        <f t="shared" si="7"/>
        <v>-4.0455543980526683</v>
      </c>
      <c r="BA12" s="1">
        <v>0.1237</v>
      </c>
      <c r="BB12" s="1">
        <f t="shared" si="8"/>
        <v>1.4300000000000007E-2</v>
      </c>
      <c r="BC12" s="1">
        <f t="shared" si="9"/>
        <v>-4.2474957417162749</v>
      </c>
      <c r="BD12" s="1">
        <v>0.13339999999999999</v>
      </c>
      <c r="BE12" s="1">
        <f t="shared" si="10"/>
        <v>2.5099999999999997E-2</v>
      </c>
      <c r="BF12" s="1">
        <f t="shared" si="11"/>
        <v>-3.6848874328443988</v>
      </c>
      <c r="BG12" s="1">
        <v>0.12670000000000001</v>
      </c>
      <c r="BH12" s="1">
        <f t="shared" si="12"/>
        <v>2.0100000000000007E-2</v>
      </c>
      <c r="BI12" s="1">
        <f t="shared" si="13"/>
        <v>-3.9070354639171065</v>
      </c>
      <c r="BJ12" s="1">
        <v>0.12989999999999999</v>
      </c>
      <c r="BK12" s="1">
        <f t="shared" si="14"/>
        <v>2.4799999999999989E-2</v>
      </c>
      <c r="BL12" s="1">
        <f t="shared" si="15"/>
        <v>-3.6969116258112011</v>
      </c>
      <c r="BM12" s="1">
        <v>0.1212</v>
      </c>
      <c r="BN12" s="1">
        <f t="shared" si="16"/>
        <v>1.3399999999999995E-2</v>
      </c>
      <c r="BO12" s="1">
        <f t="shared" si="17"/>
        <v>-4.3125005720252716</v>
      </c>
      <c r="BP12" s="1"/>
      <c r="BQ12" s="1">
        <v>0.1031</v>
      </c>
      <c r="BR12" s="1">
        <v>0.1198</v>
      </c>
      <c r="BS12" s="1">
        <v>0.1202</v>
      </c>
      <c r="BT12" s="1">
        <v>0.1239</v>
      </c>
      <c r="BU12" s="1">
        <v>0.1235</v>
      </c>
      <c r="BV12" s="1">
        <v>0.13</v>
      </c>
      <c r="BW12" s="1">
        <v>0.1331</v>
      </c>
      <c r="BX12" s="1">
        <v>0.127</v>
      </c>
      <c r="BY12" s="1">
        <v>0.1255</v>
      </c>
      <c r="BZ12" s="1"/>
      <c r="CA12" s="1"/>
      <c r="CB12" s="1"/>
      <c r="CC12" s="1">
        <v>0.12859999999999999</v>
      </c>
      <c r="CD12" s="1">
        <v>0.1258</v>
      </c>
      <c r="CE12" s="1">
        <v>0.12529999999999999</v>
      </c>
      <c r="CF12" s="1">
        <v>0.1265</v>
      </c>
      <c r="CG12" s="1">
        <v>0.1288</v>
      </c>
      <c r="CH12" s="1">
        <v>0.14269999999999999</v>
      </c>
      <c r="CI12" s="1">
        <v>0.1371</v>
      </c>
      <c r="CJ12" s="1">
        <v>0.13189999999999999</v>
      </c>
      <c r="CK12" s="1">
        <v>0.13100000000000001</v>
      </c>
      <c r="CL12" s="1"/>
    </row>
    <row r="13" spans="1:90" x14ac:dyDescent="0.2">
      <c r="A13" s="4" t="s">
        <v>48</v>
      </c>
      <c r="B13" s="1">
        <v>8561.5820000000003</v>
      </c>
      <c r="C13" s="1">
        <v>35.5</v>
      </c>
      <c r="D13" s="1">
        <f t="shared" si="0"/>
        <v>2.3782172222222222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>
        <v>1.6648077777777779</v>
      </c>
      <c r="AN13" s="1">
        <f t="shared" si="1"/>
        <v>-3.8873303928377743</v>
      </c>
      <c r="AO13" s="1">
        <v>0.12570000000000001</v>
      </c>
      <c r="AP13" s="1">
        <f t="shared" si="2"/>
        <v>2.0500000000000004E-2</v>
      </c>
      <c r="AQ13" s="1">
        <f t="shared" si="19"/>
        <v>3.8873303928377743</v>
      </c>
      <c r="AR13" s="1">
        <v>0.1205</v>
      </c>
      <c r="AS13" s="1">
        <f t="shared" si="18"/>
        <v>1.4899999999999997E-2</v>
      </c>
      <c r="AT13" s="1">
        <f t="shared" si="3"/>
        <v>-4.2063940660307235</v>
      </c>
      <c r="AU13" s="1">
        <v>0.1232</v>
      </c>
      <c r="AV13" s="1">
        <f t="shared" si="4"/>
        <v>1.7899999999999999E-2</v>
      </c>
      <c r="AW13" s="1">
        <f t="shared" si="5"/>
        <v>-4.0229545661354278</v>
      </c>
      <c r="AX13" s="1">
        <v>0.1246</v>
      </c>
      <c r="AY13" s="1">
        <f t="shared" si="6"/>
        <v>1.9600000000000006E-2</v>
      </c>
      <c r="AZ13" s="1">
        <f t="shared" si="7"/>
        <v>-3.932225712745665</v>
      </c>
      <c r="BA13" s="1">
        <v>0.1263</v>
      </c>
      <c r="BB13" s="1">
        <f t="shared" si="8"/>
        <v>1.6899999999999998E-2</v>
      </c>
      <c r="BC13" s="1">
        <f t="shared" si="9"/>
        <v>-4.0804416570531092</v>
      </c>
      <c r="BD13" s="1">
        <v>0.13719999999999999</v>
      </c>
      <c r="BE13" s="1">
        <f t="shared" si="10"/>
        <v>2.8899999999999995E-2</v>
      </c>
      <c r="BF13" s="1">
        <f t="shared" si="11"/>
        <v>-3.5439136838637508</v>
      </c>
      <c r="BG13" s="1">
        <v>0.12740000000000001</v>
      </c>
      <c r="BH13" s="1">
        <f t="shared" si="12"/>
        <v>2.0800000000000013E-2</v>
      </c>
      <c r="BI13" s="1">
        <f t="shared" si="13"/>
        <v>-3.8728022922748639</v>
      </c>
      <c r="BJ13" s="1">
        <v>0.13400000000000001</v>
      </c>
      <c r="BK13" s="1">
        <f t="shared" si="14"/>
        <v>2.8900000000000009E-2</v>
      </c>
      <c r="BL13" s="1">
        <f t="shared" si="15"/>
        <v>-3.5439136838637504</v>
      </c>
      <c r="BM13" s="1">
        <v>0.1237</v>
      </c>
      <c r="BN13" s="1">
        <f t="shared" si="16"/>
        <v>1.5899999999999997E-2</v>
      </c>
      <c r="BO13" s="1">
        <f t="shared" si="17"/>
        <v>-4.1414361697559512</v>
      </c>
      <c r="BP13" s="1"/>
      <c r="BQ13" s="1">
        <v>0.1036</v>
      </c>
      <c r="BR13" s="1">
        <v>0.1229</v>
      </c>
      <c r="BS13" s="1">
        <v>0.12379999999999999</v>
      </c>
      <c r="BT13" s="1">
        <v>0.1285</v>
      </c>
      <c r="BU13" s="1">
        <v>0.1268</v>
      </c>
      <c r="BV13" s="1">
        <v>0.13420000000000001</v>
      </c>
      <c r="BW13" s="1">
        <v>0.1394</v>
      </c>
      <c r="BX13" s="1">
        <v>0.13320000000000001</v>
      </c>
      <c r="BY13" s="1">
        <v>0.13150000000000001</v>
      </c>
      <c r="BZ13" s="1"/>
      <c r="CA13" s="1"/>
      <c r="CB13" s="1"/>
      <c r="CC13" s="1">
        <v>0.13489999999999999</v>
      </c>
      <c r="CD13" s="1">
        <v>0.13009999999999999</v>
      </c>
      <c r="CE13" s="1">
        <v>0.13170000000000001</v>
      </c>
      <c r="CF13" s="1">
        <v>0.13150000000000001</v>
      </c>
      <c r="CG13" s="1">
        <v>0.13389999999999999</v>
      </c>
      <c r="CH13" s="1">
        <v>0.14960000000000001</v>
      </c>
      <c r="CI13" s="1">
        <v>0.14729999999999999</v>
      </c>
      <c r="CJ13" s="1">
        <v>0.14219999999999999</v>
      </c>
      <c r="CK13" s="1">
        <v>0.13789999999999999</v>
      </c>
      <c r="CL13" s="1"/>
    </row>
    <row r="14" spans="1:90" x14ac:dyDescent="0.2">
      <c r="A14" s="4" t="s">
        <v>49</v>
      </c>
      <c r="B14" s="1">
        <v>9417.5259999999998</v>
      </c>
      <c r="C14" s="1">
        <v>36.9</v>
      </c>
      <c r="D14" s="1">
        <f t="shared" si="0"/>
        <v>2.6159794444444442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>
        <v>1.9025777777777777</v>
      </c>
      <c r="AN14" s="1">
        <f t="shared" si="1"/>
        <v>-3.5899395062590327</v>
      </c>
      <c r="AO14" s="1">
        <v>0.1328</v>
      </c>
      <c r="AP14" s="1">
        <f t="shared" si="2"/>
        <v>2.76E-2</v>
      </c>
      <c r="AQ14" s="1">
        <f t="shared" si="19"/>
        <v>3.5899395062590327</v>
      </c>
      <c r="AR14" s="1">
        <v>0.1298</v>
      </c>
      <c r="AS14" s="1">
        <f t="shared" si="18"/>
        <v>2.4199999999999999E-2</v>
      </c>
      <c r="AT14" s="1">
        <f t="shared" si="3"/>
        <v>-3.7214026458194964</v>
      </c>
      <c r="AU14" s="1">
        <v>0.1321</v>
      </c>
      <c r="AV14" s="1">
        <f t="shared" si="4"/>
        <v>2.679999999999999E-2</v>
      </c>
      <c r="AW14" s="1">
        <f t="shared" si="5"/>
        <v>-3.6193533914653262</v>
      </c>
      <c r="AX14" s="1">
        <v>0.13669999999999999</v>
      </c>
      <c r="AY14" s="1">
        <f t="shared" si="6"/>
        <v>3.1699999999999992E-2</v>
      </c>
      <c r="AZ14" s="1">
        <f t="shared" si="7"/>
        <v>-3.4514385980989024</v>
      </c>
      <c r="BA14" s="1">
        <v>0.13689999999999999</v>
      </c>
      <c r="BB14" s="1">
        <f t="shared" si="8"/>
        <v>2.7499999999999997E-2</v>
      </c>
      <c r="BC14" s="1">
        <f t="shared" si="9"/>
        <v>-3.5935692743096115</v>
      </c>
      <c r="BD14" s="1">
        <v>0.15240000000000001</v>
      </c>
      <c r="BE14" s="1">
        <f t="shared" si="10"/>
        <v>4.4100000000000014E-2</v>
      </c>
      <c r="BF14" s="1">
        <f t="shared" si="11"/>
        <v>-3.1212954965293362</v>
      </c>
      <c r="BG14" s="1">
        <v>0.1431</v>
      </c>
      <c r="BH14" s="1">
        <f t="shared" si="12"/>
        <v>3.6500000000000005E-2</v>
      </c>
      <c r="BI14" s="1">
        <f t="shared" si="13"/>
        <v>-3.3104430183936913</v>
      </c>
      <c r="BJ14" s="1">
        <v>0.1517</v>
      </c>
      <c r="BK14" s="1">
        <f t="shared" si="14"/>
        <v>4.6600000000000003E-2</v>
      </c>
      <c r="BL14" s="1">
        <f t="shared" si="15"/>
        <v>-3.0661547378505367</v>
      </c>
      <c r="BM14" s="1">
        <v>0.1406</v>
      </c>
      <c r="BN14" s="1">
        <f t="shared" si="16"/>
        <v>3.2799999999999996E-2</v>
      </c>
      <c r="BO14" s="1">
        <f t="shared" si="17"/>
        <v>-3.417326763592039</v>
      </c>
      <c r="BP14" s="1"/>
      <c r="BQ14" s="1">
        <v>0.1048</v>
      </c>
      <c r="BR14" s="1">
        <v>0.13220000000000001</v>
      </c>
      <c r="BS14" s="1">
        <v>0.1343</v>
      </c>
      <c r="BT14" s="1">
        <v>0.1404</v>
      </c>
      <c r="BU14" s="1">
        <v>0.1404</v>
      </c>
      <c r="BV14" s="1">
        <v>0.15140000000000001</v>
      </c>
      <c r="BW14" s="1">
        <v>0.159</v>
      </c>
      <c r="BX14" s="1">
        <v>0.15409999999999999</v>
      </c>
      <c r="BY14" s="1">
        <v>0.15110000000000001</v>
      </c>
      <c r="BZ14" s="1"/>
      <c r="CA14" s="1"/>
      <c r="CB14" s="1"/>
      <c r="CC14" s="1">
        <v>0.1517</v>
      </c>
      <c r="CD14" s="1">
        <v>0.14319999999999999</v>
      </c>
      <c r="CE14" s="1">
        <v>0.14480000000000001</v>
      </c>
      <c r="CF14" s="1">
        <v>0.1462</v>
      </c>
      <c r="CG14" s="1">
        <v>0.1474</v>
      </c>
      <c r="CH14" s="1">
        <v>0.17119999999999999</v>
      </c>
      <c r="CI14" s="1">
        <v>0.17169999999999999</v>
      </c>
      <c r="CJ14" s="1">
        <v>0.16850000000000001</v>
      </c>
      <c r="CK14" s="1">
        <v>0.16009999999999999</v>
      </c>
      <c r="CL14" s="1"/>
    </row>
    <row r="15" spans="1:90" x14ac:dyDescent="0.2">
      <c r="A15" s="4" t="s">
        <v>193</v>
      </c>
      <c r="B15" s="1">
        <v>10273.433999999999</v>
      </c>
      <c r="C15" s="1">
        <v>35.4</v>
      </c>
      <c r="D15" s="1">
        <f t="shared" si="0"/>
        <v>2.8537316666666666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>
        <v>2.1403772222222224</v>
      </c>
      <c r="AN15" s="1">
        <f t="shared" si="1"/>
        <v>-3.2339894626782488</v>
      </c>
      <c r="AO15" s="1">
        <v>0.14460000000000001</v>
      </c>
      <c r="AP15" s="1">
        <f t="shared" si="2"/>
        <v>3.9400000000000004E-2</v>
      </c>
      <c r="AQ15" s="1">
        <f t="shared" si="19"/>
        <v>3.2339894626782488</v>
      </c>
      <c r="AR15" s="1">
        <v>0.13900000000000001</v>
      </c>
      <c r="AS15" s="1">
        <f t="shared" si="18"/>
        <v>3.3400000000000013E-2</v>
      </c>
      <c r="AT15" s="1">
        <f t="shared" si="3"/>
        <v>-3.3991993789994819</v>
      </c>
      <c r="AU15" s="1">
        <v>0.14349999999999999</v>
      </c>
      <c r="AV15" s="1">
        <f t="shared" si="4"/>
        <v>3.8199999999999984E-2</v>
      </c>
      <c r="AW15" s="1">
        <f t="shared" si="5"/>
        <v>-3.2649197633696079</v>
      </c>
      <c r="AX15" s="1">
        <v>0.1477</v>
      </c>
      <c r="AY15" s="1">
        <f t="shared" si="6"/>
        <v>4.2700000000000002E-2</v>
      </c>
      <c r="AZ15" s="1">
        <f t="shared" si="7"/>
        <v>-3.1535563587475584</v>
      </c>
      <c r="BA15" s="1">
        <v>0.1487</v>
      </c>
      <c r="BB15" s="1">
        <f t="shared" si="8"/>
        <v>3.9300000000000002E-2</v>
      </c>
      <c r="BC15" s="1">
        <f t="shared" si="9"/>
        <v>-3.2365307601069215</v>
      </c>
      <c r="BD15" s="1">
        <v>0.16839999999999999</v>
      </c>
      <c r="BE15" s="1">
        <f t="shared" si="10"/>
        <v>6.0100000000000001E-2</v>
      </c>
      <c r="BF15" s="1">
        <f t="shared" si="11"/>
        <v>-2.8117454374409752</v>
      </c>
      <c r="BG15" s="1">
        <v>0.1545</v>
      </c>
      <c r="BH15" s="1">
        <f t="shared" si="12"/>
        <v>4.7899999999999998E-2</v>
      </c>
      <c r="BI15" s="1">
        <f t="shared" si="13"/>
        <v>-3.0386397745652673</v>
      </c>
      <c r="BJ15" s="1">
        <v>0.1731</v>
      </c>
      <c r="BK15" s="1">
        <f t="shared" si="14"/>
        <v>6.8000000000000005E-2</v>
      </c>
      <c r="BL15" s="1">
        <f t="shared" si="15"/>
        <v>-2.6882475738060303</v>
      </c>
      <c r="BM15" s="1">
        <v>0.16309999999999999</v>
      </c>
      <c r="BN15" s="1">
        <f t="shared" si="16"/>
        <v>5.5299999999999988E-2</v>
      </c>
      <c r="BO15" s="1">
        <f t="shared" si="17"/>
        <v>-2.8949823704538482</v>
      </c>
      <c r="BP15" s="1"/>
      <c r="BQ15" s="1">
        <v>0.107</v>
      </c>
      <c r="BR15" s="1">
        <v>0.1462</v>
      </c>
      <c r="BS15" s="1">
        <v>0.14810000000000001</v>
      </c>
      <c r="BT15" s="1">
        <v>0.15659999999999999</v>
      </c>
      <c r="BU15" s="1">
        <v>0.15459999999999999</v>
      </c>
      <c r="BV15" s="1">
        <v>0.16889999999999999</v>
      </c>
      <c r="BW15" s="1">
        <v>0.1817</v>
      </c>
      <c r="BX15" s="1">
        <v>0.18079999999999999</v>
      </c>
      <c r="BY15" s="1">
        <v>0.1769</v>
      </c>
      <c r="BZ15" s="1"/>
      <c r="CA15" s="1"/>
      <c r="CB15" s="1"/>
      <c r="CC15" s="1">
        <v>0.16930000000000001</v>
      </c>
      <c r="CD15" s="1">
        <v>0.16439999999999999</v>
      </c>
      <c r="CE15" s="1">
        <v>0.16650000000000001</v>
      </c>
      <c r="CF15" s="1">
        <v>0.16919999999999999</v>
      </c>
      <c r="CG15" s="1">
        <v>0.16950000000000001</v>
      </c>
      <c r="CH15" s="1">
        <v>0.2044</v>
      </c>
      <c r="CI15" s="1">
        <v>0.20619999999999999</v>
      </c>
      <c r="CJ15" s="1">
        <v>0.20760000000000001</v>
      </c>
      <c r="CK15" s="1">
        <v>0.19320000000000001</v>
      </c>
      <c r="CL15" s="1"/>
    </row>
    <row r="16" spans="1:90" x14ac:dyDescent="0.2">
      <c r="A16" s="4" t="s">
        <v>194</v>
      </c>
      <c r="B16" s="1">
        <v>11129.662</v>
      </c>
      <c r="C16" s="1">
        <v>36.700000000000003</v>
      </c>
      <c r="D16" s="1">
        <f t="shared" si="0"/>
        <v>3.0915727777777779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>
        <v>2.3782172222222222</v>
      </c>
      <c r="AN16" s="1">
        <f t="shared" si="1"/>
        <v>-2.985781942700823</v>
      </c>
      <c r="AO16" s="1">
        <v>0.15570000000000001</v>
      </c>
      <c r="AP16" s="1">
        <f t="shared" si="2"/>
        <v>5.0500000000000003E-2</v>
      </c>
      <c r="AQ16" s="1">
        <f t="shared" si="19"/>
        <v>2.985781942700823</v>
      </c>
      <c r="AR16" s="1">
        <v>0.14899999999999999</v>
      </c>
      <c r="AS16" s="1">
        <f t="shared" si="18"/>
        <v>4.3399999999999994E-2</v>
      </c>
      <c r="AT16" s="1">
        <f t="shared" si="3"/>
        <v>-3.137295837875778</v>
      </c>
      <c r="AU16" s="1">
        <v>0.15229999999999999</v>
      </c>
      <c r="AV16" s="1">
        <f t="shared" si="4"/>
        <v>4.6999999999999986E-2</v>
      </c>
      <c r="AW16" s="1">
        <f t="shared" si="5"/>
        <v>-3.0576076772720788</v>
      </c>
      <c r="AX16" s="1">
        <v>0.1552</v>
      </c>
      <c r="AY16" s="1">
        <f t="shared" si="6"/>
        <v>5.0200000000000009E-2</v>
      </c>
      <c r="AZ16" s="1">
        <f t="shared" si="7"/>
        <v>-2.9917402522844534</v>
      </c>
      <c r="BA16" s="1">
        <v>0.1547</v>
      </c>
      <c r="BB16" s="1">
        <f t="shared" si="8"/>
        <v>4.5300000000000007E-2</v>
      </c>
      <c r="BC16" s="1">
        <f t="shared" si="9"/>
        <v>-3.0944482464931484</v>
      </c>
      <c r="BD16" s="1">
        <v>0.18110000000000001</v>
      </c>
      <c r="BE16" s="1">
        <f t="shared" si="10"/>
        <v>7.2800000000000017E-2</v>
      </c>
      <c r="BF16" s="1">
        <f t="shared" si="11"/>
        <v>-2.6200393237794963</v>
      </c>
      <c r="BG16" s="1">
        <v>0.16300000000000001</v>
      </c>
      <c r="BH16" s="1">
        <f t="shared" si="12"/>
        <v>5.6400000000000006E-2</v>
      </c>
      <c r="BI16" s="1">
        <f t="shared" si="13"/>
        <v>-2.8752861204781239</v>
      </c>
      <c r="BJ16" s="1">
        <v>0.1835</v>
      </c>
      <c r="BK16" s="1">
        <f t="shared" si="14"/>
        <v>7.8399999999999997E-2</v>
      </c>
      <c r="BL16" s="1">
        <f t="shared" si="15"/>
        <v>-2.5459313516257751</v>
      </c>
      <c r="BM16" s="1">
        <v>0.1666</v>
      </c>
      <c r="BN16" s="1">
        <f t="shared" si="16"/>
        <v>5.8799999999999991E-2</v>
      </c>
      <c r="BO16" s="1">
        <f t="shared" si="17"/>
        <v>-2.8336134240775559</v>
      </c>
      <c r="BP16" s="1"/>
      <c r="BQ16" s="1">
        <v>0.10920000000000001</v>
      </c>
      <c r="BR16" s="1">
        <v>0.1585</v>
      </c>
      <c r="BS16" s="1">
        <v>0.15989999999999999</v>
      </c>
      <c r="BT16" s="1">
        <v>0.1706</v>
      </c>
      <c r="BU16" s="1">
        <v>0.16650000000000001</v>
      </c>
      <c r="BV16" s="1">
        <v>0.18440000000000001</v>
      </c>
      <c r="BW16" s="1">
        <v>0.1988</v>
      </c>
      <c r="BX16" s="1">
        <v>0.2044</v>
      </c>
      <c r="BY16" s="1">
        <v>0.20169999999999999</v>
      </c>
      <c r="BZ16" s="1"/>
      <c r="CA16" s="1"/>
      <c r="CB16" s="1"/>
      <c r="CC16" s="1">
        <v>0.1925</v>
      </c>
      <c r="CD16" s="1">
        <v>0.184</v>
      </c>
      <c r="CE16" s="1">
        <v>0.1865</v>
      </c>
      <c r="CF16" s="1">
        <v>0.1885</v>
      </c>
      <c r="CG16" s="1">
        <v>0.188</v>
      </c>
      <c r="CH16" s="1">
        <v>0.23050000000000001</v>
      </c>
      <c r="CI16" s="1">
        <v>0.2384</v>
      </c>
      <c r="CJ16" s="1">
        <v>0.24970000000000001</v>
      </c>
      <c r="CK16" s="1">
        <v>0.2298</v>
      </c>
      <c r="CL16" s="1"/>
    </row>
    <row r="17" spans="1:90" x14ac:dyDescent="0.2">
      <c r="A17" s="4" t="s">
        <v>195</v>
      </c>
      <c r="B17" s="1">
        <v>11985.614</v>
      </c>
      <c r="C17" s="1">
        <v>36.9</v>
      </c>
      <c r="D17" s="1">
        <f t="shared" si="0"/>
        <v>3.3293372222222222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>
        <v>2.6159794444444442</v>
      </c>
      <c r="AN17" s="1">
        <f t="shared" si="1"/>
        <v>-2.523231764109668</v>
      </c>
      <c r="AO17" s="1">
        <v>0.18540000000000001</v>
      </c>
      <c r="AP17" s="1">
        <f t="shared" si="2"/>
        <v>8.0200000000000007E-2</v>
      </c>
      <c r="AQ17" s="1">
        <f t="shared" si="19"/>
        <v>2.523231764109668</v>
      </c>
      <c r="AR17" s="1">
        <v>0.1744</v>
      </c>
      <c r="AS17" s="1">
        <f t="shared" si="18"/>
        <v>6.88E-2</v>
      </c>
      <c r="AT17" s="1">
        <f t="shared" si="3"/>
        <v>-2.6765515340428392</v>
      </c>
      <c r="AU17" s="1">
        <v>0.17799999999999999</v>
      </c>
      <c r="AV17" s="1">
        <f t="shared" si="4"/>
        <v>7.2699999999999987E-2</v>
      </c>
      <c r="AW17" s="1">
        <f t="shared" si="5"/>
        <v>-2.6214138944426635</v>
      </c>
      <c r="AX17" s="1">
        <v>0.18110000000000001</v>
      </c>
      <c r="AY17" s="1">
        <f t="shared" si="6"/>
        <v>7.6100000000000015E-2</v>
      </c>
      <c r="AZ17" s="1">
        <f t="shared" si="7"/>
        <v>-2.5757070141144967</v>
      </c>
      <c r="BA17" s="1">
        <v>0.1817</v>
      </c>
      <c r="BB17" s="1">
        <f t="shared" si="8"/>
        <v>7.2300000000000003E-2</v>
      </c>
      <c r="BC17" s="1">
        <f t="shared" si="9"/>
        <v>-2.6269311498174179</v>
      </c>
      <c r="BD17" s="1">
        <v>0.21479999999999999</v>
      </c>
      <c r="BE17" s="1">
        <f t="shared" si="10"/>
        <v>0.1065</v>
      </c>
      <c r="BF17" s="1">
        <f t="shared" si="11"/>
        <v>-2.2396102938326572</v>
      </c>
      <c r="BG17" s="1">
        <v>0.19400000000000001</v>
      </c>
      <c r="BH17" s="1">
        <f t="shared" si="12"/>
        <v>8.7400000000000005E-2</v>
      </c>
      <c r="BI17" s="1">
        <f t="shared" si="13"/>
        <v>-2.4372599963206474</v>
      </c>
      <c r="BJ17" s="1">
        <v>0.2276</v>
      </c>
      <c r="BK17" s="1">
        <f t="shared" si="14"/>
        <v>0.1225</v>
      </c>
      <c r="BL17" s="1">
        <f t="shared" si="15"/>
        <v>-2.0996442489973552</v>
      </c>
      <c r="BM17" s="1">
        <v>0.2087</v>
      </c>
      <c r="BN17" s="1">
        <f t="shared" si="16"/>
        <v>0.10089999999999999</v>
      </c>
      <c r="BO17" s="1">
        <f t="shared" si="17"/>
        <v>-2.2936253516225737</v>
      </c>
      <c r="BP17" s="1"/>
      <c r="BQ17" s="1">
        <v>0.1138</v>
      </c>
      <c r="BR17" s="1">
        <v>0.18820000000000001</v>
      </c>
      <c r="BS17" s="1">
        <v>0.18970000000000001</v>
      </c>
      <c r="BT17" s="1">
        <v>0.20469999999999999</v>
      </c>
      <c r="BU17" s="1">
        <v>0.19839999999999999</v>
      </c>
      <c r="BV17" s="1">
        <v>0.22370000000000001</v>
      </c>
      <c r="BW17" s="1">
        <v>0.24640000000000001</v>
      </c>
      <c r="BX17" s="1">
        <v>0.26229999999999998</v>
      </c>
      <c r="BY17" s="1">
        <v>0.26100000000000001</v>
      </c>
      <c r="BZ17" s="1"/>
      <c r="CA17" s="1"/>
      <c r="CB17" s="1"/>
      <c r="CC17" s="1">
        <v>0.24579999999999999</v>
      </c>
      <c r="CD17" s="1">
        <v>0.22700000000000001</v>
      </c>
      <c r="CE17" s="1">
        <v>0.2321</v>
      </c>
      <c r="CF17" s="1">
        <v>0.23430000000000001</v>
      </c>
      <c r="CG17" s="1">
        <v>0.23350000000000001</v>
      </c>
      <c r="CH17" s="1">
        <v>0.29470000000000002</v>
      </c>
      <c r="CI17" s="1">
        <v>0.30680000000000002</v>
      </c>
      <c r="CJ17" s="1">
        <v>0.31950000000000001</v>
      </c>
      <c r="CK17" s="1">
        <v>0.29930000000000001</v>
      </c>
      <c r="CL17" s="1"/>
    </row>
    <row r="18" spans="1:90" x14ac:dyDescent="0.2">
      <c r="A18" s="4" t="s">
        <v>196</v>
      </c>
      <c r="B18" s="1">
        <v>12841.536</v>
      </c>
      <c r="C18" s="1">
        <v>35.5</v>
      </c>
      <c r="D18" s="1">
        <f t="shared" si="0"/>
        <v>3.5670933333333332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>
        <v>2.8537316666666666</v>
      </c>
      <c r="AN18" s="1">
        <f t="shared" si="1"/>
        <v>-2.1567546447825059</v>
      </c>
      <c r="AO18" s="1">
        <v>0.22090000000000001</v>
      </c>
      <c r="AP18" s="1">
        <f t="shared" si="2"/>
        <v>0.11570000000000001</v>
      </c>
      <c r="AQ18" s="1">
        <f t="shared" si="19"/>
        <v>2.1567546447825059</v>
      </c>
      <c r="AR18" s="1">
        <v>0.20280000000000001</v>
      </c>
      <c r="AS18" s="1">
        <f t="shared" si="18"/>
        <v>9.7200000000000009E-2</v>
      </c>
      <c r="AT18" s="1">
        <f t="shared" si="3"/>
        <v>-2.3309845675157437</v>
      </c>
      <c r="AU18" s="1">
        <v>0.20910000000000001</v>
      </c>
      <c r="AV18" s="1">
        <f t="shared" si="4"/>
        <v>0.1038</v>
      </c>
      <c r="AW18" s="1">
        <f t="shared" si="5"/>
        <v>-2.2652893082503489</v>
      </c>
      <c r="AX18" s="1">
        <v>0.21029999999999999</v>
      </c>
      <c r="AY18" s="1">
        <f t="shared" si="6"/>
        <v>0.10529999999999999</v>
      </c>
      <c r="AZ18" s="1">
        <f t="shared" si="7"/>
        <v>-2.2509418598422073</v>
      </c>
      <c r="BA18" s="1">
        <v>0.2089</v>
      </c>
      <c r="BB18" s="1">
        <f t="shared" si="8"/>
        <v>9.9500000000000005E-2</v>
      </c>
      <c r="BC18" s="1">
        <f t="shared" si="9"/>
        <v>-2.3075976348175899</v>
      </c>
      <c r="BD18" s="1">
        <v>0.25240000000000001</v>
      </c>
      <c r="BE18" s="1">
        <f t="shared" si="10"/>
        <v>0.14410000000000001</v>
      </c>
      <c r="BF18" s="1">
        <f t="shared" si="11"/>
        <v>-1.9372477759766606</v>
      </c>
      <c r="BG18" s="1">
        <v>0.22090000000000001</v>
      </c>
      <c r="BH18" s="1">
        <f t="shared" si="12"/>
        <v>0.11430000000000001</v>
      </c>
      <c r="BI18" s="1">
        <f t="shared" si="13"/>
        <v>-2.168928708181372</v>
      </c>
      <c r="BJ18" s="1">
        <v>0.26240000000000002</v>
      </c>
      <c r="BK18" s="1">
        <f t="shared" si="14"/>
        <v>0.15730000000000002</v>
      </c>
      <c r="BL18" s="1">
        <f t="shared" si="15"/>
        <v>-1.8496004689179049</v>
      </c>
      <c r="BM18" s="1">
        <v>0.2414</v>
      </c>
      <c r="BN18" s="1">
        <f t="shared" si="16"/>
        <v>0.1336</v>
      </c>
      <c r="BO18" s="1">
        <f t="shared" si="17"/>
        <v>-2.0129050178795915</v>
      </c>
      <c r="BP18" s="1"/>
      <c r="BQ18" s="1">
        <v>0.12180000000000001</v>
      </c>
      <c r="BR18" s="1">
        <v>0.23350000000000001</v>
      </c>
      <c r="BS18" s="1">
        <v>0.23230000000000001</v>
      </c>
      <c r="BT18" s="1">
        <v>0.24990000000000001</v>
      </c>
      <c r="BU18" s="1">
        <v>0.23630000000000001</v>
      </c>
      <c r="BV18" s="1">
        <v>0.2702</v>
      </c>
      <c r="BW18" s="1">
        <v>0.29620000000000002</v>
      </c>
      <c r="BX18" s="1">
        <v>0.3039</v>
      </c>
      <c r="BY18" s="1">
        <v>0.30499999999999999</v>
      </c>
      <c r="BZ18" s="1"/>
      <c r="CA18" s="1"/>
      <c r="CB18" s="1"/>
      <c r="CC18" s="1">
        <v>0.2984</v>
      </c>
      <c r="CD18" s="1">
        <v>0.29089999999999999</v>
      </c>
      <c r="CE18" s="1">
        <v>0.29360000000000003</v>
      </c>
      <c r="CF18" s="1">
        <v>0.29659999999999997</v>
      </c>
      <c r="CG18" s="1">
        <v>0.29260000000000003</v>
      </c>
      <c r="CH18" s="1">
        <v>0.3301</v>
      </c>
      <c r="CI18" s="1">
        <v>0.33679999999999999</v>
      </c>
      <c r="CJ18" s="1">
        <v>0.35189999999999999</v>
      </c>
      <c r="CK18" s="1">
        <v>0.35270000000000001</v>
      </c>
      <c r="CL18" s="1"/>
    </row>
    <row r="19" spans="1:90" x14ac:dyDescent="0.2">
      <c r="A19" s="4" t="s">
        <v>197</v>
      </c>
      <c r="B19" s="1">
        <v>13697.79</v>
      </c>
      <c r="C19" s="1">
        <v>36.6</v>
      </c>
      <c r="D19" s="1">
        <f t="shared" si="0"/>
        <v>3.8049416666666671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>
        <v>3.0915727777777779</v>
      </c>
      <c r="AN19" s="1">
        <f t="shared" si="1"/>
        <v>-1.7164664851926239</v>
      </c>
      <c r="AO19" s="1">
        <v>0.28489999999999999</v>
      </c>
      <c r="AP19" s="1">
        <f t="shared" si="2"/>
        <v>0.17969999999999997</v>
      </c>
      <c r="AQ19" s="1">
        <f t="shared" si="19"/>
        <v>1.7164664851926239</v>
      </c>
      <c r="AR19" s="1">
        <v>0.25419999999999998</v>
      </c>
      <c r="AS19" s="1">
        <f t="shared" si="18"/>
        <v>0.14859999999999998</v>
      </c>
      <c r="AT19" s="1">
        <f t="shared" si="3"/>
        <v>-1.9064971466984784</v>
      </c>
      <c r="AU19" s="1">
        <v>0.25829999999999997</v>
      </c>
      <c r="AV19" s="1">
        <f t="shared" si="4"/>
        <v>0.15299999999999997</v>
      </c>
      <c r="AW19" s="1">
        <f t="shared" si="5"/>
        <v>-1.8773173575897018</v>
      </c>
      <c r="AX19" s="1">
        <v>0.26090000000000002</v>
      </c>
      <c r="AY19" s="1">
        <f t="shared" si="6"/>
        <v>0.15590000000000004</v>
      </c>
      <c r="AZ19" s="1">
        <f t="shared" si="7"/>
        <v>-1.8585405029184059</v>
      </c>
      <c r="BA19" s="1">
        <v>0.2631</v>
      </c>
      <c r="BB19" s="1">
        <f t="shared" si="8"/>
        <v>0.1537</v>
      </c>
      <c r="BC19" s="1">
        <f t="shared" si="9"/>
        <v>-1.8727526284375868</v>
      </c>
      <c r="BD19" s="1">
        <v>0.30740000000000001</v>
      </c>
      <c r="BE19" s="1">
        <f t="shared" si="10"/>
        <v>0.1991</v>
      </c>
      <c r="BF19" s="1">
        <f t="shared" si="11"/>
        <v>-1.6139480679119864</v>
      </c>
      <c r="BG19" s="1">
        <v>0.27939999999999998</v>
      </c>
      <c r="BH19" s="1">
        <f t="shared" si="12"/>
        <v>0.17279999999999998</v>
      </c>
      <c r="BI19" s="1">
        <f t="shared" si="13"/>
        <v>-1.7556204226121819</v>
      </c>
      <c r="BJ19" s="1">
        <v>0.34300000000000003</v>
      </c>
      <c r="BK19" s="1">
        <f t="shared" si="14"/>
        <v>0.23790000000000003</v>
      </c>
      <c r="BL19" s="1">
        <f t="shared" si="15"/>
        <v>-1.4359048616732248</v>
      </c>
      <c r="BM19" s="1">
        <v>0.3286</v>
      </c>
      <c r="BN19" s="1">
        <f t="shared" si="16"/>
        <v>0.2208</v>
      </c>
      <c r="BO19" s="1">
        <f t="shared" si="17"/>
        <v>-1.5104979645791967</v>
      </c>
      <c r="BP19" s="1"/>
      <c r="BQ19" s="1">
        <v>0.13450000000000001</v>
      </c>
      <c r="BR19" s="1">
        <v>0.30299999999999999</v>
      </c>
      <c r="BS19" s="1">
        <v>0.30280000000000001</v>
      </c>
      <c r="BT19" s="1">
        <v>0.31540000000000001</v>
      </c>
      <c r="BU19" s="1">
        <v>0.30530000000000002</v>
      </c>
      <c r="BV19" s="1">
        <v>0.32219999999999999</v>
      </c>
      <c r="BW19" s="1">
        <v>0.33900000000000002</v>
      </c>
      <c r="BX19" s="1">
        <v>0.35820000000000002</v>
      </c>
      <c r="BY19" s="1">
        <v>0.3715</v>
      </c>
      <c r="BZ19" s="1"/>
      <c r="CA19" s="1"/>
      <c r="CB19" s="1"/>
      <c r="CC19" s="1">
        <v>0.36659999999999998</v>
      </c>
      <c r="CD19" s="1">
        <v>0.34699999999999998</v>
      </c>
      <c r="CE19" s="1">
        <v>0.3422</v>
      </c>
      <c r="CF19" s="1">
        <v>0.34179999999999999</v>
      </c>
      <c r="CG19" s="1">
        <v>0.33739999999999998</v>
      </c>
      <c r="CH19" s="1">
        <v>0.39450000000000002</v>
      </c>
      <c r="CI19" s="1">
        <v>0.40799999999999997</v>
      </c>
      <c r="CJ19" s="1">
        <v>0.4279</v>
      </c>
      <c r="CK19" s="1">
        <v>0.43640000000000001</v>
      </c>
      <c r="CL19" s="1"/>
    </row>
    <row r="20" spans="1:90" x14ac:dyDescent="0.2">
      <c r="A20" s="4" t="s">
        <v>198</v>
      </c>
      <c r="B20" s="1">
        <v>14553.734</v>
      </c>
      <c r="C20" s="1">
        <v>37</v>
      </c>
      <c r="D20" s="1">
        <f t="shared" si="0"/>
        <v>4.0427038888888891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>
        <v>3.3293372222222222</v>
      </c>
      <c r="AN20" s="1">
        <f t="shared" si="1"/>
        <v>-1.5906161581935128</v>
      </c>
      <c r="AO20" s="1">
        <v>0.309</v>
      </c>
      <c r="AP20" s="1">
        <f t="shared" si="2"/>
        <v>0.20379999999999998</v>
      </c>
      <c r="AQ20" s="1">
        <f t="shared" si="19"/>
        <v>1.5906161581935128</v>
      </c>
      <c r="AR20" s="1">
        <v>0.29820000000000002</v>
      </c>
      <c r="AS20" s="1">
        <f t="shared" si="18"/>
        <v>0.19260000000000002</v>
      </c>
      <c r="AT20" s="1">
        <f t="shared" si="3"/>
        <v>-1.6471397796181118</v>
      </c>
      <c r="AU20" s="1">
        <v>0.29859999999999998</v>
      </c>
      <c r="AV20" s="1">
        <f t="shared" si="4"/>
        <v>0.19329999999999997</v>
      </c>
      <c r="AW20" s="1">
        <f t="shared" si="5"/>
        <v>-1.643511892767852</v>
      </c>
      <c r="AX20" s="1">
        <v>0.29799999999999999</v>
      </c>
      <c r="AY20" s="1">
        <f t="shared" si="6"/>
        <v>0.193</v>
      </c>
      <c r="AZ20" s="1">
        <f t="shared" si="7"/>
        <v>-1.6450650900772514</v>
      </c>
      <c r="BA20" s="1">
        <v>0.30349999999999999</v>
      </c>
      <c r="BB20" s="1">
        <f t="shared" si="8"/>
        <v>0.19409999999999999</v>
      </c>
      <c r="BC20" s="1">
        <f t="shared" si="9"/>
        <v>-1.6393817888071724</v>
      </c>
      <c r="BD20" s="1">
        <v>0.32119999999999999</v>
      </c>
      <c r="BE20" s="1">
        <f t="shared" si="10"/>
        <v>0.21289999999999998</v>
      </c>
      <c r="BF20" s="1">
        <f t="shared" si="11"/>
        <v>-1.5469327070827035</v>
      </c>
      <c r="BG20" s="1">
        <v>0.32090000000000002</v>
      </c>
      <c r="BH20" s="1">
        <f t="shared" si="12"/>
        <v>0.21430000000000002</v>
      </c>
      <c r="BI20" s="1">
        <f t="shared" si="13"/>
        <v>-1.5403783765026056</v>
      </c>
      <c r="BJ20" s="1">
        <v>0.35630000000000001</v>
      </c>
      <c r="BK20" s="1">
        <f t="shared" si="14"/>
        <v>0.25119999999999998</v>
      </c>
      <c r="BL20" s="1">
        <f t="shared" si="15"/>
        <v>-1.3815058443880934</v>
      </c>
      <c r="BM20" s="1">
        <v>0.37830000000000003</v>
      </c>
      <c r="BN20" s="1">
        <f t="shared" si="16"/>
        <v>0.27050000000000002</v>
      </c>
      <c r="BO20" s="1">
        <f t="shared" si="17"/>
        <v>-1.3074831806956009</v>
      </c>
      <c r="BP20" s="1"/>
      <c r="BQ20" s="1">
        <v>0.14760000000000001</v>
      </c>
      <c r="BR20" s="1">
        <v>0.32869999999999999</v>
      </c>
      <c r="BS20" s="1">
        <v>0.32679999999999998</v>
      </c>
      <c r="BT20" s="1">
        <v>0.33579999999999999</v>
      </c>
      <c r="BU20" s="1">
        <v>0.32350000000000001</v>
      </c>
      <c r="BV20" s="1">
        <v>0.34810000000000002</v>
      </c>
      <c r="BW20" s="1">
        <v>0.38800000000000001</v>
      </c>
      <c r="BX20" s="1">
        <v>0.4148</v>
      </c>
      <c r="BY20" s="1">
        <v>0.437</v>
      </c>
      <c r="BZ20" s="1"/>
      <c r="CA20" s="1"/>
      <c r="CB20" s="1"/>
      <c r="CC20" s="1">
        <v>0.41860000000000003</v>
      </c>
      <c r="CD20" s="1">
        <v>0.38729999999999998</v>
      </c>
      <c r="CE20" s="1">
        <v>0.3896</v>
      </c>
      <c r="CF20" s="1">
        <v>0.38679999999999998</v>
      </c>
      <c r="CG20" s="1">
        <v>0.38329999999999997</v>
      </c>
      <c r="CH20" s="1">
        <v>0.4541</v>
      </c>
      <c r="CI20" s="1">
        <v>0.46589999999999998</v>
      </c>
      <c r="CJ20" s="1">
        <v>0.49969999999999998</v>
      </c>
      <c r="CK20" s="1">
        <v>0.52139999999999997</v>
      </c>
      <c r="CL20" s="1"/>
    </row>
    <row r="21" spans="1:90" x14ac:dyDescent="0.2">
      <c r="A21" s="4" t="s">
        <v>199</v>
      </c>
      <c r="B21" s="1">
        <v>15409.664000000001</v>
      </c>
      <c r="C21" s="1">
        <v>35.5</v>
      </c>
      <c r="D21" s="1">
        <f t="shared" si="0"/>
        <v>4.2804622222222228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>
        <v>3.5670933333333332</v>
      </c>
      <c r="AN21" s="1">
        <f t="shared" si="1"/>
        <v>-1.5136732904497212</v>
      </c>
      <c r="AO21" s="1">
        <v>0.32529999999999998</v>
      </c>
      <c r="AP21" s="1">
        <f t="shared" si="2"/>
        <v>0.22009999999999996</v>
      </c>
      <c r="AQ21" s="1">
        <f t="shared" si="19"/>
        <v>1.5136732904497212</v>
      </c>
      <c r="AR21" s="1">
        <v>0.29580000000000001</v>
      </c>
      <c r="AS21" s="1">
        <f t="shared" si="18"/>
        <v>0.19020000000000001</v>
      </c>
      <c r="AT21" s="1">
        <f t="shared" si="3"/>
        <v>-1.659679128870847</v>
      </c>
      <c r="AU21" s="1">
        <v>0.29459999999999997</v>
      </c>
      <c r="AV21" s="1">
        <f t="shared" si="4"/>
        <v>0.18929999999999997</v>
      </c>
      <c r="AW21" s="1">
        <f t="shared" si="5"/>
        <v>-1.66442222076686</v>
      </c>
      <c r="AX21" s="1">
        <v>0.30559999999999998</v>
      </c>
      <c r="AY21" s="1">
        <f t="shared" si="6"/>
        <v>0.2006</v>
      </c>
      <c r="AZ21" s="1">
        <f t="shared" si="7"/>
        <v>-1.6064424034543019</v>
      </c>
      <c r="BA21" s="1">
        <v>0.31059999999999999</v>
      </c>
      <c r="BB21" s="1">
        <f t="shared" si="8"/>
        <v>0.20119999999999999</v>
      </c>
      <c r="BC21" s="1">
        <f t="shared" si="9"/>
        <v>-1.6034558407565529</v>
      </c>
      <c r="BD21" s="1">
        <v>0.3342</v>
      </c>
      <c r="BE21" s="1">
        <f t="shared" si="10"/>
        <v>0.22589999999999999</v>
      </c>
      <c r="BF21" s="1">
        <f t="shared" si="11"/>
        <v>-1.4876628555081794</v>
      </c>
      <c r="BG21" s="1">
        <v>0.3241</v>
      </c>
      <c r="BH21" s="1">
        <f t="shared" si="12"/>
        <v>0.2175</v>
      </c>
      <c r="BI21" s="1">
        <f t="shared" si="13"/>
        <v>-1.5255564284533982</v>
      </c>
      <c r="BJ21" s="1">
        <v>0.35520000000000002</v>
      </c>
      <c r="BK21" s="1">
        <f t="shared" si="14"/>
        <v>0.25009999999999999</v>
      </c>
      <c r="BL21" s="1">
        <f t="shared" si="15"/>
        <v>-1.3858944410985636</v>
      </c>
      <c r="BM21" s="1">
        <v>0.36709999999999998</v>
      </c>
      <c r="BN21" s="1">
        <f t="shared" si="16"/>
        <v>0.25929999999999997</v>
      </c>
      <c r="BO21" s="1">
        <f t="shared" si="17"/>
        <v>-1.3497695864375185</v>
      </c>
      <c r="BP21" s="1"/>
      <c r="BQ21" s="1">
        <v>0.16250000000000001</v>
      </c>
      <c r="BR21" s="1">
        <v>0.34970000000000001</v>
      </c>
      <c r="BS21" s="1">
        <v>0.34520000000000001</v>
      </c>
      <c r="BT21" s="1">
        <v>0.35320000000000001</v>
      </c>
      <c r="BU21" s="1">
        <v>0.33829999999999999</v>
      </c>
      <c r="BV21" s="1">
        <v>0.36509999999999998</v>
      </c>
      <c r="BW21" s="1">
        <v>0.4143</v>
      </c>
      <c r="BX21" s="1">
        <v>0.44379999999999997</v>
      </c>
      <c r="BY21" s="1">
        <v>0.47089999999999999</v>
      </c>
      <c r="BZ21" s="1"/>
      <c r="CA21" s="1"/>
      <c r="CB21" s="1"/>
      <c r="CC21" s="1">
        <v>0.4304</v>
      </c>
      <c r="CD21" s="1">
        <v>0.42020000000000002</v>
      </c>
      <c r="CE21" s="1">
        <v>0.41299999999999998</v>
      </c>
      <c r="CF21" s="1">
        <v>0.41399999999999998</v>
      </c>
      <c r="CG21" s="1">
        <v>0.41049999999999998</v>
      </c>
      <c r="CH21" s="1">
        <v>0.48920000000000002</v>
      </c>
      <c r="CI21" s="1">
        <v>0.49109999999999998</v>
      </c>
      <c r="CJ21" s="1">
        <v>0.53979999999999995</v>
      </c>
      <c r="CK21" s="1">
        <v>0.58450000000000002</v>
      </c>
      <c r="CL21" s="1"/>
    </row>
    <row r="22" spans="1:90" x14ac:dyDescent="0.2">
      <c r="A22" s="4" t="s">
        <v>200</v>
      </c>
      <c r="B22" s="1">
        <v>16265.904</v>
      </c>
      <c r="C22" s="1">
        <v>36.799999999999997</v>
      </c>
      <c r="D22" s="1">
        <f t="shared" si="0"/>
        <v>4.5183066666666667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>
        <v>3.8049416666666671</v>
      </c>
      <c r="AN22" s="1">
        <f t="shared" si="1"/>
        <v>-1.3424688815798611</v>
      </c>
      <c r="AO22" s="1">
        <v>0.3664</v>
      </c>
      <c r="AP22" s="1">
        <f t="shared" si="2"/>
        <v>0.26119999999999999</v>
      </c>
      <c r="AQ22" s="1">
        <f t="shared" si="19"/>
        <v>1.3424688815798611</v>
      </c>
      <c r="AR22" s="1">
        <v>0.33729999999999999</v>
      </c>
      <c r="AS22" s="1">
        <f t="shared" si="18"/>
        <v>0.23169999999999999</v>
      </c>
      <c r="AT22" s="1">
        <f t="shared" si="3"/>
        <v>-1.4623118475438066</v>
      </c>
      <c r="AU22" s="1">
        <v>0.32679999999999998</v>
      </c>
      <c r="AV22" s="1">
        <f t="shared" si="4"/>
        <v>0.22149999999999997</v>
      </c>
      <c r="AW22" s="1">
        <f t="shared" si="5"/>
        <v>-1.5073326894969468</v>
      </c>
      <c r="AX22" s="1">
        <v>0.3291</v>
      </c>
      <c r="AY22" s="1">
        <f t="shared" si="6"/>
        <v>0.22410000000000002</v>
      </c>
      <c r="AZ22" s="1">
        <f t="shared" si="7"/>
        <v>-1.4956628981752556</v>
      </c>
      <c r="BA22" s="1">
        <v>0.32600000000000001</v>
      </c>
      <c r="BB22" s="1">
        <f t="shared" si="8"/>
        <v>0.21660000000000001</v>
      </c>
      <c r="BC22" s="1">
        <f t="shared" si="9"/>
        <v>-1.5297029444152468</v>
      </c>
      <c r="BD22" s="1">
        <v>0.36049999999999999</v>
      </c>
      <c r="BE22" s="1">
        <f t="shared" si="10"/>
        <v>0.25219999999999998</v>
      </c>
      <c r="BF22" s="1">
        <f t="shared" si="11"/>
        <v>-1.377532855451318</v>
      </c>
      <c r="BG22" s="1">
        <v>0.34379999999999999</v>
      </c>
      <c r="BH22" s="1">
        <f t="shared" si="12"/>
        <v>0.23719999999999999</v>
      </c>
      <c r="BI22" s="1">
        <f t="shared" si="13"/>
        <v>-1.4388516118585666</v>
      </c>
      <c r="BJ22" s="1">
        <v>0.39190000000000003</v>
      </c>
      <c r="BK22" s="1">
        <f t="shared" si="14"/>
        <v>0.28680000000000005</v>
      </c>
      <c r="BL22" s="1">
        <f t="shared" si="15"/>
        <v>-1.2489701702566716</v>
      </c>
      <c r="BM22" s="1">
        <v>0.41010000000000002</v>
      </c>
      <c r="BN22" s="1">
        <f t="shared" si="16"/>
        <v>0.30230000000000001</v>
      </c>
      <c r="BO22" s="1">
        <f t="shared" si="17"/>
        <v>-1.1963353771967247</v>
      </c>
      <c r="BP22" s="1"/>
      <c r="BQ22" s="1">
        <v>0.19109999999999999</v>
      </c>
      <c r="BR22" s="1">
        <v>0.39129999999999998</v>
      </c>
      <c r="BS22" s="1">
        <v>0.38159999999999999</v>
      </c>
      <c r="BT22" s="1">
        <v>0.39240000000000003</v>
      </c>
      <c r="BU22" s="1">
        <v>0.37469999999999998</v>
      </c>
      <c r="BV22" s="1">
        <v>0.40360000000000001</v>
      </c>
      <c r="BW22" s="1">
        <v>0.43669999999999998</v>
      </c>
      <c r="BX22" s="1">
        <v>0.47689999999999999</v>
      </c>
      <c r="BY22" s="1">
        <v>0.50360000000000005</v>
      </c>
      <c r="BZ22" s="1"/>
      <c r="CA22" s="1"/>
      <c r="CB22" s="1"/>
      <c r="CC22" s="1">
        <v>0.51419999999999999</v>
      </c>
      <c r="CD22" s="1">
        <v>0.47010000000000002</v>
      </c>
      <c r="CE22" s="1">
        <v>0.47</v>
      </c>
      <c r="CF22" s="1">
        <v>0.46260000000000001</v>
      </c>
      <c r="CG22" s="1">
        <v>0.45939999999999998</v>
      </c>
      <c r="CH22" s="1">
        <v>0.52210000000000001</v>
      </c>
      <c r="CI22" s="1">
        <v>0.50929999999999997</v>
      </c>
      <c r="CJ22" s="1">
        <v>0.56910000000000005</v>
      </c>
      <c r="CK22" s="1">
        <v>0.60109999999999997</v>
      </c>
      <c r="CL22" s="1"/>
    </row>
    <row r="23" spans="1:90" x14ac:dyDescent="0.2">
      <c r="A23" s="4" t="s">
        <v>201</v>
      </c>
      <c r="B23" s="1">
        <v>17121.814999999999</v>
      </c>
      <c r="C23" s="1">
        <v>36.9</v>
      </c>
      <c r="D23" s="1">
        <f t="shared" si="0"/>
        <v>4.7560597222222221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>
        <v>4.0427038888888891</v>
      </c>
      <c r="AN23" s="1">
        <f t="shared" si="1"/>
        <v>-1.1812333173564464</v>
      </c>
      <c r="AO23" s="1">
        <v>0.41210000000000002</v>
      </c>
      <c r="AP23" s="1">
        <f t="shared" si="2"/>
        <v>0.30690000000000001</v>
      </c>
      <c r="AQ23" s="1">
        <f t="shared" si="19"/>
        <v>1.1812333173564464</v>
      </c>
      <c r="AR23" s="1">
        <v>0.38009999999999999</v>
      </c>
      <c r="AS23" s="1">
        <f t="shared" si="18"/>
        <v>0.27449999999999997</v>
      </c>
      <c r="AT23" s="1">
        <f t="shared" si="3"/>
        <v>-1.292804018032552</v>
      </c>
      <c r="AU23" s="1">
        <v>0.36359999999999998</v>
      </c>
      <c r="AV23" s="1">
        <f t="shared" si="4"/>
        <v>0.25829999999999997</v>
      </c>
      <c r="AW23" s="1">
        <f t="shared" si="5"/>
        <v>-1.3536335788803424</v>
      </c>
      <c r="AX23" s="1">
        <v>0.36280000000000001</v>
      </c>
      <c r="AY23" s="1">
        <f t="shared" si="6"/>
        <v>0.25780000000000003</v>
      </c>
      <c r="AZ23" s="1">
        <f t="shared" si="7"/>
        <v>-1.3555711884770498</v>
      </c>
      <c r="BA23" s="1">
        <v>0.35580000000000001</v>
      </c>
      <c r="BB23" s="1">
        <f t="shared" si="8"/>
        <v>0.24640000000000001</v>
      </c>
      <c r="BC23" s="1">
        <f t="shared" si="9"/>
        <v>-1.4007990473227723</v>
      </c>
      <c r="BD23" s="1">
        <v>0.39479999999999998</v>
      </c>
      <c r="BE23" s="1">
        <f t="shared" si="10"/>
        <v>0.28649999999999998</v>
      </c>
      <c r="BF23" s="1">
        <f t="shared" si="11"/>
        <v>-1.250016742827343</v>
      </c>
      <c r="BG23" s="1">
        <v>0.37180000000000002</v>
      </c>
      <c r="BH23" s="1">
        <f t="shared" si="12"/>
        <v>0.26519999999999999</v>
      </c>
      <c r="BI23" s="1">
        <f t="shared" si="13"/>
        <v>-1.3272710206704297</v>
      </c>
      <c r="BJ23" s="1">
        <v>0.42849999999999999</v>
      </c>
      <c r="BK23" s="1">
        <f t="shared" si="14"/>
        <v>0.32340000000000002</v>
      </c>
      <c r="BL23" s="1">
        <f t="shared" si="15"/>
        <v>-1.1288653318391306</v>
      </c>
      <c r="BM23" s="1">
        <v>0.47320000000000001</v>
      </c>
      <c r="BN23" s="1">
        <f t="shared" si="16"/>
        <v>0.3654</v>
      </c>
      <c r="BO23" s="1">
        <f t="shared" si="17"/>
        <v>-1.0067626350382306</v>
      </c>
      <c r="BP23" s="1"/>
      <c r="BQ23" s="1">
        <v>0.2266</v>
      </c>
      <c r="BR23" s="1">
        <v>0.4481</v>
      </c>
      <c r="BS23" s="1">
        <v>0.43419999999999997</v>
      </c>
      <c r="BT23" s="1">
        <v>0.43859999999999999</v>
      </c>
      <c r="BU23" s="1">
        <v>0.42120000000000002</v>
      </c>
      <c r="BV23" s="1">
        <v>0.44829999999999998</v>
      </c>
      <c r="BW23" s="1">
        <v>0.46250000000000002</v>
      </c>
      <c r="BX23" s="1">
        <v>0.52200000000000002</v>
      </c>
      <c r="BY23" s="1">
        <v>0.55130000000000001</v>
      </c>
      <c r="BZ23" s="1"/>
      <c r="CA23" s="1"/>
      <c r="CB23" s="1"/>
      <c r="CC23" s="1">
        <v>0.58819999999999995</v>
      </c>
      <c r="CD23" s="1">
        <v>0.52900000000000003</v>
      </c>
      <c r="CE23" s="1">
        <v>0.52100000000000002</v>
      </c>
      <c r="CF23" s="1">
        <v>0.51419999999999999</v>
      </c>
      <c r="CG23" s="1">
        <v>0.51570000000000005</v>
      </c>
      <c r="CH23" s="1">
        <v>0.56369999999999998</v>
      </c>
      <c r="CI23" s="1">
        <v>0.53080000000000005</v>
      </c>
      <c r="CJ23" s="1">
        <v>0.60560000000000003</v>
      </c>
      <c r="CK23" s="1">
        <v>0.65529999999999999</v>
      </c>
      <c r="CL23" s="1"/>
    </row>
    <row r="24" spans="1:90" x14ac:dyDescent="0.2">
      <c r="A24" s="4" t="s">
        <v>202</v>
      </c>
      <c r="B24" s="1">
        <v>17977.754000000001</v>
      </c>
      <c r="C24" s="1">
        <v>35.6</v>
      </c>
      <c r="D24" s="1">
        <f t="shared" si="0"/>
        <v>4.9938205555555557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>
        <v>4.2804622222222228</v>
      </c>
      <c r="AN24" s="1">
        <f t="shared" si="1"/>
        <v>-1.1304126012179077</v>
      </c>
      <c r="AO24" s="1">
        <v>0.42809999999999998</v>
      </c>
      <c r="AP24" s="1">
        <f t="shared" si="2"/>
        <v>0.32289999999999996</v>
      </c>
      <c r="AQ24" s="1">
        <f t="shared" si="19"/>
        <v>1.1304126012179077</v>
      </c>
      <c r="AR24" s="1">
        <v>0.39340000000000003</v>
      </c>
      <c r="AS24" s="1">
        <f t="shared" si="18"/>
        <v>0.28780000000000006</v>
      </c>
      <c r="AT24" s="1">
        <f t="shared" si="3"/>
        <v>-1.2454894845288693</v>
      </c>
      <c r="AU24" s="1">
        <v>0.37769999999999998</v>
      </c>
      <c r="AV24" s="1">
        <f t="shared" si="4"/>
        <v>0.27239999999999998</v>
      </c>
      <c r="AW24" s="1">
        <f t="shared" si="5"/>
        <v>-1.3004837047067799</v>
      </c>
      <c r="AX24" s="1">
        <v>0.38229999999999997</v>
      </c>
      <c r="AY24" s="1">
        <f t="shared" si="6"/>
        <v>0.27729999999999999</v>
      </c>
      <c r="AZ24" s="1">
        <f t="shared" si="7"/>
        <v>-1.2826553263604048</v>
      </c>
      <c r="BA24" s="1">
        <v>0.37759999999999999</v>
      </c>
      <c r="BB24" s="1">
        <f t="shared" si="8"/>
        <v>0.26819999999999999</v>
      </c>
      <c r="BC24" s="1">
        <f t="shared" si="9"/>
        <v>-1.316022308134559</v>
      </c>
      <c r="BD24" s="1">
        <v>0.41489999999999999</v>
      </c>
      <c r="BE24" s="1">
        <f t="shared" si="10"/>
        <v>0.30659999999999998</v>
      </c>
      <c r="BF24" s="1">
        <f t="shared" si="11"/>
        <v>-1.1822113125444234</v>
      </c>
      <c r="BG24" s="1">
        <v>0.39290000000000003</v>
      </c>
      <c r="BH24" s="1">
        <f t="shared" si="12"/>
        <v>0.2863</v>
      </c>
      <c r="BI24" s="1">
        <f t="shared" si="13"/>
        <v>-1.2507150668780678</v>
      </c>
      <c r="BJ24" s="1">
        <v>0.44969999999999999</v>
      </c>
      <c r="BK24" s="1">
        <f t="shared" si="14"/>
        <v>0.34460000000000002</v>
      </c>
      <c r="BL24" s="1">
        <f t="shared" si="15"/>
        <v>-1.0653709548883077</v>
      </c>
      <c r="BM24" s="1">
        <v>0.48649999999999999</v>
      </c>
      <c r="BN24" s="1">
        <f t="shared" si="16"/>
        <v>0.37869999999999998</v>
      </c>
      <c r="BO24" s="1">
        <f t="shared" si="17"/>
        <v>-0.97101094407438793</v>
      </c>
      <c r="BP24" s="1"/>
      <c r="BQ24" s="1">
        <v>0.26219999999999999</v>
      </c>
      <c r="BR24" s="1">
        <v>0.48349999999999999</v>
      </c>
      <c r="BS24" s="1">
        <v>0.4627</v>
      </c>
      <c r="BT24" s="1">
        <v>0.46560000000000001</v>
      </c>
      <c r="BU24" s="1">
        <v>0.4456</v>
      </c>
      <c r="BV24" s="1">
        <v>0.4713</v>
      </c>
      <c r="BW24" s="1">
        <v>0.47399999999999998</v>
      </c>
      <c r="BX24" s="1">
        <v>0.54200000000000004</v>
      </c>
      <c r="BY24" s="1">
        <v>0.58220000000000005</v>
      </c>
      <c r="BZ24" s="1"/>
      <c r="CA24" s="1"/>
      <c r="CB24" s="1"/>
      <c r="CC24" s="1">
        <v>0.57050000000000001</v>
      </c>
      <c r="CD24" s="1">
        <v>0.55479999999999996</v>
      </c>
      <c r="CE24" s="1">
        <v>0.54800000000000004</v>
      </c>
      <c r="CF24" s="1">
        <v>0.5413</v>
      </c>
      <c r="CG24" s="1">
        <v>0.54259999999999997</v>
      </c>
      <c r="CH24" s="1">
        <v>0.59099999999999997</v>
      </c>
      <c r="CI24" s="1">
        <v>0.54139999999999999</v>
      </c>
      <c r="CJ24" s="1">
        <v>0.62219999999999998</v>
      </c>
      <c r="CK24" s="1">
        <v>0.6734</v>
      </c>
      <c r="CL24" s="1"/>
    </row>
    <row r="25" spans="1:90" x14ac:dyDescent="0.2">
      <c r="A25" s="4" t="s">
        <v>203</v>
      </c>
      <c r="B25" s="1">
        <v>18834.023000000001</v>
      </c>
      <c r="C25" s="1">
        <v>36.9</v>
      </c>
      <c r="D25" s="1">
        <f t="shared" si="0"/>
        <v>5.2316730555555555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>
        <v>4.5183066666666667</v>
      </c>
      <c r="AN25" s="1">
        <f t="shared" si="1"/>
        <v>-1.0885629528151082</v>
      </c>
      <c r="AO25" s="1">
        <v>0.44190000000000002</v>
      </c>
      <c r="AP25" s="1">
        <f t="shared" si="2"/>
        <v>0.3367</v>
      </c>
      <c r="AQ25" s="1">
        <f t="shared" si="19"/>
        <v>1.0885629528151082</v>
      </c>
      <c r="AR25" s="1">
        <v>0.42330000000000001</v>
      </c>
      <c r="AS25" s="1">
        <f t="shared" si="18"/>
        <v>0.31769999999999998</v>
      </c>
      <c r="AT25" s="1">
        <f t="shared" si="3"/>
        <v>-1.1466477377066666</v>
      </c>
      <c r="AU25" s="1">
        <v>0.40079999999999999</v>
      </c>
      <c r="AV25" s="1">
        <f t="shared" si="4"/>
        <v>0.29549999999999998</v>
      </c>
      <c r="AW25" s="1">
        <f t="shared" si="5"/>
        <v>-1.2190864421359842</v>
      </c>
      <c r="AX25" s="1">
        <v>0.40749999999999997</v>
      </c>
      <c r="AY25" s="1">
        <f t="shared" si="6"/>
        <v>0.30249999999999999</v>
      </c>
      <c r="AZ25" s="1">
        <f t="shared" si="7"/>
        <v>-1.195674001511241</v>
      </c>
      <c r="BA25" s="1">
        <v>0.39129999999999998</v>
      </c>
      <c r="BB25" s="1">
        <f t="shared" si="8"/>
        <v>0.28189999999999998</v>
      </c>
      <c r="BC25" s="1">
        <f t="shared" si="9"/>
        <v>-1.2662028808620702</v>
      </c>
      <c r="BD25" s="1">
        <v>0.43070000000000003</v>
      </c>
      <c r="BE25" s="1">
        <f t="shared" si="10"/>
        <v>0.32240000000000002</v>
      </c>
      <c r="BF25" s="1">
        <f t="shared" si="11"/>
        <v>-1.1319622683496637</v>
      </c>
      <c r="BG25" s="1">
        <v>0.40849999999999997</v>
      </c>
      <c r="BH25" s="1">
        <f t="shared" si="12"/>
        <v>0.30189999999999995</v>
      </c>
      <c r="BI25" s="1">
        <f t="shared" si="13"/>
        <v>-1.1976594422693441</v>
      </c>
      <c r="BJ25" s="1">
        <v>0.47110000000000002</v>
      </c>
      <c r="BK25" s="1">
        <f t="shared" si="14"/>
        <v>0.36599999999999999</v>
      </c>
      <c r="BL25" s="1">
        <f t="shared" si="15"/>
        <v>-1.0051219455807707</v>
      </c>
      <c r="BM25" s="1">
        <v>0.5091</v>
      </c>
      <c r="BN25" s="1">
        <f t="shared" si="16"/>
        <v>0.40129999999999999</v>
      </c>
      <c r="BO25" s="1">
        <f t="shared" si="17"/>
        <v>-0.91304600170926609</v>
      </c>
      <c r="BP25" s="1"/>
      <c r="BQ25" s="1">
        <v>0.29389999999999999</v>
      </c>
      <c r="BR25" s="1">
        <v>0.49959999999999999</v>
      </c>
      <c r="BS25" s="1">
        <v>0.48220000000000002</v>
      </c>
      <c r="BT25" s="1">
        <v>0.48470000000000002</v>
      </c>
      <c r="BU25" s="1">
        <v>0.47020000000000001</v>
      </c>
      <c r="BV25" s="1">
        <v>0.49130000000000001</v>
      </c>
      <c r="BW25" s="1">
        <v>0.47549999999999998</v>
      </c>
      <c r="BX25" s="1">
        <v>0.55910000000000004</v>
      </c>
      <c r="BY25" s="1">
        <v>0.59589999999999999</v>
      </c>
      <c r="BZ25" s="1"/>
      <c r="CA25" s="1"/>
      <c r="CB25" s="1"/>
      <c r="CC25" s="1">
        <v>0.64659999999999995</v>
      </c>
      <c r="CD25" s="1">
        <v>0.57479999999999998</v>
      </c>
      <c r="CE25" s="1">
        <v>0.57250000000000001</v>
      </c>
      <c r="CF25" s="1">
        <v>0.56040000000000001</v>
      </c>
      <c r="CG25" s="1">
        <v>0.5615</v>
      </c>
      <c r="CH25" s="1">
        <v>0.60099999999999998</v>
      </c>
      <c r="CI25" s="1">
        <v>0.54249999999999998</v>
      </c>
      <c r="CJ25" s="1">
        <v>0.62629999999999997</v>
      </c>
      <c r="CK25" s="1">
        <v>0.67910000000000004</v>
      </c>
      <c r="CL25" s="1"/>
    </row>
    <row r="26" spans="1:90" x14ac:dyDescent="0.2">
      <c r="A26" s="4" t="s">
        <v>204</v>
      </c>
      <c r="B26" s="1">
        <v>19689.952000000001</v>
      </c>
      <c r="C26" s="1">
        <v>35.5</v>
      </c>
      <c r="D26" s="1">
        <f t="shared" si="0"/>
        <v>5.4694311111111116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>
        <v>4.7560597222222221</v>
      </c>
      <c r="AN26" s="1">
        <f t="shared" si="1"/>
        <v>-0.98483727440926505</v>
      </c>
      <c r="AO26" s="1">
        <v>0.47870000000000001</v>
      </c>
      <c r="AP26" s="1">
        <f t="shared" si="2"/>
        <v>0.3735</v>
      </c>
      <c r="AQ26" s="1">
        <f t="shared" si="19"/>
        <v>0.98483727440926505</v>
      </c>
      <c r="AR26" s="1">
        <v>0.4667</v>
      </c>
      <c r="AS26" s="1">
        <f t="shared" si="18"/>
        <v>0.36109999999999998</v>
      </c>
      <c r="AT26" s="1">
        <f t="shared" si="3"/>
        <v>-1.0186003506987251</v>
      </c>
      <c r="AU26" s="1">
        <v>0.44230000000000003</v>
      </c>
      <c r="AV26" s="1">
        <f t="shared" si="4"/>
        <v>0.33700000000000002</v>
      </c>
      <c r="AW26" s="1">
        <f t="shared" si="5"/>
        <v>-1.0876723486297752</v>
      </c>
      <c r="AX26" s="1">
        <v>0.44500000000000001</v>
      </c>
      <c r="AY26" s="1">
        <f t="shared" si="6"/>
        <v>0.34</v>
      </c>
      <c r="AZ26" s="1">
        <f t="shared" si="7"/>
        <v>-1.0788096613719298</v>
      </c>
      <c r="BA26" s="1">
        <v>0.42730000000000001</v>
      </c>
      <c r="BB26" s="1">
        <f t="shared" si="8"/>
        <v>0.31790000000000002</v>
      </c>
      <c r="BC26" s="1">
        <f t="shared" si="9"/>
        <v>-1.1460184110653799</v>
      </c>
      <c r="BD26" s="1">
        <v>0.4612</v>
      </c>
      <c r="BE26" s="1">
        <f t="shared" si="10"/>
        <v>0.35289999999999999</v>
      </c>
      <c r="BF26" s="1">
        <f t="shared" si="11"/>
        <v>-1.0415705483009128</v>
      </c>
      <c r="BG26" s="1">
        <v>0.43330000000000002</v>
      </c>
      <c r="BH26" s="1">
        <f t="shared" si="12"/>
        <v>0.32669999999999999</v>
      </c>
      <c r="BI26" s="1">
        <f t="shared" si="13"/>
        <v>-1.1187129603751127</v>
      </c>
      <c r="BJ26" s="1">
        <v>0.50260000000000005</v>
      </c>
      <c r="BK26" s="1">
        <f t="shared" si="14"/>
        <v>0.39750000000000008</v>
      </c>
      <c r="BL26" s="1">
        <f t="shared" si="15"/>
        <v>-0.92256034488775029</v>
      </c>
      <c r="BM26" s="1">
        <v>0.55800000000000005</v>
      </c>
      <c r="BN26" s="1">
        <f t="shared" si="16"/>
        <v>0.45020000000000004</v>
      </c>
      <c r="BO26" s="1">
        <f t="shared" si="17"/>
        <v>-0.79806335050950505</v>
      </c>
      <c r="BP26" s="1"/>
      <c r="BQ26" s="1">
        <v>0.34189999999999998</v>
      </c>
      <c r="BR26" s="1">
        <v>0.53959999999999997</v>
      </c>
      <c r="BS26" s="1">
        <v>0.51939999999999997</v>
      </c>
      <c r="BT26" s="1">
        <v>0.52139999999999997</v>
      </c>
      <c r="BU26" s="1">
        <v>0.50590000000000002</v>
      </c>
      <c r="BV26" s="1">
        <v>0.52569999999999995</v>
      </c>
      <c r="BW26" s="1">
        <v>0.4884</v>
      </c>
      <c r="BX26" s="1">
        <v>0.58799999999999997</v>
      </c>
      <c r="BY26" s="1">
        <v>0.6129</v>
      </c>
      <c r="BZ26" s="1"/>
      <c r="CA26" s="1"/>
      <c r="CB26" s="1"/>
      <c r="CC26" s="1">
        <v>0.68110000000000004</v>
      </c>
      <c r="CD26" s="1">
        <v>0.60419999999999996</v>
      </c>
      <c r="CE26" s="1">
        <v>0.59919999999999995</v>
      </c>
      <c r="CF26" s="1">
        <v>0.58789999999999998</v>
      </c>
      <c r="CG26" s="1">
        <v>0.59519999999999995</v>
      </c>
      <c r="CH26" s="1">
        <v>0.62090000000000001</v>
      </c>
      <c r="CI26" s="1">
        <v>0.54549999999999998</v>
      </c>
      <c r="CJ26" s="1">
        <v>0.63639999999999997</v>
      </c>
      <c r="CK26" s="1">
        <v>0.68979999999999997</v>
      </c>
      <c r="CL26" s="1"/>
    </row>
    <row r="27" spans="1:90" x14ac:dyDescent="0.2">
      <c r="A27" s="4" t="s">
        <v>205</v>
      </c>
      <c r="B27" s="1">
        <v>20545.900000000001</v>
      </c>
      <c r="C27" s="1">
        <v>36.799999999999997</v>
      </c>
      <c r="D27" s="1">
        <f t="shared" si="0"/>
        <v>5.7071944444444451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>
        <v>4.9938205555555557</v>
      </c>
      <c r="AN27" s="1">
        <f t="shared" si="1"/>
        <v>-0.93318259954437321</v>
      </c>
      <c r="AO27" s="1">
        <v>0.4985</v>
      </c>
      <c r="AP27" s="1">
        <f t="shared" si="2"/>
        <v>0.39329999999999998</v>
      </c>
      <c r="AQ27" s="1">
        <f t="shared" si="19"/>
        <v>0.93318259954437321</v>
      </c>
      <c r="AR27" s="1">
        <v>0.47720000000000001</v>
      </c>
      <c r="AS27" s="1">
        <f t="shared" si="18"/>
        <v>0.37160000000000004</v>
      </c>
      <c r="AT27" s="1">
        <f t="shared" si="3"/>
        <v>-0.98993727204245352</v>
      </c>
      <c r="AU27" s="1">
        <v>0.46110000000000001</v>
      </c>
      <c r="AV27" s="1">
        <f t="shared" si="4"/>
        <v>0.35580000000000001</v>
      </c>
      <c r="AW27" s="1">
        <f t="shared" si="5"/>
        <v>-1.0333865037504022</v>
      </c>
      <c r="AX27" s="1">
        <v>0.46129999999999999</v>
      </c>
      <c r="AY27" s="1">
        <f t="shared" si="6"/>
        <v>0.35630000000000001</v>
      </c>
      <c r="AZ27" s="1">
        <f t="shared" si="7"/>
        <v>-1.0319822063703468</v>
      </c>
      <c r="BA27" s="1">
        <v>0.44740000000000002</v>
      </c>
      <c r="BB27" s="1">
        <f t="shared" si="8"/>
        <v>0.33800000000000002</v>
      </c>
      <c r="BC27" s="1">
        <f t="shared" si="9"/>
        <v>-1.0847093834991182</v>
      </c>
      <c r="BD27" s="1">
        <v>0.47220000000000001</v>
      </c>
      <c r="BE27" s="1">
        <f t="shared" si="10"/>
        <v>0.3639</v>
      </c>
      <c r="BF27" s="1">
        <f t="shared" si="11"/>
        <v>-1.0108761743640229</v>
      </c>
      <c r="BG27" s="1">
        <v>0.44979999999999998</v>
      </c>
      <c r="BH27" s="1">
        <f t="shared" si="12"/>
        <v>0.34319999999999995</v>
      </c>
      <c r="BI27" s="1">
        <f t="shared" si="13"/>
        <v>-1.06944191136833</v>
      </c>
      <c r="BJ27" s="1">
        <v>0.51680000000000004</v>
      </c>
      <c r="BK27" s="1">
        <f t="shared" si="14"/>
        <v>0.41170000000000007</v>
      </c>
      <c r="BL27" s="1">
        <f t="shared" si="15"/>
        <v>-0.88746035020627789</v>
      </c>
      <c r="BM27" s="1">
        <v>0.57179999999999997</v>
      </c>
      <c r="BN27" s="1">
        <f t="shared" si="16"/>
        <v>0.46399999999999997</v>
      </c>
      <c r="BO27" s="1">
        <f t="shared" si="17"/>
        <v>-0.76787072675588186</v>
      </c>
      <c r="BP27" s="1"/>
      <c r="BQ27" s="1">
        <v>0.37080000000000002</v>
      </c>
      <c r="BR27" s="1">
        <v>0.56020000000000003</v>
      </c>
      <c r="BS27" s="1">
        <v>0.54069999999999996</v>
      </c>
      <c r="BT27" s="1">
        <v>0.54059999999999997</v>
      </c>
      <c r="BU27" s="1">
        <v>0.5252</v>
      </c>
      <c r="BV27" s="1">
        <v>0.54169999999999996</v>
      </c>
      <c r="BW27" s="1">
        <v>0.49180000000000001</v>
      </c>
      <c r="BX27" s="1">
        <v>0.58799999999999997</v>
      </c>
      <c r="BY27" s="1">
        <v>0.61929999999999996</v>
      </c>
      <c r="BZ27" s="1"/>
      <c r="CA27" s="1"/>
      <c r="CB27" s="1"/>
      <c r="CC27" s="1">
        <v>0.62670000000000003</v>
      </c>
      <c r="CD27" s="1">
        <v>0.61799999999999999</v>
      </c>
      <c r="CE27" s="1">
        <v>0.61180000000000001</v>
      </c>
      <c r="CF27" s="1">
        <v>0.6028</v>
      </c>
      <c r="CG27" s="1">
        <v>0.60560000000000003</v>
      </c>
      <c r="CH27" s="1">
        <v>0.63290000000000002</v>
      </c>
      <c r="CI27" s="1">
        <v>0.53749999999999998</v>
      </c>
      <c r="CJ27" s="1">
        <v>0.64990000000000003</v>
      </c>
      <c r="CK27" s="1">
        <v>0.68830000000000002</v>
      </c>
      <c r="CL27" s="1"/>
    </row>
    <row r="28" spans="1:90" x14ac:dyDescent="0.2">
      <c r="A28" s="4" t="s">
        <v>206</v>
      </c>
      <c r="B28" s="1">
        <v>21402.089</v>
      </c>
      <c r="C28" s="1">
        <v>36.9</v>
      </c>
      <c r="D28" s="1">
        <f t="shared" si="0"/>
        <v>5.9450247222222226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>
        <v>5.2316730555555555</v>
      </c>
      <c r="AN28" s="1">
        <f t="shared" si="1"/>
        <v>-0.93318259954437321</v>
      </c>
      <c r="AO28" s="1">
        <v>0.4985</v>
      </c>
      <c r="AP28" s="1">
        <f t="shared" si="2"/>
        <v>0.39329999999999998</v>
      </c>
      <c r="AQ28" s="1">
        <f t="shared" si="19"/>
        <v>0.93318259954437321</v>
      </c>
      <c r="AR28" s="1">
        <v>0.48899999999999999</v>
      </c>
      <c r="AS28" s="1">
        <f t="shared" si="18"/>
        <v>0.38339999999999996</v>
      </c>
      <c r="AT28" s="1">
        <f t="shared" si="3"/>
        <v>-0.95867644837059307</v>
      </c>
      <c r="AU28" s="1">
        <v>0.46289999999999998</v>
      </c>
      <c r="AV28" s="1">
        <f t="shared" si="4"/>
        <v>0.35759999999999997</v>
      </c>
      <c r="AW28" s="1">
        <f t="shared" si="5"/>
        <v>-1.028340235682778</v>
      </c>
      <c r="AX28" s="1">
        <v>0.46529999999999999</v>
      </c>
      <c r="AY28" s="1">
        <f t="shared" si="6"/>
        <v>0.36030000000000001</v>
      </c>
      <c r="AZ28" s="1">
        <f t="shared" si="7"/>
        <v>-1.0208182612280894</v>
      </c>
      <c r="BA28" s="1">
        <v>0.45079999999999998</v>
      </c>
      <c r="BB28" s="1">
        <f t="shared" si="8"/>
        <v>0.34139999999999998</v>
      </c>
      <c r="BC28" s="1">
        <f t="shared" si="9"/>
        <v>-1.0747004686217969</v>
      </c>
      <c r="BD28" s="1">
        <v>0.4899</v>
      </c>
      <c r="BE28" s="1">
        <f t="shared" si="10"/>
        <v>0.38159999999999999</v>
      </c>
      <c r="BF28" s="1">
        <f t="shared" si="11"/>
        <v>-0.96338233940800555</v>
      </c>
      <c r="BG28" s="1">
        <v>0.4531</v>
      </c>
      <c r="BH28" s="1">
        <f t="shared" si="12"/>
        <v>0.34650000000000003</v>
      </c>
      <c r="BI28" s="1">
        <f t="shared" si="13"/>
        <v>-1.059872460352179</v>
      </c>
      <c r="BJ28" s="1">
        <v>0.53620000000000001</v>
      </c>
      <c r="BK28" s="1">
        <f t="shared" si="14"/>
        <v>0.43110000000000004</v>
      </c>
      <c r="BL28" s="1">
        <f t="shared" si="15"/>
        <v>-0.84141519722904801</v>
      </c>
      <c r="BM28" s="1">
        <v>0.58860000000000001</v>
      </c>
      <c r="BN28" s="1">
        <f t="shared" si="16"/>
        <v>0.48080000000000001</v>
      </c>
      <c r="BO28" s="1">
        <f t="shared" si="17"/>
        <v>-0.73230389576113919</v>
      </c>
      <c r="BP28" s="1"/>
      <c r="BQ28" s="1">
        <v>0.40839999999999999</v>
      </c>
      <c r="BR28" s="1">
        <v>0.55930000000000002</v>
      </c>
      <c r="BS28" s="1">
        <v>0.54300000000000004</v>
      </c>
      <c r="BT28" s="1">
        <v>0.54349999999999998</v>
      </c>
      <c r="BU28" s="1">
        <v>0.53100000000000003</v>
      </c>
      <c r="BV28" s="1">
        <v>0.54869999999999997</v>
      </c>
      <c r="BW28" s="1">
        <v>0.4859</v>
      </c>
      <c r="BX28" s="1">
        <v>0.60060000000000002</v>
      </c>
      <c r="BY28" s="1">
        <v>0.627</v>
      </c>
      <c r="BZ28" s="1"/>
      <c r="CA28" s="1"/>
      <c r="CB28" s="1"/>
      <c r="CC28" s="1">
        <v>0.71750000000000003</v>
      </c>
      <c r="CD28" s="1">
        <v>0.62419999999999998</v>
      </c>
      <c r="CE28" s="1">
        <v>0.62409999999999999</v>
      </c>
      <c r="CF28" s="1">
        <v>0.61480000000000001</v>
      </c>
      <c r="CG28" s="1">
        <v>0.61990000000000001</v>
      </c>
      <c r="CH28" s="1">
        <v>0.64190000000000003</v>
      </c>
      <c r="CI28" s="1">
        <v>0.53920000000000001</v>
      </c>
      <c r="CJ28" s="1">
        <v>0.65169999999999995</v>
      </c>
      <c r="CK28" s="1">
        <v>0.68740000000000001</v>
      </c>
      <c r="CL28" s="1"/>
    </row>
    <row r="29" spans="1:90" x14ac:dyDescent="0.2">
      <c r="A29" s="4" t="s">
        <v>207</v>
      </c>
      <c r="B29" s="1">
        <v>22258.032999999999</v>
      </c>
      <c r="C29" s="1">
        <v>35.6</v>
      </c>
      <c r="D29" s="1">
        <f t="shared" si="0"/>
        <v>6.1827869444444445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>
        <v>5.4694311111111116</v>
      </c>
      <c r="AN29" s="1">
        <f t="shared" si="1"/>
        <v>-0.88406558457941831</v>
      </c>
      <c r="AO29" s="1">
        <v>0.51829999999999998</v>
      </c>
      <c r="AP29" s="1">
        <f t="shared" si="2"/>
        <v>0.41309999999999997</v>
      </c>
      <c r="AQ29" s="1">
        <f t="shared" si="19"/>
        <v>0.88406558457941831</v>
      </c>
      <c r="AR29" s="1">
        <v>0.50629999999999997</v>
      </c>
      <c r="AS29" s="1">
        <f t="shared" si="18"/>
        <v>0.40069999999999995</v>
      </c>
      <c r="AT29" s="1">
        <f t="shared" si="3"/>
        <v>-0.91454226134003835</v>
      </c>
      <c r="AU29" s="1">
        <v>0.48430000000000001</v>
      </c>
      <c r="AV29" s="1">
        <f t="shared" si="4"/>
        <v>0.379</v>
      </c>
      <c r="AW29" s="1">
        <f t="shared" si="5"/>
        <v>-0.97021907389971074</v>
      </c>
      <c r="AX29" s="1">
        <v>0.48499999999999999</v>
      </c>
      <c r="AY29" s="1">
        <f t="shared" si="6"/>
        <v>0.38</v>
      </c>
      <c r="AZ29" s="1">
        <f t="shared" si="7"/>
        <v>-0.96758402626170559</v>
      </c>
      <c r="BA29" s="1">
        <v>0.47</v>
      </c>
      <c r="BB29" s="1">
        <f t="shared" si="8"/>
        <v>0.36059999999999998</v>
      </c>
      <c r="BC29" s="1">
        <f t="shared" si="9"/>
        <v>-1.0199859682129202</v>
      </c>
      <c r="BD29" s="1">
        <v>0.48909999999999998</v>
      </c>
      <c r="BE29" s="1">
        <f t="shared" si="10"/>
        <v>0.38079999999999997</v>
      </c>
      <c r="BF29" s="1">
        <f t="shared" si="11"/>
        <v>-0.96548097606492689</v>
      </c>
      <c r="BG29" s="1">
        <v>0.47120000000000001</v>
      </c>
      <c r="BH29" s="1">
        <f t="shared" si="12"/>
        <v>0.36460000000000004</v>
      </c>
      <c r="BI29" s="1">
        <f t="shared" si="13"/>
        <v>-1.0089544167375744</v>
      </c>
      <c r="BJ29" s="1">
        <v>0.54120000000000001</v>
      </c>
      <c r="BK29" s="1">
        <f t="shared" si="14"/>
        <v>0.43610000000000004</v>
      </c>
      <c r="BL29" s="1">
        <f t="shared" si="15"/>
        <v>-0.82988370413341617</v>
      </c>
      <c r="BM29" s="1">
        <v>0.60729999999999995</v>
      </c>
      <c r="BN29" s="1">
        <f t="shared" si="16"/>
        <v>0.49949999999999994</v>
      </c>
      <c r="BO29" s="1">
        <f t="shared" si="17"/>
        <v>-0.69414768089352896</v>
      </c>
      <c r="BP29" s="1"/>
      <c r="BQ29" s="1">
        <v>0.4491</v>
      </c>
      <c r="BR29" s="1">
        <v>0.57679999999999998</v>
      </c>
      <c r="BS29" s="1">
        <v>0.55989999999999995</v>
      </c>
      <c r="BT29" s="1">
        <v>0.56140000000000001</v>
      </c>
      <c r="BU29" s="1">
        <v>0.55000000000000004</v>
      </c>
      <c r="BV29" s="1">
        <v>0.56359999999999999</v>
      </c>
      <c r="BW29" s="1">
        <v>0.4869</v>
      </c>
      <c r="BX29" s="1">
        <v>0.59699999999999998</v>
      </c>
      <c r="BY29" s="1">
        <v>0.62470000000000003</v>
      </c>
      <c r="BZ29" s="1"/>
      <c r="CA29" s="1"/>
      <c r="CB29" s="1"/>
      <c r="CC29" s="1">
        <v>0.71819999999999995</v>
      </c>
      <c r="CD29" s="1">
        <v>0.62880000000000003</v>
      </c>
      <c r="CE29" s="1">
        <v>0.63060000000000005</v>
      </c>
      <c r="CF29" s="1">
        <v>0.61450000000000005</v>
      </c>
      <c r="CG29" s="1">
        <v>0.61950000000000005</v>
      </c>
      <c r="CH29" s="1">
        <v>0.63460000000000005</v>
      </c>
      <c r="CI29" s="1">
        <v>0.5171</v>
      </c>
      <c r="CJ29" s="1">
        <v>0.64559999999999995</v>
      </c>
      <c r="CK29" s="1">
        <v>0.67600000000000005</v>
      </c>
      <c r="CL29" s="1"/>
    </row>
    <row r="30" spans="1:90" x14ac:dyDescent="0.2">
      <c r="A30" s="4" t="s">
        <v>208</v>
      </c>
      <c r="B30" s="1">
        <v>23114.003000000001</v>
      </c>
      <c r="C30" s="1">
        <v>36.799999999999997</v>
      </c>
      <c r="D30" s="1">
        <f t="shared" si="0"/>
        <v>6.4205563888888895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>
        <v>5.7071944444444451</v>
      </c>
      <c r="AN30" s="1">
        <f t="shared" si="1"/>
        <v>-0.88237251367069436</v>
      </c>
      <c r="AO30" s="1">
        <v>0.51900000000000002</v>
      </c>
      <c r="AP30" s="1">
        <f t="shared" si="2"/>
        <v>0.4138</v>
      </c>
      <c r="AQ30" s="1">
        <f t="shared" si="19"/>
        <v>0.88237251367069436</v>
      </c>
      <c r="AR30" s="1">
        <v>0.5151</v>
      </c>
      <c r="AS30" s="1">
        <f t="shared" si="18"/>
        <v>0.40949999999999998</v>
      </c>
      <c r="AT30" s="1">
        <f t="shared" si="3"/>
        <v>-0.89281837568901301</v>
      </c>
      <c r="AU30" s="1">
        <v>0.49890000000000001</v>
      </c>
      <c r="AV30" s="1">
        <f t="shared" si="4"/>
        <v>0.39360000000000001</v>
      </c>
      <c r="AW30" s="1">
        <f t="shared" si="5"/>
        <v>-0.93242011380403866</v>
      </c>
      <c r="AX30" s="1">
        <v>0.49559999999999998</v>
      </c>
      <c r="AY30" s="1">
        <f t="shared" si="6"/>
        <v>0.3906</v>
      </c>
      <c r="AZ30" s="1">
        <f t="shared" si="7"/>
        <v>-0.94007126053955847</v>
      </c>
      <c r="BA30" s="1">
        <v>0.48209999999999997</v>
      </c>
      <c r="BB30" s="1">
        <f t="shared" si="8"/>
        <v>0.37269999999999998</v>
      </c>
      <c r="BC30" s="1">
        <f t="shared" si="9"/>
        <v>-0.98698147249692436</v>
      </c>
      <c r="BD30" s="1">
        <v>0.51749999999999996</v>
      </c>
      <c r="BE30" s="1">
        <f t="shared" si="10"/>
        <v>0.40919999999999995</v>
      </c>
      <c r="BF30" s="1">
        <f t="shared" si="11"/>
        <v>-0.89355124490466575</v>
      </c>
      <c r="BG30" s="1">
        <v>0.46260000000000001</v>
      </c>
      <c r="BH30" s="1">
        <f t="shared" si="12"/>
        <v>0.35599999999999998</v>
      </c>
      <c r="BI30" s="1">
        <f t="shared" si="13"/>
        <v>-1.0328245481301066</v>
      </c>
      <c r="BJ30" s="1">
        <v>0.57040000000000002</v>
      </c>
      <c r="BK30" s="1">
        <f t="shared" si="14"/>
        <v>0.46530000000000005</v>
      </c>
      <c r="BL30" s="1">
        <f t="shared" si="15"/>
        <v>-0.76507292013153416</v>
      </c>
      <c r="BM30" s="1">
        <v>0.62109999999999999</v>
      </c>
      <c r="BN30" s="1">
        <f t="shared" si="16"/>
        <v>0.51329999999999998</v>
      </c>
      <c r="BO30" s="1">
        <f t="shared" si="17"/>
        <v>-0.66689480941587964</v>
      </c>
      <c r="BP30" s="1"/>
      <c r="BQ30" s="1">
        <v>0.49280000000000002</v>
      </c>
      <c r="BR30" s="1">
        <v>0.58699999999999997</v>
      </c>
      <c r="BS30" s="1">
        <v>0.57410000000000005</v>
      </c>
      <c r="BT30" s="1">
        <v>0.57089999999999996</v>
      </c>
      <c r="BU30" s="1">
        <v>0.5595</v>
      </c>
      <c r="BV30" s="1">
        <v>0.57410000000000005</v>
      </c>
      <c r="BW30" s="1">
        <v>0.48470000000000002</v>
      </c>
      <c r="BX30" s="1">
        <v>0.60799999999999998</v>
      </c>
      <c r="BY30" s="1">
        <v>0.64290000000000003</v>
      </c>
      <c r="BZ30" s="1"/>
      <c r="CA30" s="1"/>
      <c r="CB30" s="1"/>
      <c r="CC30" s="1">
        <v>0.70279999999999998</v>
      </c>
      <c r="CD30" s="1">
        <v>0.64400000000000002</v>
      </c>
      <c r="CE30" s="1">
        <v>0.63500000000000001</v>
      </c>
      <c r="CF30" s="1">
        <v>0.62109999999999999</v>
      </c>
      <c r="CG30" s="1">
        <v>0.62770000000000004</v>
      </c>
      <c r="CH30" s="1">
        <v>0.63700000000000001</v>
      </c>
      <c r="CI30" s="1">
        <v>0.51119999999999999</v>
      </c>
      <c r="CJ30" s="1">
        <v>0.65</v>
      </c>
      <c r="CK30" s="1">
        <v>0.67579999999999996</v>
      </c>
      <c r="CL30" s="1"/>
    </row>
    <row r="31" spans="1:90" x14ac:dyDescent="0.2">
      <c r="A31" s="4" t="s">
        <v>209</v>
      </c>
      <c r="B31" s="1">
        <v>23970.203000000001</v>
      </c>
      <c r="C31" s="1">
        <v>37</v>
      </c>
      <c r="D31" s="1">
        <f t="shared" si="0"/>
        <v>6.658389722222223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>
        <v>5.9450247222222226</v>
      </c>
      <c r="AN31" s="1">
        <f t="shared" si="1"/>
        <v>-0.85967413145525917</v>
      </c>
      <c r="AO31" s="1">
        <v>0.52849999999999997</v>
      </c>
      <c r="AP31" s="1">
        <f t="shared" si="2"/>
        <v>0.42329999999999995</v>
      </c>
      <c r="AQ31" s="1">
        <f t="shared" si="19"/>
        <v>0.85967413145525917</v>
      </c>
      <c r="AR31" s="1">
        <v>0.53490000000000004</v>
      </c>
      <c r="AS31" s="1">
        <f t="shared" si="18"/>
        <v>0.42930000000000001</v>
      </c>
      <c r="AT31" s="1">
        <f t="shared" si="3"/>
        <v>-0.84559930375162207</v>
      </c>
      <c r="AU31" s="1">
        <v>0.5071</v>
      </c>
      <c r="AV31" s="1">
        <f t="shared" si="4"/>
        <v>0.40179999999999999</v>
      </c>
      <c r="AW31" s="1">
        <f t="shared" si="5"/>
        <v>-0.91180082660130302</v>
      </c>
      <c r="AX31" s="1">
        <v>0.5091</v>
      </c>
      <c r="AY31" s="1">
        <f t="shared" si="6"/>
        <v>0.40410000000000001</v>
      </c>
      <c r="AZ31" s="1">
        <f t="shared" si="7"/>
        <v>-0.90609290689770905</v>
      </c>
      <c r="BA31" s="1">
        <v>0.49619999999999997</v>
      </c>
      <c r="BB31" s="1">
        <f t="shared" si="8"/>
        <v>0.38679999999999998</v>
      </c>
      <c r="BC31" s="1">
        <f t="shared" si="9"/>
        <v>-0.94984751540299783</v>
      </c>
      <c r="BD31" s="1">
        <v>0.52229999999999999</v>
      </c>
      <c r="BE31" s="1">
        <f t="shared" si="10"/>
        <v>0.41399999999999998</v>
      </c>
      <c r="BF31" s="1">
        <f t="shared" si="11"/>
        <v>-0.88188930515682273</v>
      </c>
      <c r="BG31" s="1">
        <v>0.47210000000000002</v>
      </c>
      <c r="BH31" s="1">
        <f t="shared" si="12"/>
        <v>0.36550000000000005</v>
      </c>
      <c r="BI31" s="1">
        <f t="shared" si="13"/>
        <v>-1.0064889997923037</v>
      </c>
      <c r="BJ31" s="1">
        <v>0.57609999999999995</v>
      </c>
      <c r="BK31" s="1">
        <f t="shared" si="14"/>
        <v>0.47099999999999997</v>
      </c>
      <c r="BL31" s="1">
        <f t="shared" si="15"/>
        <v>-0.75289718496571933</v>
      </c>
      <c r="BM31" s="1">
        <v>0.64539999999999997</v>
      </c>
      <c r="BN31" s="1">
        <f t="shared" si="16"/>
        <v>0.53759999999999997</v>
      </c>
      <c r="BO31" s="1">
        <f t="shared" si="17"/>
        <v>-0.6206404897731973</v>
      </c>
      <c r="BP31" s="1"/>
      <c r="BQ31" s="1">
        <v>0.52710000000000001</v>
      </c>
      <c r="BR31" s="1">
        <v>0.59279999999999999</v>
      </c>
      <c r="BS31" s="1">
        <v>0.58309999999999995</v>
      </c>
      <c r="BT31" s="1">
        <v>0.58220000000000005</v>
      </c>
      <c r="BU31" s="1">
        <v>0.57489999999999997</v>
      </c>
      <c r="BV31" s="1">
        <v>0.58930000000000005</v>
      </c>
      <c r="BW31" s="1">
        <v>0.47839999999999999</v>
      </c>
      <c r="BX31" s="1">
        <v>0.60529999999999995</v>
      </c>
      <c r="BY31" s="1">
        <v>0.6331</v>
      </c>
      <c r="BZ31" s="1"/>
      <c r="CA31" s="1"/>
      <c r="CB31" s="1"/>
      <c r="CC31" s="1">
        <v>0.73099999999999998</v>
      </c>
      <c r="CD31" s="1">
        <v>0.63660000000000005</v>
      </c>
      <c r="CE31" s="1">
        <v>0.63590000000000002</v>
      </c>
      <c r="CF31" s="1">
        <v>0.61750000000000005</v>
      </c>
      <c r="CG31" s="1">
        <v>0.63170000000000004</v>
      </c>
      <c r="CH31" s="1">
        <v>0.6351</v>
      </c>
      <c r="CI31" s="1">
        <v>0.50790000000000002</v>
      </c>
      <c r="CJ31" s="1">
        <v>0.6472</v>
      </c>
      <c r="CK31" s="1">
        <v>0.66969999999999996</v>
      </c>
      <c r="CL31" s="1"/>
    </row>
    <row r="32" spans="1:90" x14ac:dyDescent="0.2">
      <c r="A32" s="4" t="s">
        <v>210</v>
      </c>
      <c r="B32" s="1">
        <v>24826.159</v>
      </c>
      <c r="C32" s="1">
        <v>35.5</v>
      </c>
      <c r="D32" s="1">
        <f t="shared" si="0"/>
        <v>6.8961552777777779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>
        <v>6.1827869444444445</v>
      </c>
      <c r="AN32" s="1">
        <f t="shared" si="1"/>
        <v>-0.83494118617783197</v>
      </c>
      <c r="AO32" s="1">
        <v>0.53910000000000002</v>
      </c>
      <c r="AP32" s="1">
        <f t="shared" si="2"/>
        <v>0.43390000000000001</v>
      </c>
      <c r="AQ32" s="1">
        <f t="shared" si="19"/>
        <v>0.83494118617783197</v>
      </c>
      <c r="AR32" s="1">
        <v>0.54079999999999995</v>
      </c>
      <c r="AS32" s="1">
        <f t="shared" si="18"/>
        <v>0.43519999999999992</v>
      </c>
      <c r="AT32" s="1">
        <f t="shared" si="3"/>
        <v>-0.83194958344040437</v>
      </c>
      <c r="AU32" s="1">
        <v>0.51949999999999996</v>
      </c>
      <c r="AV32" s="1">
        <f t="shared" si="4"/>
        <v>0.41419999999999996</v>
      </c>
      <c r="AW32" s="1">
        <f t="shared" si="5"/>
        <v>-0.88140633002065338</v>
      </c>
      <c r="AX32" s="1">
        <v>0.51759999999999995</v>
      </c>
      <c r="AY32" s="1">
        <f t="shared" si="6"/>
        <v>0.41259999999999997</v>
      </c>
      <c r="AZ32" s="1">
        <f t="shared" si="7"/>
        <v>-0.88527667834498569</v>
      </c>
      <c r="BA32" s="1">
        <v>0.5081</v>
      </c>
      <c r="BB32" s="1">
        <f t="shared" si="8"/>
        <v>0.3987</v>
      </c>
      <c r="BC32" s="1">
        <f t="shared" si="9"/>
        <v>-0.9195460245948277</v>
      </c>
      <c r="BD32" s="1">
        <v>0.51670000000000005</v>
      </c>
      <c r="BE32" s="1">
        <f t="shared" si="10"/>
        <v>0.40840000000000004</v>
      </c>
      <c r="BF32" s="1">
        <f t="shared" si="11"/>
        <v>-0.89550819269162651</v>
      </c>
      <c r="BG32" s="1">
        <v>0.48399999999999999</v>
      </c>
      <c r="BH32" s="1">
        <f t="shared" si="12"/>
        <v>0.37739999999999996</v>
      </c>
      <c r="BI32" s="1">
        <f t="shared" si="13"/>
        <v>-0.97444964604768736</v>
      </c>
      <c r="BJ32" s="1">
        <v>0.57340000000000002</v>
      </c>
      <c r="BK32" s="1">
        <f t="shared" si="14"/>
        <v>0.46830000000000005</v>
      </c>
      <c r="BL32" s="1">
        <f t="shared" si="15"/>
        <v>-0.75864616279264085</v>
      </c>
      <c r="BM32" s="1">
        <v>0.64180000000000004</v>
      </c>
      <c r="BN32" s="1">
        <f t="shared" si="16"/>
        <v>0.53400000000000003</v>
      </c>
      <c r="BO32" s="1">
        <f t="shared" si="17"/>
        <v>-0.62735944002194211</v>
      </c>
      <c r="BP32" s="1"/>
      <c r="BQ32" s="1">
        <v>0.54810000000000003</v>
      </c>
      <c r="BR32" s="1">
        <v>0.59589999999999999</v>
      </c>
      <c r="BS32" s="1">
        <v>0.58250000000000002</v>
      </c>
      <c r="BT32" s="1">
        <v>0.58069999999999999</v>
      </c>
      <c r="BU32" s="1">
        <v>0.57650000000000001</v>
      </c>
      <c r="BV32" s="1">
        <v>0.58630000000000004</v>
      </c>
      <c r="BW32" s="1">
        <v>0.4647</v>
      </c>
      <c r="BX32" s="1">
        <v>0.59809999999999997</v>
      </c>
      <c r="BY32" s="1">
        <v>0.61880000000000002</v>
      </c>
      <c r="BZ32" s="1"/>
      <c r="CA32" s="1"/>
      <c r="CB32" s="1"/>
      <c r="CC32" s="1">
        <v>0.64390000000000003</v>
      </c>
      <c r="CD32" s="1">
        <v>0.65029999999999999</v>
      </c>
      <c r="CE32" s="1">
        <v>0.62549999999999994</v>
      </c>
      <c r="CF32" s="1">
        <v>0.63090000000000002</v>
      </c>
      <c r="CG32" s="1">
        <v>0.62739999999999996</v>
      </c>
      <c r="CH32" s="1">
        <v>0.63700000000000001</v>
      </c>
      <c r="CI32" s="1">
        <v>0.48659999999999998</v>
      </c>
      <c r="CJ32" s="1">
        <v>0.64680000000000004</v>
      </c>
      <c r="CK32" s="1">
        <v>0.65880000000000005</v>
      </c>
      <c r="CL32" s="1"/>
    </row>
    <row r="33" spans="1:90" x14ac:dyDescent="0.2">
      <c r="A33" s="4" t="s">
        <v>211</v>
      </c>
      <c r="B33" s="1">
        <v>25682.210999999999</v>
      </c>
      <c r="C33" s="1">
        <v>39.200000000000003</v>
      </c>
      <c r="D33" s="1">
        <f t="shared" si="0"/>
        <v>7.1339474999999997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>
        <v>6.4205563888888895</v>
      </c>
      <c r="AN33" s="1">
        <f t="shared" si="1"/>
        <v>-0.85613680905440792</v>
      </c>
      <c r="AO33" s="1">
        <v>0.53</v>
      </c>
      <c r="AP33" s="1">
        <f t="shared" si="2"/>
        <v>0.42480000000000001</v>
      </c>
      <c r="AQ33" s="1">
        <f t="shared" si="19"/>
        <v>0.85613680905440792</v>
      </c>
      <c r="AR33" s="1">
        <v>0.54169999999999996</v>
      </c>
      <c r="AS33" s="1">
        <f t="shared" si="18"/>
        <v>0.43609999999999993</v>
      </c>
      <c r="AT33" s="1">
        <f t="shared" si="3"/>
        <v>-0.82988370413341639</v>
      </c>
      <c r="AU33" s="1">
        <v>0.53049999999999997</v>
      </c>
      <c r="AV33" s="1">
        <f t="shared" si="4"/>
        <v>0.42519999999999997</v>
      </c>
      <c r="AW33" s="1">
        <f t="shared" si="5"/>
        <v>-0.85519563251434427</v>
      </c>
      <c r="AX33" s="1">
        <v>0.53110000000000002</v>
      </c>
      <c r="AY33" s="1">
        <f t="shared" si="6"/>
        <v>0.42610000000000003</v>
      </c>
      <c r="AZ33" s="1">
        <f t="shared" si="7"/>
        <v>-0.85308121847627061</v>
      </c>
      <c r="BA33" s="1">
        <v>0.51419999999999999</v>
      </c>
      <c r="BB33" s="1">
        <f t="shared" si="8"/>
        <v>0.40479999999999999</v>
      </c>
      <c r="BC33" s="1">
        <f t="shared" si="9"/>
        <v>-0.90436216100888123</v>
      </c>
      <c r="BD33" s="1">
        <v>0.54090000000000005</v>
      </c>
      <c r="BE33" s="1">
        <f t="shared" si="10"/>
        <v>0.43260000000000004</v>
      </c>
      <c r="BF33" s="1">
        <f t="shared" si="11"/>
        <v>-0.83794176546317856</v>
      </c>
      <c r="BG33" s="1">
        <v>0.47560000000000002</v>
      </c>
      <c r="BH33" s="1">
        <f t="shared" si="12"/>
        <v>0.36899999999999999</v>
      </c>
      <c r="BI33" s="1">
        <f t="shared" si="13"/>
        <v>-0.99695863494160986</v>
      </c>
      <c r="BJ33" s="1">
        <v>0.58989999999999998</v>
      </c>
      <c r="BK33" s="1">
        <f t="shared" si="14"/>
        <v>0.48480000000000001</v>
      </c>
      <c r="BL33" s="1">
        <f t="shared" si="15"/>
        <v>-0.72401884422703233</v>
      </c>
      <c r="BM33" s="1">
        <v>0.64910000000000001</v>
      </c>
      <c r="BN33" s="1">
        <f t="shared" si="16"/>
        <v>0.5413</v>
      </c>
      <c r="BO33" s="1">
        <f t="shared" si="17"/>
        <v>-0.61378162517920487</v>
      </c>
      <c r="BP33" s="1"/>
      <c r="BQ33" s="1">
        <v>0.56510000000000005</v>
      </c>
      <c r="BR33" s="1">
        <v>0.59930000000000005</v>
      </c>
      <c r="BS33" s="1">
        <v>0.59130000000000005</v>
      </c>
      <c r="BT33" s="1">
        <v>0.58160000000000001</v>
      </c>
      <c r="BU33" s="1">
        <v>0.58009999999999995</v>
      </c>
      <c r="BV33" s="1">
        <v>0.59289999999999998</v>
      </c>
      <c r="BW33" s="1">
        <v>0.46389999999999998</v>
      </c>
      <c r="BX33" s="1">
        <v>0.60229999999999995</v>
      </c>
      <c r="BY33" s="1">
        <v>0.64180000000000004</v>
      </c>
      <c r="BZ33" s="1"/>
      <c r="CA33" s="1"/>
      <c r="CB33" s="1"/>
      <c r="CC33" s="1">
        <v>0.68940000000000001</v>
      </c>
      <c r="CD33" s="1">
        <v>0.63819999999999999</v>
      </c>
      <c r="CE33" s="1">
        <v>0.629</v>
      </c>
      <c r="CF33" s="1">
        <v>0.61819999999999997</v>
      </c>
      <c r="CG33" s="1">
        <v>0.63329999999999997</v>
      </c>
      <c r="CH33" s="1">
        <v>0.63049999999999995</v>
      </c>
      <c r="CI33" s="1">
        <v>0.4899</v>
      </c>
      <c r="CJ33" s="1">
        <v>0.65239999999999998</v>
      </c>
      <c r="CK33" s="1">
        <v>0.65759999999999996</v>
      </c>
      <c r="CL33" s="1"/>
    </row>
    <row r="34" spans="1:90" x14ac:dyDescent="0.2">
      <c r="A34" s="4" t="s">
        <v>212</v>
      </c>
      <c r="B34" s="1">
        <v>26538.422999999999</v>
      </c>
      <c r="C34" s="1">
        <v>35.9</v>
      </c>
      <c r="D34" s="1">
        <f t="shared" si="0"/>
        <v>7.3717841666666661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>
        <v>6.658389722222223</v>
      </c>
      <c r="AN34" s="1">
        <f t="shared" si="1"/>
        <v>-0.8587296213496235</v>
      </c>
      <c r="AO34" s="1">
        <v>0.52890000000000004</v>
      </c>
      <c r="AP34" s="1">
        <f t="shared" si="2"/>
        <v>0.42370000000000002</v>
      </c>
      <c r="AQ34" s="1">
        <f t="shared" si="19"/>
        <v>0.8587296213496235</v>
      </c>
      <c r="AR34" s="1">
        <v>0.53910000000000002</v>
      </c>
      <c r="AS34" s="1">
        <f t="shared" si="18"/>
        <v>0.4335</v>
      </c>
      <c r="AT34" s="1">
        <f t="shared" si="3"/>
        <v>-0.83586348276154054</v>
      </c>
      <c r="AU34" s="1">
        <v>0.5262</v>
      </c>
      <c r="AV34" s="1">
        <f t="shared" si="4"/>
        <v>0.4209</v>
      </c>
      <c r="AW34" s="1">
        <f t="shared" si="5"/>
        <v>-0.86536000320561213</v>
      </c>
      <c r="AX34" s="1">
        <v>0.53</v>
      </c>
      <c r="AY34" s="1">
        <f t="shared" si="6"/>
        <v>0.42500000000000004</v>
      </c>
      <c r="AZ34" s="1">
        <f t="shared" si="7"/>
        <v>-0.85566611005772009</v>
      </c>
      <c r="BA34" s="1">
        <v>0.51600000000000001</v>
      </c>
      <c r="BB34" s="1">
        <f t="shared" si="8"/>
        <v>0.40660000000000002</v>
      </c>
      <c r="BC34" s="1">
        <f t="shared" si="9"/>
        <v>-0.89992537778789072</v>
      </c>
      <c r="BD34" s="1">
        <v>0.53500000000000003</v>
      </c>
      <c r="BE34" s="1">
        <f t="shared" si="10"/>
        <v>0.42670000000000002</v>
      </c>
      <c r="BF34" s="1">
        <f t="shared" si="11"/>
        <v>-0.85167408878818274</v>
      </c>
      <c r="BG34" s="1">
        <v>0.47520000000000001</v>
      </c>
      <c r="BH34" s="1">
        <f t="shared" si="12"/>
        <v>0.36860000000000004</v>
      </c>
      <c r="BI34" s="1">
        <f t="shared" si="13"/>
        <v>-0.99804323374641402</v>
      </c>
      <c r="BJ34" s="1">
        <v>0.59330000000000005</v>
      </c>
      <c r="BK34" s="1">
        <f t="shared" si="14"/>
        <v>0.48820000000000008</v>
      </c>
      <c r="BL34" s="1">
        <f t="shared" si="15"/>
        <v>-0.71703012102327723</v>
      </c>
      <c r="BM34" s="1">
        <v>0.65739999999999998</v>
      </c>
      <c r="BN34" s="1">
        <f t="shared" si="16"/>
        <v>0.54959999999999998</v>
      </c>
      <c r="BO34" s="1">
        <f t="shared" si="17"/>
        <v>-0.59856453807399745</v>
      </c>
      <c r="BP34" s="1"/>
      <c r="BQ34" s="1">
        <v>0.57750000000000001</v>
      </c>
      <c r="BR34" s="1">
        <v>0.59540000000000004</v>
      </c>
      <c r="BS34" s="1">
        <v>0.58760000000000001</v>
      </c>
      <c r="BT34" s="1">
        <v>0.58089999999999997</v>
      </c>
      <c r="BU34" s="1">
        <v>0.58450000000000002</v>
      </c>
      <c r="BV34" s="1">
        <v>0.59599999999999997</v>
      </c>
      <c r="BW34" s="1">
        <v>0.45240000000000002</v>
      </c>
      <c r="BX34" s="1">
        <v>0.60650000000000004</v>
      </c>
      <c r="BY34" s="1">
        <v>0.63419999999999999</v>
      </c>
      <c r="BZ34" s="1"/>
      <c r="CA34" s="1"/>
      <c r="CB34" s="1"/>
      <c r="CC34" s="1">
        <v>0.72919999999999996</v>
      </c>
      <c r="CD34" s="1">
        <v>0.62109999999999999</v>
      </c>
      <c r="CE34" s="1">
        <v>0.62860000000000005</v>
      </c>
      <c r="CF34" s="1">
        <v>0.60829999999999995</v>
      </c>
      <c r="CG34" s="1">
        <v>0.629</v>
      </c>
      <c r="CH34" s="1">
        <v>0.62460000000000004</v>
      </c>
      <c r="CI34" s="1">
        <v>0.48139999999999999</v>
      </c>
      <c r="CJ34" s="1">
        <v>0.64859999999999995</v>
      </c>
      <c r="CK34" s="1">
        <v>0.65139999999999998</v>
      </c>
      <c r="CL34" s="1"/>
    </row>
    <row r="35" spans="1:90" x14ac:dyDescent="0.2">
      <c r="A35" s="4" t="s">
        <v>213</v>
      </c>
      <c r="B35" s="1">
        <v>27394.373</v>
      </c>
      <c r="C35" s="1">
        <v>36.9</v>
      </c>
      <c r="D35" s="1">
        <f t="shared" si="0"/>
        <v>7.609548055555555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>
        <v>6.8961552777777779</v>
      </c>
      <c r="AN35" s="1">
        <f t="shared" si="1"/>
        <v>-0.86227614356791693</v>
      </c>
      <c r="AO35" s="1">
        <v>0.52739999999999998</v>
      </c>
      <c r="AP35" s="1">
        <f t="shared" si="2"/>
        <v>0.42219999999999996</v>
      </c>
      <c r="AQ35" s="1">
        <f t="shared" si="19"/>
        <v>0.86227614356791693</v>
      </c>
      <c r="AR35" s="1">
        <v>0.53900000000000003</v>
      </c>
      <c r="AS35" s="1">
        <f t="shared" si="18"/>
        <v>0.43340000000000001</v>
      </c>
      <c r="AT35" s="1">
        <f t="shared" si="3"/>
        <v>-0.83609418987987838</v>
      </c>
      <c r="AU35" s="1">
        <v>0.52959999999999996</v>
      </c>
      <c r="AV35" s="1">
        <f t="shared" si="4"/>
        <v>0.42429999999999995</v>
      </c>
      <c r="AW35" s="1">
        <f t="shared" si="5"/>
        <v>-0.857314526773858</v>
      </c>
      <c r="AX35" s="1">
        <v>0.52839999999999998</v>
      </c>
      <c r="AY35" s="1">
        <f t="shared" si="6"/>
        <v>0.4234</v>
      </c>
      <c r="AZ35" s="1">
        <f t="shared" si="7"/>
        <v>-0.85943792028137223</v>
      </c>
      <c r="BA35" s="1">
        <v>0.51359999999999995</v>
      </c>
      <c r="BB35" s="1">
        <f t="shared" si="8"/>
        <v>0.40419999999999995</v>
      </c>
      <c r="BC35" s="1">
        <f t="shared" si="9"/>
        <v>-0.9058454740126165</v>
      </c>
      <c r="BD35" s="1">
        <v>0.5131</v>
      </c>
      <c r="BE35" s="1">
        <f t="shared" si="10"/>
        <v>0.40479999999999999</v>
      </c>
      <c r="BF35" s="1">
        <f t="shared" si="11"/>
        <v>-0.90436216100888123</v>
      </c>
      <c r="BG35" s="1">
        <v>0.46860000000000002</v>
      </c>
      <c r="BH35" s="1">
        <f t="shared" si="12"/>
        <v>0.36199999999999999</v>
      </c>
      <c r="BI35" s="1">
        <f t="shared" si="13"/>
        <v>-1.016111067156366</v>
      </c>
      <c r="BJ35" s="1">
        <v>0.57730000000000004</v>
      </c>
      <c r="BK35" s="1">
        <f t="shared" si="14"/>
        <v>0.47220000000000006</v>
      </c>
      <c r="BL35" s="1">
        <f t="shared" si="15"/>
        <v>-0.7503526543307244</v>
      </c>
      <c r="BM35" s="1">
        <v>0.64270000000000005</v>
      </c>
      <c r="BN35" s="1">
        <f t="shared" si="16"/>
        <v>0.53490000000000004</v>
      </c>
      <c r="BO35" s="1">
        <f t="shared" si="17"/>
        <v>-0.62567546544493258</v>
      </c>
      <c r="BP35" s="1"/>
      <c r="BQ35" s="1">
        <v>0.58919999999999995</v>
      </c>
      <c r="BR35" s="1">
        <v>0.59119999999999995</v>
      </c>
      <c r="BS35" s="1">
        <v>0.57830000000000004</v>
      </c>
      <c r="BT35" s="1">
        <v>0.57330000000000003</v>
      </c>
      <c r="BU35" s="1">
        <v>0.57499999999999996</v>
      </c>
      <c r="BV35" s="1">
        <v>0.58099999999999996</v>
      </c>
      <c r="BW35" s="1">
        <v>0.439</v>
      </c>
      <c r="BX35" s="1">
        <v>0.59109999999999996</v>
      </c>
      <c r="BY35" s="1">
        <v>0.62360000000000004</v>
      </c>
      <c r="BZ35" s="1"/>
      <c r="CA35" s="1"/>
      <c r="CB35" s="1"/>
      <c r="CC35" s="1">
        <v>0.69440000000000002</v>
      </c>
      <c r="CD35" s="1">
        <v>0.61460000000000004</v>
      </c>
      <c r="CE35" s="1">
        <v>0.61660000000000004</v>
      </c>
      <c r="CF35" s="1">
        <v>0.60509999999999997</v>
      </c>
      <c r="CG35" s="1">
        <v>0.61870000000000003</v>
      </c>
      <c r="CH35" s="1">
        <v>0.62050000000000005</v>
      </c>
      <c r="CI35" s="1">
        <v>0.47070000000000001</v>
      </c>
      <c r="CJ35" s="1">
        <v>0.6482</v>
      </c>
      <c r="CK35" s="1">
        <v>0.64659999999999995</v>
      </c>
      <c r="CL35" s="1"/>
    </row>
    <row r="36" spans="1:90" x14ac:dyDescent="0.2">
      <c r="A36" s="4" t="s">
        <v>214</v>
      </c>
      <c r="B36" s="1">
        <v>28250.538</v>
      </c>
      <c r="C36" s="1">
        <v>35.5</v>
      </c>
      <c r="D36" s="1">
        <f t="shared" si="0"/>
        <v>7.8473716666666666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>
        <v>7.1339474999999997</v>
      </c>
      <c r="AN36" s="1">
        <f t="shared" si="1"/>
        <v>-0.87394989138463031</v>
      </c>
      <c r="AO36" s="1">
        <v>0.52249999999999996</v>
      </c>
      <c r="AP36" s="1">
        <f t="shared" si="2"/>
        <v>0.41729999999999995</v>
      </c>
      <c r="AQ36" s="1">
        <f t="shared" si="19"/>
        <v>0.87394989138463031</v>
      </c>
      <c r="AR36" s="1">
        <v>0.53779999999999994</v>
      </c>
      <c r="AS36" s="1">
        <f t="shared" si="18"/>
        <v>0.43219999999999992</v>
      </c>
      <c r="AT36" s="1">
        <f t="shared" si="3"/>
        <v>-0.83886683490935166</v>
      </c>
      <c r="AU36" s="1">
        <v>0.53190000000000004</v>
      </c>
      <c r="AV36" s="1">
        <f t="shared" si="4"/>
        <v>0.42660000000000003</v>
      </c>
      <c r="AW36" s="1">
        <f t="shared" si="5"/>
        <v>-0.85190847294488681</v>
      </c>
      <c r="AX36" s="1">
        <v>0.53539999999999999</v>
      </c>
      <c r="AY36" s="1">
        <f t="shared" si="6"/>
        <v>0.4304</v>
      </c>
      <c r="AZ36" s="1">
        <f t="shared" si="7"/>
        <v>-0.8430402701345624</v>
      </c>
      <c r="BA36" s="1">
        <v>0.51539999999999997</v>
      </c>
      <c r="BB36" s="1">
        <f t="shared" si="8"/>
        <v>0.40599999999999997</v>
      </c>
      <c r="BC36" s="1">
        <f t="shared" si="9"/>
        <v>-0.90140211938040449</v>
      </c>
      <c r="BD36" s="1">
        <v>0.51639999999999997</v>
      </c>
      <c r="BE36" s="1">
        <f t="shared" si="10"/>
        <v>0.40809999999999996</v>
      </c>
      <c r="BF36" s="1">
        <f t="shared" si="11"/>
        <v>-0.89624303657037718</v>
      </c>
      <c r="BG36" s="1">
        <v>0.45950000000000002</v>
      </c>
      <c r="BH36" s="1">
        <f t="shared" si="12"/>
        <v>0.35289999999999999</v>
      </c>
      <c r="BI36" s="1">
        <f t="shared" si="13"/>
        <v>-1.0415705483009128</v>
      </c>
      <c r="BJ36" s="1">
        <v>0.58230000000000004</v>
      </c>
      <c r="BK36" s="1">
        <f t="shared" si="14"/>
        <v>0.47720000000000007</v>
      </c>
      <c r="BL36" s="1">
        <f t="shared" si="15"/>
        <v>-0.73981958875837583</v>
      </c>
      <c r="BM36" s="1">
        <v>0.63990000000000002</v>
      </c>
      <c r="BN36" s="1">
        <f t="shared" si="16"/>
        <v>0.53210000000000002</v>
      </c>
      <c r="BO36" s="1">
        <f t="shared" si="17"/>
        <v>-0.63092383737981339</v>
      </c>
      <c r="BP36" s="1"/>
      <c r="BQ36" s="1">
        <v>0.60629999999999995</v>
      </c>
      <c r="BR36" s="1">
        <v>0.59240000000000004</v>
      </c>
      <c r="BS36" s="1">
        <v>0.57999999999999996</v>
      </c>
      <c r="BT36" s="1">
        <v>0.57330000000000003</v>
      </c>
      <c r="BU36" s="1">
        <v>0.57620000000000005</v>
      </c>
      <c r="BV36" s="1">
        <v>0.58220000000000005</v>
      </c>
      <c r="BW36" s="1">
        <v>0.43240000000000001</v>
      </c>
      <c r="BX36" s="1">
        <v>0.58889999999999998</v>
      </c>
      <c r="BY36" s="1">
        <v>0.63119999999999998</v>
      </c>
      <c r="BZ36" s="1"/>
      <c r="CA36" s="1"/>
      <c r="CB36" s="1"/>
      <c r="CC36" s="1">
        <v>0.66659999999999997</v>
      </c>
      <c r="CD36" s="1">
        <v>0.621</v>
      </c>
      <c r="CE36" s="1">
        <v>0.61419999999999997</v>
      </c>
      <c r="CF36" s="1">
        <v>0.5978</v>
      </c>
      <c r="CG36" s="1">
        <v>0.61329999999999996</v>
      </c>
      <c r="CH36" s="1">
        <v>0.61280000000000001</v>
      </c>
      <c r="CI36" s="1">
        <v>0.4551</v>
      </c>
      <c r="CJ36" s="1">
        <v>0.64319999999999999</v>
      </c>
      <c r="CK36" s="1">
        <v>0.63239999999999996</v>
      </c>
      <c r="CL36" s="1"/>
    </row>
    <row r="37" spans="1:90" x14ac:dyDescent="0.2">
      <c r="A37" s="4" t="s">
        <v>215</v>
      </c>
      <c r="B37" s="1">
        <v>29106.758999999998</v>
      </c>
      <c r="C37" s="1">
        <v>36.799999999999997</v>
      </c>
      <c r="D37" s="1">
        <f t="shared" si="0"/>
        <v>8.085210833333333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>
        <v>7.3717841666666661</v>
      </c>
      <c r="AN37" s="1">
        <f t="shared" si="1"/>
        <v>-0.87562875015526542</v>
      </c>
      <c r="AO37" s="1">
        <v>0.52180000000000004</v>
      </c>
      <c r="AP37" s="1">
        <f t="shared" si="2"/>
        <v>0.41660000000000003</v>
      </c>
      <c r="AQ37" s="1">
        <f t="shared" si="19"/>
        <v>0.87562875015526542</v>
      </c>
      <c r="AR37" s="1">
        <v>0.54820000000000002</v>
      </c>
      <c r="AS37" s="1">
        <f t="shared" si="18"/>
        <v>0.44259999999999999</v>
      </c>
      <c r="AT37" s="1">
        <f t="shared" si="3"/>
        <v>-0.81508885136518783</v>
      </c>
      <c r="AU37" s="1">
        <v>0.52980000000000005</v>
      </c>
      <c r="AV37" s="1">
        <f t="shared" si="4"/>
        <v>0.42450000000000004</v>
      </c>
      <c r="AW37" s="1">
        <f t="shared" si="5"/>
        <v>-0.85684327323073495</v>
      </c>
      <c r="AX37" s="1">
        <v>0.53659999999999997</v>
      </c>
      <c r="AY37" s="1">
        <f t="shared" si="6"/>
        <v>0.43159999999999998</v>
      </c>
      <c r="AZ37" s="1">
        <f t="shared" si="7"/>
        <v>-0.84025604559815747</v>
      </c>
      <c r="BA37" s="1">
        <v>0.51619999999999999</v>
      </c>
      <c r="BB37" s="1">
        <f t="shared" si="8"/>
        <v>0.40679999999999999</v>
      </c>
      <c r="BC37" s="1">
        <f t="shared" si="9"/>
        <v>-0.89943361480773221</v>
      </c>
      <c r="BD37" s="1">
        <v>0.51329999999999998</v>
      </c>
      <c r="BE37" s="1">
        <f t="shared" si="10"/>
        <v>0.40499999999999997</v>
      </c>
      <c r="BF37" s="1">
        <f t="shared" si="11"/>
        <v>-0.90386821187559796</v>
      </c>
      <c r="BG37" s="1">
        <v>0.45860000000000001</v>
      </c>
      <c r="BH37" s="1">
        <f t="shared" si="12"/>
        <v>0.35199999999999998</v>
      </c>
      <c r="BI37" s="1">
        <f t="shared" si="13"/>
        <v>-1.04412410338404</v>
      </c>
      <c r="BJ37" s="1">
        <v>0.57950000000000002</v>
      </c>
      <c r="BK37" s="1">
        <f t="shared" si="14"/>
        <v>0.47440000000000004</v>
      </c>
      <c r="BL37" s="1">
        <f t="shared" si="15"/>
        <v>-0.7457044312986213</v>
      </c>
      <c r="BM37" s="1">
        <v>0.63160000000000005</v>
      </c>
      <c r="BN37" s="1">
        <f t="shared" si="16"/>
        <v>0.52380000000000004</v>
      </c>
      <c r="BO37" s="1">
        <f t="shared" si="17"/>
        <v>-0.64664534690852549</v>
      </c>
      <c r="BP37" s="1"/>
      <c r="BQ37" s="1">
        <v>0.59609999999999996</v>
      </c>
      <c r="BR37" s="1">
        <v>0.5776</v>
      </c>
      <c r="BS37" s="1">
        <v>0.56999999999999995</v>
      </c>
      <c r="BT37" s="1">
        <v>0.57040000000000002</v>
      </c>
      <c r="BU37" s="1">
        <v>0.57330000000000003</v>
      </c>
      <c r="BV37" s="1">
        <v>0.57909999999999995</v>
      </c>
      <c r="BW37" s="1">
        <v>0.4264</v>
      </c>
      <c r="BX37" s="1">
        <v>0.59</v>
      </c>
      <c r="BY37" s="1">
        <v>0.63549999999999995</v>
      </c>
      <c r="BZ37" s="1"/>
      <c r="CA37" s="1"/>
      <c r="CB37" s="1"/>
      <c r="CC37" s="1">
        <v>0.69299999999999995</v>
      </c>
      <c r="CD37" s="1">
        <v>0.60109999999999997</v>
      </c>
      <c r="CE37" s="1">
        <v>0.61029999999999995</v>
      </c>
      <c r="CF37" s="1">
        <v>0.58919999999999995</v>
      </c>
      <c r="CG37" s="1">
        <v>0.60940000000000005</v>
      </c>
      <c r="CH37" s="1">
        <v>0.60460000000000003</v>
      </c>
      <c r="CI37" s="1">
        <v>0.45660000000000001</v>
      </c>
      <c r="CJ37" s="1">
        <v>0.64929999999999999</v>
      </c>
      <c r="CK37" s="1">
        <v>0.63229999999999997</v>
      </c>
      <c r="CL37" s="1"/>
    </row>
    <row r="38" spans="1:90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AJ38" s="1"/>
      <c r="AK38" s="1"/>
      <c r="AL38" s="1"/>
      <c r="AM38" s="1">
        <v>7.609548055555555</v>
      </c>
      <c r="AN38" s="1">
        <f t="shared" si="1"/>
        <v>-0.8977143463012196</v>
      </c>
      <c r="AO38" s="1">
        <v>0.51270000000000004</v>
      </c>
      <c r="AP38" s="1">
        <f t="shared" si="2"/>
        <v>0.40750000000000003</v>
      </c>
      <c r="AQ38" s="1">
        <f t="shared" si="19"/>
        <v>0.8977143463012196</v>
      </c>
      <c r="AR38" s="1">
        <v>0.52869999999999995</v>
      </c>
      <c r="AS38" s="1">
        <f t="shared" si="18"/>
        <v>0.42309999999999992</v>
      </c>
      <c r="AT38" s="1">
        <f t="shared" si="3"/>
        <v>-0.86014672125611547</v>
      </c>
      <c r="AU38" s="1">
        <v>0.51739999999999997</v>
      </c>
      <c r="AV38" s="1">
        <f t="shared" si="4"/>
        <v>0.41209999999999997</v>
      </c>
      <c r="AW38" s="1">
        <f t="shared" si="5"/>
        <v>-0.88648924063736545</v>
      </c>
      <c r="AX38" s="1">
        <v>0.5272</v>
      </c>
      <c r="AY38" s="1">
        <f t="shared" si="6"/>
        <v>0.42220000000000002</v>
      </c>
      <c r="AZ38" s="1">
        <f t="shared" si="7"/>
        <v>-0.86227614356791682</v>
      </c>
      <c r="BA38" s="1">
        <v>0.51470000000000005</v>
      </c>
      <c r="BB38" s="1">
        <f t="shared" si="8"/>
        <v>0.40530000000000005</v>
      </c>
      <c r="BC38" s="1">
        <f t="shared" si="9"/>
        <v>-0.9031277453478741</v>
      </c>
      <c r="BD38" s="1">
        <v>0.51500000000000001</v>
      </c>
      <c r="BE38" s="1">
        <f t="shared" si="10"/>
        <v>0.40670000000000001</v>
      </c>
      <c r="BF38" s="1">
        <f t="shared" si="11"/>
        <v>-0.89967946606895821</v>
      </c>
      <c r="BG38" s="1">
        <v>0.45079999999999998</v>
      </c>
      <c r="BH38" s="1">
        <f t="shared" si="12"/>
        <v>0.34419999999999995</v>
      </c>
      <c r="BI38" s="1">
        <f t="shared" si="13"/>
        <v>-1.0665323952046981</v>
      </c>
      <c r="BJ38" s="1">
        <v>0.57550000000000001</v>
      </c>
      <c r="BK38" s="1">
        <f t="shared" si="14"/>
        <v>0.47040000000000004</v>
      </c>
      <c r="BL38" s="1">
        <f t="shared" si="15"/>
        <v>-0.75417188239771982</v>
      </c>
      <c r="BM38" s="1">
        <v>0.62980000000000003</v>
      </c>
      <c r="BN38" s="1">
        <f t="shared" si="16"/>
        <v>0.52200000000000002</v>
      </c>
      <c r="BO38" s="1">
        <f t="shared" si="17"/>
        <v>-0.65008769109949827</v>
      </c>
      <c r="BP38" s="1"/>
      <c r="BQ38" s="1">
        <v>0.60589999999999999</v>
      </c>
      <c r="BR38" s="1">
        <v>0.5827</v>
      </c>
      <c r="BS38" s="1">
        <v>0.57089999999999996</v>
      </c>
      <c r="BT38" s="1">
        <v>0.56689999999999996</v>
      </c>
      <c r="BU38" s="1">
        <v>0.56789999999999996</v>
      </c>
      <c r="BV38" s="1">
        <v>0.57640000000000002</v>
      </c>
      <c r="BW38" s="1">
        <v>0.41660000000000003</v>
      </c>
      <c r="BX38" s="1">
        <v>0.58479999999999999</v>
      </c>
      <c r="BY38" s="1">
        <v>0.65259999999999996</v>
      </c>
      <c r="BZ38" s="1"/>
      <c r="CA38" s="1"/>
      <c r="CB38" s="1"/>
      <c r="CC38" s="1">
        <v>0.67159999999999997</v>
      </c>
      <c r="CD38" s="1">
        <v>0.61009999999999998</v>
      </c>
      <c r="CE38" s="1">
        <v>0.60009999999999997</v>
      </c>
      <c r="CF38" s="1">
        <v>0.5857</v>
      </c>
      <c r="CG38" s="1">
        <v>0.59850000000000003</v>
      </c>
      <c r="CH38" s="1">
        <v>0.61150000000000004</v>
      </c>
      <c r="CI38" s="1">
        <v>0.4395</v>
      </c>
      <c r="CJ38" s="1">
        <v>0.64980000000000004</v>
      </c>
      <c r="CK38" s="1">
        <v>0.6341</v>
      </c>
      <c r="CL38" s="1"/>
    </row>
    <row r="39" spans="1:90" x14ac:dyDescent="0.2">
      <c r="A39" s="1" t="s">
        <v>31</v>
      </c>
      <c r="B39" s="1"/>
      <c r="C39" s="1"/>
      <c r="D39" s="1"/>
      <c r="E39" s="1"/>
      <c r="F39" s="1"/>
      <c r="G39" s="1"/>
      <c r="H39" s="1"/>
      <c r="I39" s="1"/>
      <c r="J39" s="1"/>
      <c r="K39" s="1"/>
      <c r="AJ39" s="1"/>
      <c r="AK39" s="1"/>
      <c r="AL39" s="1"/>
      <c r="AM39" s="1">
        <v>7.8473716666666666</v>
      </c>
      <c r="AN39" s="1">
        <f t="shared" si="1"/>
        <v>-0.88044107898045776</v>
      </c>
      <c r="AO39" s="1">
        <v>0.51980000000000004</v>
      </c>
      <c r="AP39" s="1">
        <f t="shared" si="2"/>
        <v>0.41460000000000002</v>
      </c>
      <c r="AQ39" s="1">
        <f t="shared" si="19"/>
        <v>0.88044107898045776</v>
      </c>
      <c r="AR39" s="1">
        <v>0.54979999999999996</v>
      </c>
      <c r="AS39" s="1">
        <f t="shared" si="18"/>
        <v>0.44419999999999993</v>
      </c>
      <c r="AT39" s="1">
        <f t="shared" si="3"/>
        <v>-0.81148036752181019</v>
      </c>
      <c r="AU39" s="1">
        <v>0.54339999999999999</v>
      </c>
      <c r="AV39" s="1">
        <f t="shared" si="4"/>
        <v>0.43809999999999999</v>
      </c>
      <c r="AW39" s="1">
        <f t="shared" si="5"/>
        <v>-0.82530808416228429</v>
      </c>
      <c r="AX39" s="1">
        <v>0.53390000000000004</v>
      </c>
      <c r="AY39" s="1">
        <f t="shared" si="6"/>
        <v>0.42890000000000006</v>
      </c>
      <c r="AZ39" s="1">
        <f t="shared" si="7"/>
        <v>-0.84653148745930218</v>
      </c>
      <c r="BA39" s="1">
        <v>0.51280000000000003</v>
      </c>
      <c r="BB39" s="1">
        <f t="shared" si="8"/>
        <v>0.40340000000000004</v>
      </c>
      <c r="BC39" s="1">
        <f t="shared" si="9"/>
        <v>-0.90782665346202551</v>
      </c>
      <c r="BD39" s="1">
        <v>0.50600000000000001</v>
      </c>
      <c r="BE39" s="1">
        <f t="shared" si="10"/>
        <v>0.3977</v>
      </c>
      <c r="BF39" s="1">
        <f t="shared" si="11"/>
        <v>-0.92205732676849217</v>
      </c>
      <c r="BG39" s="1">
        <v>0.44359999999999999</v>
      </c>
      <c r="BH39" s="1">
        <f t="shared" si="12"/>
        <v>0.33699999999999997</v>
      </c>
      <c r="BI39" s="1">
        <f t="shared" si="13"/>
        <v>-1.0876723486297755</v>
      </c>
      <c r="BJ39" s="1">
        <v>0.57040000000000002</v>
      </c>
      <c r="BK39" s="1">
        <f t="shared" si="14"/>
        <v>0.46530000000000005</v>
      </c>
      <c r="BL39" s="1">
        <f t="shared" si="15"/>
        <v>-0.76507292013153416</v>
      </c>
      <c r="BM39" s="1">
        <v>0.61899999999999999</v>
      </c>
      <c r="BN39" s="1">
        <f t="shared" si="16"/>
        <v>0.51119999999999999</v>
      </c>
      <c r="BO39" s="1">
        <f t="shared" si="17"/>
        <v>-0.67099437591881206</v>
      </c>
      <c r="BP39" s="1"/>
      <c r="BQ39" s="1">
        <v>0.60940000000000005</v>
      </c>
      <c r="BR39" s="1">
        <v>0.58130000000000004</v>
      </c>
      <c r="BS39" s="1">
        <v>0.56679999999999997</v>
      </c>
      <c r="BT39" s="1">
        <v>0.56189999999999996</v>
      </c>
      <c r="BU39" s="1">
        <v>0.56369999999999998</v>
      </c>
      <c r="BV39" s="1">
        <v>0.56899999999999995</v>
      </c>
      <c r="BW39" s="1">
        <v>0.40810000000000002</v>
      </c>
      <c r="BX39" s="1">
        <v>0.57889999999999997</v>
      </c>
      <c r="BY39" s="1">
        <v>0.62509999999999999</v>
      </c>
      <c r="BZ39" s="1"/>
      <c r="CA39" s="1"/>
      <c r="CB39" s="1"/>
      <c r="CC39" s="1">
        <v>0.66720000000000002</v>
      </c>
      <c r="CD39" s="1">
        <v>0.60680000000000001</v>
      </c>
      <c r="CE39" s="1">
        <v>0.5978</v>
      </c>
      <c r="CF39" s="1">
        <v>0.58289999999999997</v>
      </c>
      <c r="CG39" s="1">
        <v>0.59909999999999997</v>
      </c>
      <c r="CH39" s="1">
        <v>0.60350000000000004</v>
      </c>
      <c r="CI39" s="1">
        <v>0.44040000000000001</v>
      </c>
      <c r="CJ39" s="1">
        <v>0.65069999999999995</v>
      </c>
      <c r="CK39" s="1">
        <v>0.62380000000000002</v>
      </c>
      <c r="CL39" s="1"/>
    </row>
    <row r="40" spans="1:90" x14ac:dyDescent="0.2">
      <c r="AJ40" s="1"/>
      <c r="AK40" s="1"/>
      <c r="AL40" s="1"/>
      <c r="AM40" s="1">
        <v>8.085210833333333</v>
      </c>
      <c r="AN40" s="1">
        <f t="shared" si="1"/>
        <v>-0.91729123220773856</v>
      </c>
      <c r="AO40" s="1">
        <v>0.50480000000000003</v>
      </c>
      <c r="AP40" s="1">
        <f t="shared" si="2"/>
        <v>0.39960000000000001</v>
      </c>
      <c r="AQ40" s="1">
        <f t="shared" si="19"/>
        <v>0.91729123220773856</v>
      </c>
      <c r="AR40" s="1">
        <v>0.53710000000000002</v>
      </c>
      <c r="AS40" s="1">
        <f t="shared" si="18"/>
        <v>0.43149999999999999</v>
      </c>
      <c r="AT40" s="1">
        <f t="shared" si="3"/>
        <v>-0.84048776845865447</v>
      </c>
      <c r="AU40" s="1">
        <v>0.51559999999999995</v>
      </c>
      <c r="AV40" s="1">
        <f t="shared" si="4"/>
        <v>0.41029999999999994</v>
      </c>
      <c r="AW40" s="1">
        <f t="shared" si="5"/>
        <v>-0.89086667953399679</v>
      </c>
      <c r="AX40" s="1">
        <v>0.52590000000000003</v>
      </c>
      <c r="AY40" s="1">
        <f t="shared" si="6"/>
        <v>0.42090000000000005</v>
      </c>
      <c r="AZ40" s="1">
        <f t="shared" si="7"/>
        <v>-0.86536000320561202</v>
      </c>
      <c r="BA40" s="1">
        <v>0.50680000000000003</v>
      </c>
      <c r="BB40" s="1">
        <f t="shared" si="8"/>
        <v>0.39740000000000003</v>
      </c>
      <c r="BC40" s="1">
        <f t="shared" si="9"/>
        <v>-0.92281194886442053</v>
      </c>
      <c r="BD40" s="1">
        <v>0.50949999999999995</v>
      </c>
      <c r="BE40" s="1">
        <f t="shared" si="10"/>
        <v>0.40119999999999995</v>
      </c>
      <c r="BF40" s="1">
        <f t="shared" si="11"/>
        <v>-0.91329522289435672</v>
      </c>
      <c r="BG40" s="1">
        <v>0.43969999999999998</v>
      </c>
      <c r="BH40" s="1">
        <f t="shared" si="12"/>
        <v>0.33309999999999995</v>
      </c>
      <c r="BI40" s="1">
        <f t="shared" si="13"/>
        <v>-1.0993125337825032</v>
      </c>
      <c r="BJ40" s="1">
        <v>0.58289999999999997</v>
      </c>
      <c r="BK40" s="1">
        <f t="shared" si="14"/>
        <v>0.4778</v>
      </c>
      <c r="BL40" s="1">
        <f t="shared" si="15"/>
        <v>-0.73856304409042783</v>
      </c>
      <c r="BM40" s="1">
        <v>0.621</v>
      </c>
      <c r="BN40" s="1">
        <f t="shared" si="16"/>
        <v>0.51319999999999999</v>
      </c>
      <c r="BO40" s="1">
        <f t="shared" si="17"/>
        <v>-0.6670896462406557</v>
      </c>
      <c r="BP40" s="1"/>
      <c r="BQ40" s="1">
        <v>0.59560000000000002</v>
      </c>
      <c r="BR40" s="1">
        <v>0.57020000000000004</v>
      </c>
      <c r="BS40" s="1">
        <v>0.56120000000000003</v>
      </c>
      <c r="BT40" s="1">
        <v>0.55710000000000004</v>
      </c>
      <c r="BU40" s="1">
        <v>0.55989999999999995</v>
      </c>
      <c r="BV40" s="1">
        <v>0.56810000000000005</v>
      </c>
      <c r="BW40" s="1">
        <v>0.40550000000000003</v>
      </c>
      <c r="BX40" s="1">
        <v>0.59330000000000005</v>
      </c>
      <c r="BY40" s="1">
        <v>0.65559999999999996</v>
      </c>
      <c r="BZ40" s="1"/>
      <c r="CA40" s="1"/>
      <c r="CB40" s="1"/>
      <c r="CC40" s="1">
        <v>0.58960000000000001</v>
      </c>
      <c r="CD40" s="1">
        <v>0.59970000000000001</v>
      </c>
      <c r="CE40" s="1">
        <v>0.58550000000000002</v>
      </c>
      <c r="CF40" s="1">
        <v>0.58109999999999995</v>
      </c>
      <c r="CG40" s="1">
        <v>0.59619999999999995</v>
      </c>
      <c r="CH40" s="1">
        <v>0.6008</v>
      </c>
      <c r="CI40" s="1">
        <v>0.44309999999999999</v>
      </c>
      <c r="CJ40" s="1">
        <v>0.67069999999999996</v>
      </c>
      <c r="CK40" s="1">
        <v>0.625</v>
      </c>
      <c r="CL40" s="1"/>
    </row>
    <row r="41" spans="1:90" x14ac:dyDescent="0.2">
      <c r="AN41" s="1"/>
      <c r="AZ41" s="1" t="e">
        <f t="shared" si="7"/>
        <v>#NUM!</v>
      </c>
      <c r="BL41" s="1" t="e">
        <f t="shared" si="15"/>
        <v>#NUM!</v>
      </c>
    </row>
    <row r="42" spans="1:90" x14ac:dyDescent="0.2">
      <c r="BL42" s="1" t="e">
        <f t="shared" si="15"/>
        <v>#NUM!</v>
      </c>
    </row>
    <row r="78" spans="40:42" x14ac:dyDescent="0.2">
      <c r="AO78" s="6" t="s">
        <v>222</v>
      </c>
      <c r="AP78" s="6" t="s">
        <v>233</v>
      </c>
    </row>
    <row r="79" spans="40:42" x14ac:dyDescent="0.2">
      <c r="AN79" s="6" t="s">
        <v>221</v>
      </c>
      <c r="AO79">
        <v>0.44669999999999999</v>
      </c>
      <c r="AP79">
        <f>LN(2)/AO79</f>
        <v>1.5517062470560674</v>
      </c>
    </row>
    <row r="80" spans="40:42" x14ac:dyDescent="0.2">
      <c r="AN80" s="6" t="s">
        <v>223</v>
      </c>
      <c r="AO80">
        <v>0.59</v>
      </c>
      <c r="AP80">
        <f>LN(2)/AO80</f>
        <v>1.1748257297626192</v>
      </c>
    </row>
    <row r="81" spans="40:42" x14ac:dyDescent="0.2">
      <c r="AN81" s="6" t="s">
        <v>224</v>
      </c>
      <c r="AO81">
        <v>0.1822</v>
      </c>
      <c r="AP81">
        <f>LN(2)/AO81</f>
        <v>3.8043204201972847</v>
      </c>
    </row>
    <row r="82" spans="40:42" x14ac:dyDescent="0.2">
      <c r="AN82" s="6" t="s">
        <v>225</v>
      </c>
      <c r="AO82">
        <v>1.06</v>
      </c>
      <c r="AP82">
        <f>LN(2)/AO82</f>
        <v>0.65391243449051439</v>
      </c>
    </row>
    <row r="83" spans="40:42" x14ac:dyDescent="0.2">
      <c r="AN83" s="6" t="s">
        <v>226</v>
      </c>
      <c r="AO83">
        <v>1.1399999999999999</v>
      </c>
      <c r="AP83">
        <f>LN(2)/AO83</f>
        <v>0.60802384259644326</v>
      </c>
    </row>
    <row r="84" spans="40:42" x14ac:dyDescent="0.2">
      <c r="AN84" s="6" t="s">
        <v>227</v>
      </c>
      <c r="AP84">
        <f t="shared" ref="AP84:AP91" si="20">LN(2)</f>
        <v>0.69314718055994529</v>
      </c>
    </row>
    <row r="85" spans="40:42" x14ac:dyDescent="0.2">
      <c r="AN85" s="6" t="s">
        <v>228</v>
      </c>
      <c r="AP85">
        <f t="shared" si="20"/>
        <v>0.69314718055994529</v>
      </c>
    </row>
    <row r="86" spans="40:42" x14ac:dyDescent="0.2">
      <c r="AN86" s="6" t="s">
        <v>229</v>
      </c>
      <c r="AP86">
        <f t="shared" si="20"/>
        <v>0.69314718055994529</v>
      </c>
    </row>
    <row r="87" spans="40:42" x14ac:dyDescent="0.2">
      <c r="AN87" s="6" t="s">
        <v>230</v>
      </c>
      <c r="AP87">
        <f t="shared" si="20"/>
        <v>0.69314718055994529</v>
      </c>
    </row>
    <row r="88" spans="40:42" x14ac:dyDescent="0.2">
      <c r="AN88" s="6" t="s">
        <v>231</v>
      </c>
      <c r="AP88">
        <f t="shared" si="20"/>
        <v>0.69314718055994529</v>
      </c>
    </row>
    <row r="89" spans="40:42" x14ac:dyDescent="0.2">
      <c r="AN89" s="6" t="s">
        <v>232</v>
      </c>
      <c r="AP89">
        <f t="shared" si="20"/>
        <v>0.69314718055994529</v>
      </c>
    </row>
    <row r="90" spans="40:42" x14ac:dyDescent="0.2">
      <c r="AP90">
        <f t="shared" si="20"/>
        <v>0.69314718055994529</v>
      </c>
    </row>
    <row r="91" spans="40:42" x14ac:dyDescent="0.2">
      <c r="AP91">
        <f t="shared" si="20"/>
        <v>0.69314718055994529</v>
      </c>
    </row>
  </sheetData>
  <phoneticPr fontId="6" type="noConversion"/>
  <conditionalFormatting sqref="AO6:BD6 AO7:AY40 AZ7:AZ41 BA7:BD40">
    <cfRule type="colorScale" priority="10">
      <colorScale>
        <cfvo type="min"/>
        <cfvo type="max"/>
        <color rgb="FFFF7128"/>
        <color rgb="FFFFEF9C"/>
      </colorScale>
    </cfRule>
  </conditionalFormatting>
  <conditionalFormatting sqref="AP3">
    <cfRule type="colorScale" priority="9">
      <colorScale>
        <cfvo type="min"/>
        <cfvo type="max"/>
        <color rgb="FFFF7128"/>
        <color rgb="FFFFEF9C"/>
      </colorScale>
    </cfRule>
  </conditionalFormatting>
  <conditionalFormatting sqref="AS3">
    <cfRule type="colorScale" priority="8">
      <colorScale>
        <cfvo type="min"/>
        <cfvo type="max"/>
        <color rgb="FFFF7128"/>
        <color rgb="FFFFEF9C"/>
      </colorScale>
    </cfRule>
  </conditionalFormatting>
  <conditionalFormatting sqref="AV3">
    <cfRule type="colorScale" priority="7">
      <colorScale>
        <cfvo type="min"/>
        <cfvo type="max"/>
        <color rgb="FFFF7128"/>
        <color rgb="FFFFEF9C"/>
      </colorScale>
    </cfRule>
  </conditionalFormatting>
  <conditionalFormatting sqref="AY3">
    <cfRule type="colorScale" priority="6">
      <colorScale>
        <cfvo type="min"/>
        <cfvo type="max"/>
        <color rgb="FFFF7128"/>
        <color rgb="FFFFEF9C"/>
      </colorScale>
    </cfRule>
  </conditionalFormatting>
  <conditionalFormatting sqref="BB3">
    <cfRule type="colorScale" priority="5">
      <colorScale>
        <cfvo type="min"/>
        <cfvo type="max"/>
        <color rgb="FFFF7128"/>
        <color rgb="FFFFEF9C"/>
      </colorScale>
    </cfRule>
  </conditionalFormatting>
  <conditionalFormatting sqref="BE3">
    <cfRule type="colorScale" priority="4">
      <colorScale>
        <cfvo type="min"/>
        <cfvo type="max"/>
        <color rgb="FFFF7128"/>
        <color rgb="FFFFEF9C"/>
      </colorScale>
    </cfRule>
  </conditionalFormatting>
  <conditionalFormatting sqref="BG2:CL6 BG7:BK40 BM7:CL40 BL7:BL42">
    <cfRule type="expression" dxfId="14" priority="1">
      <formula>A2=MIN(INDEX($A$2:$Z$100,0,COLUMN(A2)-COLUMN($A$2)+1))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801C6-2ECE-AB4B-B580-358DE1C76BCD}">
  <dimension ref="A1:BX118"/>
  <sheetViews>
    <sheetView topLeftCell="A69" zoomScale="150" workbookViewId="0">
      <selection activeCell="B58" sqref="B58"/>
    </sheetView>
  </sheetViews>
  <sheetFormatPr baseColWidth="10" defaultRowHeight="15" x14ac:dyDescent="0.2"/>
  <cols>
    <col min="1" max="1" width="18.1640625" customWidth="1"/>
    <col min="3" max="3" width="10.83203125" style="8"/>
    <col min="6" max="6" width="10.83203125" style="8"/>
    <col min="9" max="9" width="10.83203125" style="8"/>
    <col min="12" max="12" width="10.83203125" style="8"/>
    <col min="15" max="15" width="10.83203125" style="8"/>
    <col min="18" max="18" width="10.83203125" style="8"/>
    <col min="21" max="21" width="10.83203125" style="8"/>
    <col min="24" max="24" width="10.83203125" style="8"/>
    <col min="27" max="27" width="10.83203125" style="8"/>
    <col min="30" max="30" width="10.83203125" style="8"/>
    <col min="33" max="33" width="10.83203125" style="8"/>
    <col min="36" max="36" width="10.83203125" style="8"/>
    <col min="39" max="39" width="10.83203125" style="8"/>
    <col min="42" max="42" width="10.83203125" style="8"/>
    <col min="45" max="45" width="10.83203125" style="8"/>
    <col min="48" max="48" width="10.83203125" style="8"/>
    <col min="51" max="51" width="10.83203125" style="8"/>
    <col min="54" max="54" width="10.83203125" style="8"/>
    <col min="57" max="57" width="10.83203125" style="8"/>
    <col min="60" max="60" width="10.83203125" style="8"/>
    <col min="63" max="63" width="10.83203125" style="8"/>
    <col min="66" max="66" width="10.83203125" style="8"/>
    <col min="69" max="69" width="10.83203125" style="8"/>
    <col min="72" max="72" width="10.83203125" style="8"/>
  </cols>
  <sheetData>
    <row r="1" spans="1:76" ht="16" thickBot="1" x14ac:dyDescent="0.25">
      <c r="C1" s="117" t="s">
        <v>221</v>
      </c>
      <c r="D1" s="124"/>
      <c r="E1" s="125"/>
      <c r="F1" s="117" t="s">
        <v>235</v>
      </c>
      <c r="G1" s="124"/>
      <c r="H1" s="125"/>
      <c r="I1" s="117" t="s">
        <v>236</v>
      </c>
      <c r="J1" s="124"/>
      <c r="K1" s="125"/>
      <c r="L1" s="120" t="s">
        <v>223</v>
      </c>
      <c r="M1" s="135"/>
      <c r="N1" s="136"/>
      <c r="O1" s="120" t="s">
        <v>281</v>
      </c>
      <c r="P1" s="135"/>
      <c r="Q1" s="136"/>
      <c r="R1" s="120" t="s">
        <v>282</v>
      </c>
      <c r="S1" s="135"/>
      <c r="T1" s="136"/>
      <c r="U1" s="129" t="s">
        <v>224</v>
      </c>
      <c r="V1" s="137"/>
      <c r="W1" s="138"/>
      <c r="X1" s="129" t="s">
        <v>283</v>
      </c>
      <c r="Y1" s="130"/>
      <c r="Z1" s="131"/>
      <c r="AA1" s="129" t="s">
        <v>284</v>
      </c>
      <c r="AB1" s="130"/>
      <c r="AC1" s="131"/>
      <c r="AD1" s="132" t="s">
        <v>225</v>
      </c>
      <c r="AE1" s="139"/>
      <c r="AF1" s="140"/>
      <c r="AG1" s="132" t="s">
        <v>285</v>
      </c>
      <c r="AH1" s="133"/>
      <c r="AI1" s="134"/>
      <c r="AJ1" s="132" t="s">
        <v>286</v>
      </c>
      <c r="AK1" s="133"/>
      <c r="AL1" s="134"/>
      <c r="AM1" s="141" t="s">
        <v>226</v>
      </c>
      <c r="AN1" s="142"/>
      <c r="AO1" s="143"/>
      <c r="AP1" s="141" t="s">
        <v>253</v>
      </c>
      <c r="AQ1" s="144"/>
      <c r="AR1" s="145"/>
      <c r="AS1" s="141" t="s">
        <v>254</v>
      </c>
      <c r="AT1" s="144"/>
      <c r="AU1" s="145"/>
      <c r="AV1" s="120" t="s">
        <v>227</v>
      </c>
      <c r="AW1" s="135"/>
      <c r="AX1" s="136"/>
      <c r="AY1" s="120" t="s">
        <v>275</v>
      </c>
      <c r="AZ1" s="121"/>
      <c r="BA1" s="121"/>
      <c r="BB1" s="121" t="s">
        <v>287</v>
      </c>
      <c r="BC1" s="121"/>
      <c r="BD1" s="122"/>
      <c r="BE1" s="117" t="s">
        <v>238</v>
      </c>
      <c r="BF1" s="124"/>
      <c r="BG1" s="125"/>
      <c r="BH1" s="117" t="s">
        <v>288</v>
      </c>
      <c r="BI1" s="118"/>
      <c r="BJ1" s="119"/>
      <c r="BK1" s="117" t="s">
        <v>289</v>
      </c>
      <c r="BL1" s="118"/>
      <c r="BM1" s="119"/>
      <c r="BN1" s="126" t="s">
        <v>260</v>
      </c>
      <c r="BO1" s="127"/>
      <c r="BP1" s="128"/>
      <c r="BQ1" s="123" t="s">
        <v>290</v>
      </c>
      <c r="BR1" s="116"/>
      <c r="BS1" s="116"/>
      <c r="BT1" s="116" t="s">
        <v>291</v>
      </c>
      <c r="BU1" s="116"/>
      <c r="BV1" s="116"/>
    </row>
    <row r="2" spans="1:76" x14ac:dyDescent="0.2">
      <c r="C2" s="21"/>
      <c r="D2" s="22">
        <v>0.1052</v>
      </c>
      <c r="E2" s="22"/>
      <c r="F2" s="21"/>
      <c r="G2" s="23">
        <v>0.1008</v>
      </c>
      <c r="H2" s="22"/>
      <c r="I2" s="21"/>
      <c r="J2" s="21">
        <v>0.1072</v>
      </c>
      <c r="K2" s="22"/>
      <c r="L2" s="27"/>
      <c r="M2" s="28">
        <v>0.1056</v>
      </c>
      <c r="N2" s="28"/>
      <c r="O2" s="27"/>
      <c r="P2" s="29">
        <v>0.1048</v>
      </c>
      <c r="Q2" s="28"/>
      <c r="R2" s="27"/>
      <c r="S2" s="27">
        <v>0.106</v>
      </c>
      <c r="T2" s="28"/>
      <c r="U2" s="33"/>
      <c r="V2" s="34">
        <v>0.1053</v>
      </c>
      <c r="W2" s="34"/>
      <c r="X2" s="33"/>
      <c r="Y2" s="35">
        <v>0.1046</v>
      </c>
      <c r="Z2" s="34"/>
      <c r="AA2" s="33"/>
      <c r="AB2" s="33">
        <v>0.10539999999999999</v>
      </c>
      <c r="AC2" s="34"/>
      <c r="AD2" s="38"/>
      <c r="AE2" s="39">
        <v>0.105</v>
      </c>
      <c r="AF2" s="39"/>
      <c r="AG2" s="38"/>
      <c r="AH2" s="40">
        <v>0.1055</v>
      </c>
      <c r="AI2" s="39"/>
      <c r="AJ2" s="38"/>
      <c r="AK2" s="38">
        <v>0.10589999999999999</v>
      </c>
      <c r="AL2" s="39"/>
      <c r="AM2" s="42"/>
      <c r="AN2" s="43">
        <v>0.1094</v>
      </c>
      <c r="AO2" s="43"/>
      <c r="AP2" s="42"/>
      <c r="AQ2" s="44">
        <v>0.1061</v>
      </c>
      <c r="AR2" s="43"/>
      <c r="AS2" s="42"/>
      <c r="AT2" s="42">
        <v>0.1087</v>
      </c>
      <c r="AU2" s="43"/>
      <c r="AV2" s="27"/>
      <c r="AW2" s="28">
        <v>0.10829999999999999</v>
      </c>
      <c r="AX2" s="28"/>
      <c r="AY2" s="27"/>
      <c r="AZ2" s="29">
        <v>0.1071</v>
      </c>
      <c r="BA2" s="28"/>
      <c r="BB2" s="27"/>
      <c r="BC2" s="27">
        <v>0.12230000000000001</v>
      </c>
      <c r="BD2" s="28"/>
      <c r="BE2" s="21"/>
      <c r="BF2" s="22">
        <v>0.1051</v>
      </c>
      <c r="BG2" s="22"/>
      <c r="BH2" s="21" t="s">
        <v>238</v>
      </c>
      <c r="BI2" s="23">
        <v>0.1052</v>
      </c>
      <c r="BJ2" s="22"/>
      <c r="BK2" s="21"/>
      <c r="BL2" s="21">
        <v>0.10580000000000001</v>
      </c>
      <c r="BM2" s="22"/>
      <c r="BN2" s="46"/>
      <c r="BO2" s="47">
        <v>0.10780000000000001</v>
      </c>
      <c r="BP2" s="47"/>
      <c r="BQ2" s="46"/>
      <c r="BR2" s="48">
        <v>0.10580000000000001</v>
      </c>
      <c r="BS2" s="47"/>
      <c r="BT2" s="46"/>
      <c r="BU2" s="47"/>
      <c r="BV2" s="47"/>
    </row>
    <row r="3" spans="1:76" x14ac:dyDescent="0.2">
      <c r="A3" s="6" t="s">
        <v>234</v>
      </c>
      <c r="C3" s="21"/>
      <c r="D3" s="22" t="s">
        <v>219</v>
      </c>
      <c r="E3" s="22" t="s">
        <v>220</v>
      </c>
      <c r="F3" s="21"/>
      <c r="G3" s="22" t="s">
        <v>219</v>
      </c>
      <c r="H3" s="22" t="s">
        <v>220</v>
      </c>
      <c r="I3" s="21"/>
      <c r="J3" s="22" t="s">
        <v>219</v>
      </c>
      <c r="K3" s="22" t="s">
        <v>220</v>
      </c>
      <c r="L3" s="27"/>
      <c r="M3" s="28" t="s">
        <v>219</v>
      </c>
      <c r="N3" s="28" t="s">
        <v>220</v>
      </c>
      <c r="O3" s="27"/>
      <c r="P3" s="28" t="s">
        <v>219</v>
      </c>
      <c r="Q3" s="28" t="s">
        <v>220</v>
      </c>
      <c r="R3" s="27"/>
      <c r="S3" s="28" t="s">
        <v>219</v>
      </c>
      <c r="T3" s="28" t="s">
        <v>220</v>
      </c>
      <c r="U3" s="33"/>
      <c r="V3" s="34" t="s">
        <v>219</v>
      </c>
      <c r="W3" s="34" t="s">
        <v>220</v>
      </c>
      <c r="X3" s="33"/>
      <c r="Y3" s="34" t="s">
        <v>219</v>
      </c>
      <c r="Z3" s="34" t="s">
        <v>220</v>
      </c>
      <c r="AA3" s="33"/>
      <c r="AB3" s="34" t="s">
        <v>219</v>
      </c>
      <c r="AC3" s="34" t="s">
        <v>220</v>
      </c>
      <c r="AD3" s="38"/>
      <c r="AE3" s="39" t="s">
        <v>219</v>
      </c>
      <c r="AF3" s="39" t="s">
        <v>220</v>
      </c>
      <c r="AG3" s="38"/>
      <c r="AH3" s="39" t="s">
        <v>219</v>
      </c>
      <c r="AI3" s="39" t="s">
        <v>220</v>
      </c>
      <c r="AJ3" s="38"/>
      <c r="AK3" s="39" t="s">
        <v>219</v>
      </c>
      <c r="AL3" s="39" t="s">
        <v>220</v>
      </c>
      <c r="AM3" s="42"/>
      <c r="AN3" s="43" t="s">
        <v>219</v>
      </c>
      <c r="AO3" s="43" t="s">
        <v>220</v>
      </c>
      <c r="AP3" s="42"/>
      <c r="AQ3" s="43" t="s">
        <v>219</v>
      </c>
      <c r="AR3" s="43" t="s">
        <v>220</v>
      </c>
      <c r="AS3" s="42"/>
      <c r="AT3" s="43" t="s">
        <v>219</v>
      </c>
      <c r="AU3" s="43" t="s">
        <v>220</v>
      </c>
      <c r="AV3" s="27"/>
      <c r="AW3" s="28" t="s">
        <v>219</v>
      </c>
      <c r="AX3" s="28" t="s">
        <v>220</v>
      </c>
      <c r="AY3" s="27"/>
      <c r="AZ3" s="28" t="s">
        <v>219</v>
      </c>
      <c r="BA3" s="28" t="s">
        <v>220</v>
      </c>
      <c r="BB3" s="27"/>
      <c r="BC3" s="28" t="s">
        <v>219</v>
      </c>
      <c r="BD3" s="28" t="s">
        <v>220</v>
      </c>
      <c r="BE3" s="21"/>
      <c r="BF3" s="28" t="s">
        <v>219</v>
      </c>
      <c r="BG3" s="28" t="s">
        <v>220</v>
      </c>
      <c r="BH3" s="21"/>
      <c r="BI3" s="22" t="s">
        <v>219</v>
      </c>
      <c r="BJ3" s="22" t="s">
        <v>220</v>
      </c>
      <c r="BK3" s="21"/>
      <c r="BL3" s="22" t="s">
        <v>219</v>
      </c>
      <c r="BM3" s="22" t="s">
        <v>220</v>
      </c>
      <c r="BN3" s="46"/>
      <c r="BO3" s="47"/>
      <c r="BP3" s="47"/>
      <c r="BQ3" s="46"/>
      <c r="BR3" s="47" t="s">
        <v>219</v>
      </c>
      <c r="BS3" s="47" t="s">
        <v>220</v>
      </c>
      <c r="BT3" s="46"/>
      <c r="BU3" s="46">
        <v>0.10879999999999999</v>
      </c>
      <c r="BV3" s="47"/>
    </row>
    <row r="4" spans="1:76" x14ac:dyDescent="0.2">
      <c r="A4" s="6" t="s">
        <v>234</v>
      </c>
      <c r="B4" t="s">
        <v>133</v>
      </c>
      <c r="C4" s="21" t="s">
        <v>134</v>
      </c>
      <c r="D4" s="24" t="s">
        <v>239</v>
      </c>
      <c r="E4" s="24" t="s">
        <v>239</v>
      </c>
      <c r="F4" s="21" t="s">
        <v>146</v>
      </c>
      <c r="G4" s="24" t="s">
        <v>240</v>
      </c>
      <c r="H4" s="24" t="s">
        <v>240</v>
      </c>
      <c r="I4" s="21" t="s">
        <v>158</v>
      </c>
      <c r="J4" s="24" t="s">
        <v>240</v>
      </c>
      <c r="K4" s="24" t="s">
        <v>240</v>
      </c>
      <c r="L4" s="27" t="s">
        <v>135</v>
      </c>
      <c r="M4" s="30" t="s">
        <v>241</v>
      </c>
      <c r="N4" s="30" t="s">
        <v>241</v>
      </c>
      <c r="O4" s="27" t="s">
        <v>147</v>
      </c>
      <c r="P4" s="28"/>
      <c r="Q4" s="28"/>
      <c r="R4" s="27" t="s">
        <v>159</v>
      </c>
      <c r="S4" s="28"/>
      <c r="T4" s="28"/>
      <c r="U4" s="33" t="s">
        <v>136</v>
      </c>
      <c r="V4" s="34"/>
      <c r="W4" s="34"/>
      <c r="X4" s="33" t="s">
        <v>148</v>
      </c>
      <c r="Y4" s="34"/>
      <c r="Z4" s="34"/>
      <c r="AA4" s="33" t="s">
        <v>160</v>
      </c>
      <c r="AB4" s="34"/>
      <c r="AC4" s="34"/>
      <c r="AD4" s="38" t="s">
        <v>137</v>
      </c>
      <c r="AE4" s="39"/>
      <c r="AF4" s="39"/>
      <c r="AG4" s="38" t="s">
        <v>149</v>
      </c>
      <c r="AH4" s="39"/>
      <c r="AI4" s="39"/>
      <c r="AJ4" s="38" t="s">
        <v>161</v>
      </c>
      <c r="AK4" s="39"/>
      <c r="AL4" s="39"/>
      <c r="AM4" s="42" t="s">
        <v>138</v>
      </c>
      <c r="AN4" s="43"/>
      <c r="AO4" s="43"/>
      <c r="AP4" s="42" t="s">
        <v>150</v>
      </c>
      <c r="AQ4" s="43"/>
      <c r="AR4" s="43"/>
      <c r="AS4" s="42" t="s">
        <v>162</v>
      </c>
      <c r="AT4" s="43"/>
      <c r="AU4" s="43"/>
      <c r="AV4" s="27" t="s">
        <v>139</v>
      </c>
      <c r="AW4" s="28"/>
      <c r="AX4" s="28"/>
      <c r="AY4" s="27" t="s">
        <v>151</v>
      </c>
      <c r="AZ4" s="28"/>
      <c r="BA4" s="28"/>
      <c r="BB4" s="27" t="s">
        <v>163</v>
      </c>
      <c r="BC4" s="28"/>
      <c r="BD4" s="28"/>
      <c r="BE4" s="21" t="s">
        <v>141</v>
      </c>
      <c r="BF4" s="22"/>
      <c r="BG4" s="22"/>
      <c r="BH4" s="21" t="s">
        <v>153</v>
      </c>
      <c r="BI4" s="22"/>
      <c r="BJ4" s="22"/>
      <c r="BK4" s="21" t="s">
        <v>165</v>
      </c>
      <c r="BL4" s="22"/>
      <c r="BM4" s="22"/>
      <c r="BN4" s="46" t="s">
        <v>142</v>
      </c>
      <c r="BO4" s="47"/>
      <c r="BP4" s="47"/>
      <c r="BQ4" s="46" t="s">
        <v>154</v>
      </c>
      <c r="BR4" s="47"/>
      <c r="BS4" s="47"/>
      <c r="BT4" s="46" t="s">
        <v>166</v>
      </c>
      <c r="BU4" s="47"/>
      <c r="BV4" s="47"/>
    </row>
    <row r="5" spans="1:76" x14ac:dyDescent="0.2">
      <c r="A5">
        <v>0</v>
      </c>
      <c r="C5" s="21">
        <v>0.1104</v>
      </c>
      <c r="D5" s="22">
        <v>5.1999999999999963E-3</v>
      </c>
      <c r="E5" s="22">
        <v>-5.2590966533947601</v>
      </c>
      <c r="F5" s="21">
        <v>0.1028</v>
      </c>
      <c r="G5" s="22"/>
      <c r="H5" s="22"/>
      <c r="I5" s="21">
        <v>0.1047</v>
      </c>
      <c r="J5" s="22"/>
      <c r="K5" s="22"/>
      <c r="L5" s="27">
        <v>0.1072</v>
      </c>
      <c r="M5" s="28"/>
      <c r="N5" s="28" t="e">
        <v>#NUM!</v>
      </c>
      <c r="O5" s="27">
        <v>0.1108</v>
      </c>
      <c r="P5" s="28"/>
      <c r="Q5" s="28"/>
      <c r="R5" s="27">
        <v>0.1038</v>
      </c>
      <c r="S5" s="28"/>
      <c r="T5" s="28"/>
      <c r="U5" s="33">
        <v>0.1067</v>
      </c>
      <c r="V5" s="34">
        <v>1.3999999999999985E-3</v>
      </c>
      <c r="W5" s="34">
        <v>-6.5712830423609256</v>
      </c>
      <c r="X5" s="33">
        <v>0.1031</v>
      </c>
      <c r="Y5" s="34"/>
      <c r="Z5" s="34"/>
      <c r="AA5" s="33">
        <v>0.104</v>
      </c>
      <c r="AB5" s="34"/>
      <c r="AC5" s="34"/>
      <c r="AD5" s="38">
        <v>0.1051</v>
      </c>
      <c r="AE5" s="39">
        <v>1.0000000000000286E-4</v>
      </c>
      <c r="AF5" s="39">
        <v>-9.2103403719761534</v>
      </c>
      <c r="AG5" s="38">
        <v>0.10390000000000001</v>
      </c>
      <c r="AH5" s="39"/>
      <c r="AI5" s="39"/>
      <c r="AJ5" s="38">
        <v>0.10349999999999999</v>
      </c>
      <c r="AK5" s="39"/>
      <c r="AL5" s="39"/>
      <c r="AM5" s="42">
        <v>0.10979999999999999</v>
      </c>
      <c r="AN5" s="43">
        <v>3.9999999999999758E-4</v>
      </c>
      <c r="AO5" s="43">
        <v>-7.8240460108562981</v>
      </c>
      <c r="AP5" s="42">
        <v>0.105</v>
      </c>
      <c r="AQ5" s="43"/>
      <c r="AR5" s="43"/>
      <c r="AS5" s="42">
        <v>0.1057</v>
      </c>
      <c r="AT5" s="43"/>
      <c r="AU5" s="43"/>
      <c r="AV5" s="27">
        <v>0.10920000000000001</v>
      </c>
      <c r="AW5" s="28">
        <v>9.000000000000119E-4</v>
      </c>
      <c r="AX5" s="28">
        <v>-7.0131157946399503</v>
      </c>
      <c r="AY5" s="27">
        <v>0.10730000000000001</v>
      </c>
      <c r="AZ5" s="28"/>
      <c r="BA5" s="28"/>
      <c r="BB5" s="27">
        <v>0.1198</v>
      </c>
      <c r="BC5" s="28"/>
      <c r="BD5" s="28"/>
      <c r="BE5" s="21">
        <v>0.10390000000000001</v>
      </c>
      <c r="BF5" s="22">
        <v>-1.1999999999999927E-3</v>
      </c>
      <c r="BG5" s="22" t="e">
        <v>#NUM!</v>
      </c>
      <c r="BH5" s="21">
        <v>0.108</v>
      </c>
      <c r="BI5" s="22"/>
      <c r="BJ5" s="22"/>
      <c r="BK5" s="21">
        <v>0.1051</v>
      </c>
      <c r="BL5" s="22"/>
      <c r="BM5" s="22"/>
      <c r="BN5" s="46">
        <v>0.1085</v>
      </c>
      <c r="BO5" s="47">
        <v>6.999999999999923E-4</v>
      </c>
      <c r="BP5" s="47">
        <v>-7.2644302229208808</v>
      </c>
      <c r="BQ5" s="46">
        <v>0.1043</v>
      </c>
      <c r="BR5" s="47"/>
      <c r="BS5" s="47"/>
      <c r="BT5" s="46">
        <v>0.10489999999999999</v>
      </c>
      <c r="BU5" s="47"/>
      <c r="BV5" s="47"/>
    </row>
    <row r="6" spans="1:76" x14ac:dyDescent="0.2">
      <c r="A6">
        <v>0.23793277777777777</v>
      </c>
      <c r="C6" s="21">
        <v>0.10539999999999999</v>
      </c>
      <c r="D6" s="22">
        <v>1.9999999999999185E-4</v>
      </c>
      <c r="E6" s="22">
        <v>-8.5171931914162808</v>
      </c>
      <c r="F6" s="21">
        <v>0.1013</v>
      </c>
      <c r="G6" s="22"/>
      <c r="H6" s="22"/>
      <c r="I6" s="21">
        <v>0.1071</v>
      </c>
      <c r="J6" s="22"/>
      <c r="K6" s="22"/>
      <c r="L6" s="27">
        <v>0.1056</v>
      </c>
      <c r="M6" s="28">
        <v>0</v>
      </c>
      <c r="N6" s="28" t="e">
        <v>#NUM!</v>
      </c>
      <c r="O6" s="27">
        <v>0.1047</v>
      </c>
      <c r="P6" s="28"/>
      <c r="Q6" s="28"/>
      <c r="R6" s="27">
        <v>0.106</v>
      </c>
      <c r="S6" s="28"/>
      <c r="T6" s="28"/>
      <c r="U6" s="33">
        <v>0.1053</v>
      </c>
      <c r="V6" s="34">
        <v>0</v>
      </c>
      <c r="W6" s="34" t="e">
        <v>#NUM!</v>
      </c>
      <c r="X6" s="33">
        <v>0.1047</v>
      </c>
      <c r="Y6" s="34"/>
      <c r="Z6" s="34"/>
      <c r="AA6" s="33">
        <v>0.1053</v>
      </c>
      <c r="AB6" s="34"/>
      <c r="AC6" s="34"/>
      <c r="AD6" s="38">
        <v>0.105</v>
      </c>
      <c r="AE6" s="39">
        <v>0</v>
      </c>
      <c r="AF6" s="39" t="e">
        <v>#NUM!</v>
      </c>
      <c r="AG6" s="38">
        <v>0.105</v>
      </c>
      <c r="AH6" s="39"/>
      <c r="AI6" s="39"/>
      <c r="AJ6" s="38">
        <v>0.1055</v>
      </c>
      <c r="AK6" s="39"/>
      <c r="AL6" s="39"/>
      <c r="AM6" s="42">
        <v>0.1094</v>
      </c>
      <c r="AN6" s="43">
        <v>0</v>
      </c>
      <c r="AO6" s="43" t="e">
        <v>#NUM!</v>
      </c>
      <c r="AP6" s="42">
        <v>0.10539999999999999</v>
      </c>
      <c r="AQ6" s="43"/>
      <c r="AR6" s="43"/>
      <c r="AS6" s="42">
        <v>0.1075</v>
      </c>
      <c r="AT6" s="43"/>
      <c r="AU6" s="43"/>
      <c r="AV6" s="27">
        <v>0.10829999999999999</v>
      </c>
      <c r="AW6" s="28">
        <v>0</v>
      </c>
      <c r="AX6" s="28" t="e">
        <v>#NUM!</v>
      </c>
      <c r="AY6" s="27">
        <v>0.1069</v>
      </c>
      <c r="AZ6" s="28"/>
      <c r="BA6" s="28"/>
      <c r="BB6" s="27">
        <v>0.12189999999999999</v>
      </c>
      <c r="BC6" s="28"/>
      <c r="BD6" s="28"/>
      <c r="BE6" s="21">
        <v>0.1051</v>
      </c>
      <c r="BF6" s="22">
        <v>0</v>
      </c>
      <c r="BG6" s="22" t="e">
        <v>#NUM!</v>
      </c>
      <c r="BH6" s="21">
        <v>0.106</v>
      </c>
      <c r="BI6" s="22"/>
      <c r="BJ6" s="22"/>
      <c r="BK6" s="21">
        <v>0.10589999999999999</v>
      </c>
      <c r="BL6" s="22"/>
      <c r="BM6" s="22"/>
      <c r="BN6" s="46">
        <v>0.1081</v>
      </c>
      <c r="BO6" s="47">
        <v>2.9999999999999472E-4</v>
      </c>
      <c r="BP6" s="47">
        <v>-8.1117280833080905</v>
      </c>
      <c r="BQ6" s="46">
        <v>0.1053</v>
      </c>
      <c r="BR6" s="47"/>
      <c r="BS6" s="47"/>
      <c r="BT6" s="46">
        <v>0.10879999999999999</v>
      </c>
      <c r="BU6" s="47"/>
      <c r="BV6" s="47"/>
    </row>
    <row r="7" spans="1:76" x14ac:dyDescent="0.2">
      <c r="A7">
        <v>0.4757197222222222</v>
      </c>
      <c r="C7" s="21">
        <v>0.1052</v>
      </c>
      <c r="D7" s="22">
        <v>0</v>
      </c>
      <c r="E7" s="22" t="e">
        <v>#NUM!</v>
      </c>
      <c r="F7" s="21">
        <v>0.1008</v>
      </c>
      <c r="G7" s="22">
        <f>F7-$G$2</f>
        <v>0</v>
      </c>
      <c r="H7" s="22" t="e">
        <f>LN(G7)</f>
        <v>#NUM!</v>
      </c>
      <c r="I7" s="21">
        <v>0.1072</v>
      </c>
      <c r="J7" s="22">
        <f>I7-$J$2</f>
        <v>0</v>
      </c>
      <c r="K7" s="22" t="e">
        <f>LN(J7)</f>
        <v>#NUM!</v>
      </c>
      <c r="L7" s="27">
        <v>0.106</v>
      </c>
      <c r="M7" s="28">
        <v>3.9999999999999758E-4</v>
      </c>
      <c r="N7" s="28">
        <v>-7.8240460108562981</v>
      </c>
      <c r="O7" s="27">
        <v>0.1048</v>
      </c>
      <c r="P7" s="28">
        <f t="shared" ref="P7:P39" si="0">O7-$P$2</f>
        <v>0</v>
      </c>
      <c r="Q7" s="28" t="e">
        <f>LN(P7)</f>
        <v>#NUM!</v>
      </c>
      <c r="R7" s="27">
        <v>0.106</v>
      </c>
      <c r="S7" s="28">
        <f>R7-$S$2</f>
        <v>0</v>
      </c>
      <c r="T7" s="28" t="e">
        <f>LN(S7)</f>
        <v>#NUM!</v>
      </c>
      <c r="U7" s="33">
        <v>0.1057</v>
      </c>
      <c r="V7" s="34">
        <v>3.9999999999999758E-4</v>
      </c>
      <c r="W7" s="34">
        <v>-7.8240460108562981</v>
      </c>
      <c r="X7" s="33">
        <v>0.1046</v>
      </c>
      <c r="Y7" s="34">
        <f>X7-$Y$2</f>
        <v>0</v>
      </c>
      <c r="Z7" s="34" t="e">
        <f>LN(Y7)</f>
        <v>#NUM!</v>
      </c>
      <c r="AA7" s="33">
        <v>0.10539999999999999</v>
      </c>
      <c r="AB7" s="34">
        <f>AA7-$AB$2</f>
        <v>0</v>
      </c>
      <c r="AC7" s="34" t="e">
        <f>LN(AB7)</f>
        <v>#NUM!</v>
      </c>
      <c r="AD7" s="38">
        <v>0.1051</v>
      </c>
      <c r="AE7" s="39">
        <v>1.0000000000000286E-4</v>
      </c>
      <c r="AF7" s="39">
        <v>-9.2103403719761534</v>
      </c>
      <c r="AG7" s="38">
        <v>0.1055</v>
      </c>
      <c r="AH7" s="39">
        <f>AG7-$AH$2</f>
        <v>0</v>
      </c>
      <c r="AI7" s="39" t="e">
        <f>LN(AH7)</f>
        <v>#NUM!</v>
      </c>
      <c r="AJ7" s="38">
        <v>0.10589999999999999</v>
      </c>
      <c r="AK7" s="39">
        <f>AJ7-$AK$2</f>
        <v>0</v>
      </c>
      <c r="AL7" s="39" t="e">
        <f>LN(AK7)</f>
        <v>#NUM!</v>
      </c>
      <c r="AM7" s="42">
        <v>0.11020000000000001</v>
      </c>
      <c r="AN7" s="43">
        <v>8.0000000000000904E-4</v>
      </c>
      <c r="AO7" s="43">
        <v>-7.1308988302963359</v>
      </c>
      <c r="AP7" s="42">
        <v>0.1061</v>
      </c>
      <c r="AQ7" s="43">
        <f>AP7-$AQ$2</f>
        <v>0</v>
      </c>
      <c r="AR7" s="43" t="e">
        <f>LN(AQ7)</f>
        <v>#NUM!</v>
      </c>
      <c r="AS7" s="42">
        <v>0.1087</v>
      </c>
      <c r="AT7" s="43">
        <f>AS7-$AT$2</f>
        <v>0</v>
      </c>
      <c r="AU7" s="43" t="e">
        <f>LN(AT7)</f>
        <v>#NUM!</v>
      </c>
      <c r="AV7" s="27">
        <v>0.1089</v>
      </c>
      <c r="AW7" s="28">
        <v>6.0000000000000331E-4</v>
      </c>
      <c r="AX7" s="28">
        <v>-7.418580902748122</v>
      </c>
      <c r="AY7" s="27">
        <v>0.1071</v>
      </c>
      <c r="AZ7" s="28">
        <f>AY7-$AZ$2</f>
        <v>0</v>
      </c>
      <c r="BA7" s="28" t="e">
        <f>LN(AZ7)</f>
        <v>#NUM!</v>
      </c>
      <c r="BB7" s="27">
        <v>0.12230000000000001</v>
      </c>
      <c r="BC7" s="28">
        <f>BB7-$BC$2</f>
        <v>0</v>
      </c>
      <c r="BD7" s="28" t="e">
        <f>LN(BC7)</f>
        <v>#NUM!</v>
      </c>
      <c r="BE7" s="21">
        <v>0.1057</v>
      </c>
      <c r="BF7" s="22">
        <v>6.0000000000000331E-4</v>
      </c>
      <c r="BG7" s="22">
        <v>-7.418580902748122</v>
      </c>
      <c r="BH7" s="21">
        <v>0.1052</v>
      </c>
      <c r="BI7" s="22">
        <f>BH7-$BI$2</f>
        <v>0</v>
      </c>
      <c r="BJ7" s="22" t="e">
        <f>LN(BI7)</f>
        <v>#NUM!</v>
      </c>
      <c r="BK7" s="21">
        <v>0.10580000000000001</v>
      </c>
      <c r="BL7" s="22">
        <f>BK7-$BL$2</f>
        <v>0</v>
      </c>
      <c r="BM7" s="22" t="e">
        <f>LN(BL7)</f>
        <v>#NUM!</v>
      </c>
      <c r="BN7" s="46">
        <v>0.10780000000000001</v>
      </c>
      <c r="BO7" s="47">
        <v>0</v>
      </c>
      <c r="BP7" s="47" t="e">
        <v>#NUM!</v>
      </c>
      <c r="BQ7" s="46">
        <v>0.10580000000000001</v>
      </c>
      <c r="BR7" s="47">
        <f>BQ7-$BR$2</f>
        <v>0</v>
      </c>
      <c r="BS7" s="47" t="e">
        <f>LN(BR7)</f>
        <v>#NUM!</v>
      </c>
      <c r="BT7" s="46">
        <v>0.10879999999999999</v>
      </c>
      <c r="BU7" s="47">
        <f>BT7-$BU$3</f>
        <v>0</v>
      </c>
      <c r="BV7" s="47" t="e">
        <f>LN(BU7)</f>
        <v>#NUM!</v>
      </c>
    </row>
    <row r="8" spans="1:76" x14ac:dyDescent="0.2">
      <c r="A8">
        <v>0.7135488888888889</v>
      </c>
      <c r="C8" s="21">
        <v>0.1077</v>
      </c>
      <c r="D8" s="22">
        <v>2.5000000000000022E-3</v>
      </c>
      <c r="E8" s="22">
        <v>-5.9914645471079808</v>
      </c>
      <c r="F8" s="21">
        <v>0.1009</v>
      </c>
      <c r="G8" s="22">
        <f t="shared" ref="G8:G39" si="1">F8-$G$2</f>
        <v>1.0000000000000286E-4</v>
      </c>
      <c r="H8" s="22">
        <f t="shared" ref="H8:H39" si="2">LN(G8)</f>
        <v>-9.2103403719761534</v>
      </c>
      <c r="I8" s="21">
        <v>0.11070000000000001</v>
      </c>
      <c r="J8" s="22">
        <f t="shared" ref="J8:J39" si="3">I8-$J$2</f>
        <v>3.5000000000000031E-3</v>
      </c>
      <c r="K8" s="22">
        <f t="shared" ref="K8:K39" si="4">LN(J8)</f>
        <v>-5.6549923104867679</v>
      </c>
      <c r="L8" s="27">
        <v>0.1077</v>
      </c>
      <c r="M8" s="28">
        <v>2.1000000000000046E-3</v>
      </c>
      <c r="N8" s="28">
        <v>-6.1658179342527575</v>
      </c>
      <c r="O8" s="27">
        <v>0.1066</v>
      </c>
      <c r="P8" s="28">
        <f t="shared" si="0"/>
        <v>1.799999999999996E-3</v>
      </c>
      <c r="Q8" s="28">
        <f t="shared" ref="Q8:Q39" si="5">LN(P8)</f>
        <v>-6.31996861408002</v>
      </c>
      <c r="R8" s="27">
        <v>0.1087</v>
      </c>
      <c r="S8" s="28">
        <f t="shared" ref="S8:S39" si="6">R8-$S$2</f>
        <v>2.7000000000000079E-3</v>
      </c>
      <c r="T8" s="28">
        <f t="shared" ref="T8:T39" si="7">LN(S8)</f>
        <v>-5.9145035059718509</v>
      </c>
      <c r="U8" s="33">
        <v>0.10780000000000001</v>
      </c>
      <c r="V8" s="34">
        <v>2.5000000000000022E-3</v>
      </c>
      <c r="W8" s="34">
        <v>-5.9914645471079808</v>
      </c>
      <c r="X8" s="33">
        <v>0.10639999999999999</v>
      </c>
      <c r="Y8" s="34">
        <f t="shared" ref="Y8:Y39" si="8">X8-$Y$2</f>
        <v>1.799999999999996E-3</v>
      </c>
      <c r="Z8" s="34">
        <f t="shared" ref="Z8:Z39" si="9">LN(Y8)</f>
        <v>-6.31996861408002</v>
      </c>
      <c r="AA8" s="33">
        <v>0.10780000000000001</v>
      </c>
      <c r="AB8" s="34">
        <f t="shared" ref="AB8:AB39" si="10">AA8-$AB$2</f>
        <v>2.4000000000000132E-3</v>
      </c>
      <c r="AC8" s="34">
        <f t="shared" ref="AC8:AC39" si="11">LN(AB8)</f>
        <v>-6.0322865416282312</v>
      </c>
      <c r="AD8" s="38">
        <v>0.1077</v>
      </c>
      <c r="AE8" s="39">
        <v>2.7000000000000079E-3</v>
      </c>
      <c r="AF8" s="39">
        <v>-5.9145035059718509</v>
      </c>
      <c r="AG8" s="38">
        <v>0.10780000000000001</v>
      </c>
      <c r="AH8" s="39">
        <f t="shared" ref="AH8:AH39" si="12">AG8-$AH$2</f>
        <v>2.3000000000000104E-3</v>
      </c>
      <c r="AI8" s="39">
        <f t="shared" ref="AI8:AI39" si="13">LN(AH8)</f>
        <v>-6.0748461560470286</v>
      </c>
      <c r="AJ8" s="38">
        <v>0.1085</v>
      </c>
      <c r="AK8" s="39">
        <f t="shared" ref="AK8:AK39" si="14">AJ8-$AK$2</f>
        <v>2.6000000000000051E-3</v>
      </c>
      <c r="AL8" s="39">
        <f t="shared" ref="AL8:AL39" si="15">LN(AK8)</f>
        <v>-5.9522438339546984</v>
      </c>
      <c r="AM8" s="42">
        <v>0.1115</v>
      </c>
      <c r="AN8" s="43">
        <v>2.1000000000000046E-3</v>
      </c>
      <c r="AO8" s="43">
        <v>-6.1658179342527575</v>
      </c>
      <c r="AP8" s="42">
        <v>0.1084</v>
      </c>
      <c r="AQ8" s="43">
        <f t="shared" ref="AQ8:AQ39" si="16">AP8-$AQ$2</f>
        <v>2.2999999999999965E-3</v>
      </c>
      <c r="AR8" s="43">
        <f t="shared" ref="AR8:AR39" si="17">LN(AQ8)</f>
        <v>-6.0748461560470348</v>
      </c>
      <c r="AS8" s="42">
        <v>0.1115</v>
      </c>
      <c r="AT8" s="43">
        <f t="shared" ref="AT8:AT39" si="18">AS8-$AT$2</f>
        <v>2.7999999999999969E-3</v>
      </c>
      <c r="AU8" s="43">
        <f t="shared" ref="AU8:AU39" si="19">LN(AT8)</f>
        <v>-5.8781358618009802</v>
      </c>
      <c r="AV8" s="27">
        <v>0.1125</v>
      </c>
      <c r="AW8" s="28">
        <v>4.2000000000000093E-3</v>
      </c>
      <c r="AX8" s="28">
        <v>-5.4726707536928121</v>
      </c>
      <c r="AY8" s="27">
        <v>0.10979999999999999</v>
      </c>
      <c r="AZ8" s="28">
        <f t="shared" ref="AZ8:AZ39" si="20">AY8-$AZ$2</f>
        <v>2.6999999999999941E-3</v>
      </c>
      <c r="BA8" s="28">
        <f t="shared" ref="BA8:BA39" si="21">LN(AZ8)</f>
        <v>-5.9145035059718563</v>
      </c>
      <c r="BB8" s="27">
        <v>0.12429999999999999</v>
      </c>
      <c r="BC8" s="28">
        <f t="shared" ref="BC8:BC39" si="22">BB8-$BC$2</f>
        <v>1.9999999999999879E-3</v>
      </c>
      <c r="BD8" s="28">
        <f t="shared" ref="BD8:BD39" si="23">LN(BC8)</f>
        <v>-6.2146080984221976</v>
      </c>
      <c r="BE8" s="21">
        <v>0.1086</v>
      </c>
      <c r="BF8" s="22">
        <v>3.5000000000000031E-3</v>
      </c>
      <c r="BG8" s="22">
        <v>-5.6549923104867679</v>
      </c>
      <c r="BH8" s="21">
        <v>0.10730000000000001</v>
      </c>
      <c r="BI8" s="22">
        <f t="shared" ref="BI8:BI39" si="24">BH8-$BI$2</f>
        <v>2.1000000000000046E-3</v>
      </c>
      <c r="BJ8" s="22">
        <f t="shared" ref="BJ8:BJ39" si="25">LN(BI8)</f>
        <v>-6.1658179342527575</v>
      </c>
      <c r="BK8" s="21">
        <v>0.1087</v>
      </c>
      <c r="BL8" s="22">
        <f t="shared" ref="BL8:BL39" si="26">BK8-$BL$2</f>
        <v>2.8999999999999998E-3</v>
      </c>
      <c r="BM8" s="22">
        <f t="shared" ref="BM8:BM39" si="27">LN(BL8)</f>
        <v>-5.843044541989709</v>
      </c>
      <c r="BN8" s="46">
        <v>0.10879999999999999</v>
      </c>
      <c r="BO8" s="47">
        <v>9.9999999999998701E-4</v>
      </c>
      <c r="BP8" s="47">
        <v>-6.9077552789821501</v>
      </c>
      <c r="BQ8" s="46">
        <v>0.1075</v>
      </c>
      <c r="BR8" s="47">
        <f t="shared" ref="BR8:BR39" si="28">BQ8-$BR$2</f>
        <v>1.6999999999999932E-3</v>
      </c>
      <c r="BS8" s="47">
        <f t="shared" ref="BS8:BS39" si="29">LN(BR8)</f>
        <v>-6.377127027919971</v>
      </c>
      <c r="BT8" s="46">
        <v>0.1109</v>
      </c>
      <c r="BU8" s="47">
        <f t="shared" ref="BU8:BU39" si="30">BT8-$BU$3</f>
        <v>2.1000000000000046E-3</v>
      </c>
      <c r="BV8" s="47">
        <f t="shared" ref="BV8:BV39" si="31">LN(BU8)</f>
        <v>-6.1658179342527575</v>
      </c>
    </row>
    <row r="9" spans="1:76" x14ac:dyDescent="0.2">
      <c r="A9">
        <v>0.95137944444444444</v>
      </c>
      <c r="C9" s="21">
        <v>0.1119</v>
      </c>
      <c r="D9" s="22">
        <v>6.6999999999999976E-3</v>
      </c>
      <c r="E9" s="22">
        <v>-5.005647752585217</v>
      </c>
      <c r="F9" s="21">
        <v>0.1014</v>
      </c>
      <c r="G9" s="22">
        <f t="shared" si="1"/>
        <v>6.0000000000000331E-4</v>
      </c>
      <c r="H9" s="22">
        <f t="shared" si="2"/>
        <v>-7.418580902748122</v>
      </c>
      <c r="I9" s="21">
        <v>0.1168</v>
      </c>
      <c r="J9" s="22">
        <f t="shared" si="3"/>
        <v>9.5999999999999974E-3</v>
      </c>
      <c r="K9" s="22">
        <f t="shared" si="4"/>
        <v>-4.6459921805083466</v>
      </c>
      <c r="L9" s="27">
        <v>0.1124</v>
      </c>
      <c r="M9" s="28">
        <v>6.8000000000000005E-3</v>
      </c>
      <c r="N9" s="28">
        <v>-4.9908326668000758</v>
      </c>
      <c r="O9" s="27">
        <v>0.11070000000000001</v>
      </c>
      <c r="P9" s="28">
        <f t="shared" si="0"/>
        <v>5.9000000000000025E-3</v>
      </c>
      <c r="Q9" s="28">
        <f t="shared" si="5"/>
        <v>-5.132802928070463</v>
      </c>
      <c r="R9" s="27">
        <v>0.1139</v>
      </c>
      <c r="S9" s="28">
        <f t="shared" si="6"/>
        <v>7.9000000000000042E-3</v>
      </c>
      <c r="T9" s="28">
        <f t="shared" si="7"/>
        <v>-4.8408925195091603</v>
      </c>
      <c r="U9" s="33">
        <v>0.1125</v>
      </c>
      <c r="V9" s="34">
        <v>7.1999999999999981E-3</v>
      </c>
      <c r="W9" s="34">
        <v>-4.9336742529601274</v>
      </c>
      <c r="X9" s="33">
        <v>0.111</v>
      </c>
      <c r="Y9" s="34">
        <f t="shared" si="8"/>
        <v>6.4000000000000029E-3</v>
      </c>
      <c r="Z9" s="34">
        <f t="shared" si="9"/>
        <v>-5.0514572886165103</v>
      </c>
      <c r="AA9" s="33">
        <v>0.113</v>
      </c>
      <c r="AB9" s="34">
        <f t="shared" si="10"/>
        <v>7.6000000000000095E-3</v>
      </c>
      <c r="AC9" s="34">
        <f t="shared" si="11"/>
        <v>-4.8796070316898508</v>
      </c>
      <c r="AD9" s="38">
        <v>0.11260000000000001</v>
      </c>
      <c r="AE9" s="39">
        <v>7.6000000000000095E-3</v>
      </c>
      <c r="AF9" s="39">
        <v>-4.8796070316898508</v>
      </c>
      <c r="AG9" s="38">
        <v>0.1124</v>
      </c>
      <c r="AH9" s="39">
        <f t="shared" si="12"/>
        <v>6.9000000000000034E-3</v>
      </c>
      <c r="AI9" s="39">
        <f t="shared" si="13"/>
        <v>-4.976233867378923</v>
      </c>
      <c r="AJ9" s="38">
        <v>0.1135</v>
      </c>
      <c r="AK9" s="39">
        <f t="shared" si="14"/>
        <v>7.6000000000000095E-3</v>
      </c>
      <c r="AL9" s="39">
        <f t="shared" si="15"/>
        <v>-4.8796070316898508</v>
      </c>
      <c r="AM9" s="42">
        <v>0.1158</v>
      </c>
      <c r="AN9" s="43">
        <v>6.4000000000000029E-3</v>
      </c>
      <c r="AO9" s="43">
        <v>-5.0514572886165103</v>
      </c>
      <c r="AP9" s="42">
        <v>0.11269999999999999</v>
      </c>
      <c r="AQ9" s="43">
        <f t="shared" si="16"/>
        <v>6.5999999999999948E-3</v>
      </c>
      <c r="AR9" s="43">
        <f t="shared" si="17"/>
        <v>-5.0206856299497584</v>
      </c>
      <c r="AS9" s="42">
        <v>0.11650000000000001</v>
      </c>
      <c r="AT9" s="43">
        <f t="shared" si="18"/>
        <v>7.8000000000000014E-3</v>
      </c>
      <c r="AU9" s="43">
        <f t="shared" si="19"/>
        <v>-4.853631545286591</v>
      </c>
      <c r="AV9" s="27">
        <v>0.11899999999999999</v>
      </c>
      <c r="AW9" s="28">
        <v>1.0700000000000001E-2</v>
      </c>
      <c r="AX9" s="28">
        <v>-4.537511537514276</v>
      </c>
      <c r="AY9" s="27">
        <v>0.1154</v>
      </c>
      <c r="AZ9" s="28">
        <f t="shared" si="20"/>
        <v>8.3000000000000018E-3</v>
      </c>
      <c r="BA9" s="28">
        <f t="shared" si="21"/>
        <v>-4.7914997641795845</v>
      </c>
      <c r="BB9" s="27">
        <v>0.12920000000000001</v>
      </c>
      <c r="BC9" s="28">
        <f t="shared" si="22"/>
        <v>6.9000000000000034E-3</v>
      </c>
      <c r="BD9" s="28">
        <f t="shared" si="23"/>
        <v>-4.976233867378923</v>
      </c>
      <c r="BE9" s="21">
        <v>0.1135</v>
      </c>
      <c r="BF9" s="22">
        <v>8.4000000000000047E-3</v>
      </c>
      <c r="BG9" s="22">
        <v>-4.7795235731328685</v>
      </c>
      <c r="BH9" s="21">
        <v>0.1116</v>
      </c>
      <c r="BI9" s="22">
        <f t="shared" si="24"/>
        <v>6.4000000000000029E-3</v>
      </c>
      <c r="BJ9" s="22">
        <f t="shared" si="25"/>
        <v>-5.0514572886165103</v>
      </c>
      <c r="BK9" s="21">
        <v>0.11360000000000001</v>
      </c>
      <c r="BL9" s="22">
        <f t="shared" si="26"/>
        <v>7.8000000000000014E-3</v>
      </c>
      <c r="BM9" s="22">
        <f t="shared" si="27"/>
        <v>-4.853631545286591</v>
      </c>
      <c r="BN9" s="46">
        <v>0.1113</v>
      </c>
      <c r="BO9" s="47">
        <v>3.4999999999999892E-3</v>
      </c>
      <c r="BP9" s="47">
        <v>-5.6549923104867723</v>
      </c>
      <c r="BQ9" s="46">
        <v>0.1114</v>
      </c>
      <c r="BR9" s="47">
        <f t="shared" si="28"/>
        <v>5.5999999999999939E-3</v>
      </c>
      <c r="BS9" s="47">
        <f t="shared" si="29"/>
        <v>-5.1849886812410348</v>
      </c>
      <c r="BT9" s="46">
        <v>0.1154</v>
      </c>
      <c r="BU9" s="47">
        <f t="shared" si="30"/>
        <v>6.6000000000000086E-3</v>
      </c>
      <c r="BV9" s="47">
        <f t="shared" si="31"/>
        <v>-5.0206856299497558</v>
      </c>
    </row>
    <row r="10" spans="1:76" x14ac:dyDescent="0.2">
      <c r="A10">
        <v>1.1891449999999999</v>
      </c>
      <c r="C10" s="21">
        <v>0.11609999999999999</v>
      </c>
      <c r="D10" s="22">
        <v>1.0899999999999993E-2</v>
      </c>
      <c r="E10" s="22">
        <v>-4.5189924897470402</v>
      </c>
      <c r="F10" s="21">
        <v>0.1023</v>
      </c>
      <c r="G10" s="22">
        <f t="shared" si="1"/>
        <v>1.5000000000000013E-3</v>
      </c>
      <c r="H10" s="22">
        <f t="shared" si="2"/>
        <v>-6.5022901708739722</v>
      </c>
      <c r="I10" s="21">
        <v>0.12189999999999999</v>
      </c>
      <c r="J10" s="22">
        <f t="shared" si="3"/>
        <v>1.4699999999999991E-2</v>
      </c>
      <c r="K10" s="22">
        <f t="shared" si="4"/>
        <v>-4.2199077851974467</v>
      </c>
      <c r="L10" s="27">
        <v>0.1173</v>
      </c>
      <c r="M10" s="28">
        <v>1.1700000000000002E-2</v>
      </c>
      <c r="N10" s="28">
        <v>-4.4481664371784264</v>
      </c>
      <c r="O10" s="27">
        <v>0.11559999999999999</v>
      </c>
      <c r="P10" s="28">
        <f t="shared" si="0"/>
        <v>1.079999999999999E-2</v>
      </c>
      <c r="Q10" s="28">
        <f t="shared" si="5"/>
        <v>-4.5282091448519637</v>
      </c>
      <c r="R10" s="27">
        <v>0.1208</v>
      </c>
      <c r="S10" s="28">
        <f t="shared" si="6"/>
        <v>1.4800000000000008E-2</v>
      </c>
      <c r="T10" s="28">
        <f t="shared" si="7"/>
        <v>-4.2131280982120671</v>
      </c>
      <c r="U10" s="33">
        <v>0.11890000000000001</v>
      </c>
      <c r="V10" s="34">
        <v>1.3600000000000001E-2</v>
      </c>
      <c r="W10" s="34">
        <v>-4.2976854862401304</v>
      </c>
      <c r="X10" s="33">
        <v>0.11609999999999999</v>
      </c>
      <c r="Y10" s="34">
        <f t="shared" si="8"/>
        <v>1.1499999999999996E-2</v>
      </c>
      <c r="Z10" s="34">
        <f t="shared" si="9"/>
        <v>-4.4654082436129334</v>
      </c>
      <c r="AA10" s="33">
        <v>0.1193</v>
      </c>
      <c r="AB10" s="34">
        <f t="shared" si="10"/>
        <v>1.390000000000001E-2</v>
      </c>
      <c r="AC10" s="34">
        <f t="shared" si="11"/>
        <v>-4.2758664388454903</v>
      </c>
      <c r="AD10" s="38">
        <v>0.1196</v>
      </c>
      <c r="AE10" s="39">
        <v>1.4600000000000002E-2</v>
      </c>
      <c r="AF10" s="39">
        <v>-4.2267337502678464</v>
      </c>
      <c r="AG10" s="38">
        <v>0.1192</v>
      </c>
      <c r="AH10" s="39">
        <f t="shared" si="12"/>
        <v>1.3700000000000004E-2</v>
      </c>
      <c r="AI10" s="39">
        <f t="shared" si="13"/>
        <v>-4.2903594461480576</v>
      </c>
      <c r="AJ10" s="38">
        <v>0.1203</v>
      </c>
      <c r="AK10" s="39">
        <f t="shared" si="14"/>
        <v>1.440000000000001E-2</v>
      </c>
      <c r="AL10" s="39">
        <f t="shared" si="15"/>
        <v>-4.2405270724001811</v>
      </c>
      <c r="AM10" s="42">
        <v>0.1216</v>
      </c>
      <c r="AN10" s="43">
        <v>1.2200000000000003E-2</v>
      </c>
      <c r="AO10" s="43">
        <v>-4.406319327242926</v>
      </c>
      <c r="AP10" s="42">
        <v>0.1188</v>
      </c>
      <c r="AQ10" s="43">
        <f t="shared" si="16"/>
        <v>1.2700000000000003E-2</v>
      </c>
      <c r="AR10" s="43">
        <f t="shared" si="17"/>
        <v>-4.3661532855175915</v>
      </c>
      <c r="AS10" s="42">
        <v>0.1235</v>
      </c>
      <c r="AT10" s="43">
        <f t="shared" si="18"/>
        <v>1.4799999999999994E-2</v>
      </c>
      <c r="AU10" s="43">
        <f t="shared" si="19"/>
        <v>-4.213128098212068</v>
      </c>
      <c r="AV10" s="27">
        <v>0.12790000000000001</v>
      </c>
      <c r="AW10" s="28">
        <v>1.960000000000002E-2</v>
      </c>
      <c r="AX10" s="28">
        <v>-3.9322257127456646</v>
      </c>
      <c r="AY10" s="27">
        <v>0.1231</v>
      </c>
      <c r="AZ10" s="28">
        <f t="shared" si="20"/>
        <v>1.6E-2</v>
      </c>
      <c r="BA10" s="28">
        <f t="shared" si="21"/>
        <v>-4.1351665567423561</v>
      </c>
      <c r="BB10" s="27">
        <v>0.13689999999999999</v>
      </c>
      <c r="BC10" s="28">
        <f t="shared" si="22"/>
        <v>1.4599999999999988E-2</v>
      </c>
      <c r="BD10" s="28">
        <f t="shared" si="23"/>
        <v>-4.2267337502678473</v>
      </c>
      <c r="BE10" s="21">
        <v>0.12139999999999999</v>
      </c>
      <c r="BF10" s="22">
        <v>1.6299999999999995E-2</v>
      </c>
      <c r="BG10" s="22">
        <v>-4.1165901711694204</v>
      </c>
      <c r="BH10" s="21">
        <v>0.12</v>
      </c>
      <c r="BI10" s="22">
        <f t="shared" si="24"/>
        <v>1.4799999999999994E-2</v>
      </c>
      <c r="BJ10" s="22">
        <f t="shared" si="25"/>
        <v>-4.213128098212068</v>
      </c>
      <c r="BK10" s="21">
        <v>0.1226</v>
      </c>
      <c r="BL10" s="22">
        <f t="shared" si="26"/>
        <v>1.6799999999999995E-2</v>
      </c>
      <c r="BM10" s="22">
        <f t="shared" si="27"/>
        <v>-4.086376392572924</v>
      </c>
      <c r="BN10" s="46">
        <v>0.1154</v>
      </c>
      <c r="BO10" s="47">
        <v>7.5999999999999956E-3</v>
      </c>
      <c r="BP10" s="47">
        <v>-4.8796070316898525</v>
      </c>
      <c r="BQ10" s="46">
        <v>0.1181</v>
      </c>
      <c r="BR10" s="47">
        <f t="shared" si="28"/>
        <v>1.2299999999999991E-2</v>
      </c>
      <c r="BS10" s="47">
        <f t="shared" si="29"/>
        <v>-4.3981560166037657</v>
      </c>
      <c r="BT10" s="46">
        <v>0.123</v>
      </c>
      <c r="BU10" s="47">
        <f t="shared" si="30"/>
        <v>1.4200000000000004E-2</v>
      </c>
      <c r="BV10" s="47">
        <f t="shared" si="31"/>
        <v>-4.2545133143749219</v>
      </c>
    </row>
    <row r="11" spans="1:76" x14ac:dyDescent="0.2">
      <c r="A11">
        <v>1.4269777777777777</v>
      </c>
      <c r="C11" s="21">
        <v>0.1187</v>
      </c>
      <c r="D11" s="22">
        <v>1.3499999999999998E-2</v>
      </c>
      <c r="E11" s="22">
        <v>-4.3050655935377531</v>
      </c>
      <c r="F11" s="21">
        <v>0.1031</v>
      </c>
      <c r="G11" s="22">
        <f t="shared" si="1"/>
        <v>2.2999999999999965E-3</v>
      </c>
      <c r="H11" s="22">
        <f t="shared" si="2"/>
        <v>-6.0748461560470348</v>
      </c>
      <c r="I11" s="21">
        <v>0.12859999999999999</v>
      </c>
      <c r="J11" s="22">
        <f t="shared" si="3"/>
        <v>2.1399999999999988E-2</v>
      </c>
      <c r="K11" s="22">
        <f t="shared" si="4"/>
        <v>-3.844364356954332</v>
      </c>
      <c r="L11" s="27">
        <v>0.1187</v>
      </c>
      <c r="M11" s="28">
        <v>1.3100000000000001E-2</v>
      </c>
      <c r="N11" s="28">
        <v>-4.3351430487750315</v>
      </c>
      <c r="O11" s="27">
        <v>0.1198</v>
      </c>
      <c r="P11" s="28">
        <f t="shared" si="0"/>
        <v>1.4999999999999999E-2</v>
      </c>
      <c r="Q11" s="28">
        <f t="shared" si="5"/>
        <v>-4.1997050778799272</v>
      </c>
      <c r="R11" s="27">
        <v>0.1258</v>
      </c>
      <c r="S11" s="28">
        <f t="shared" si="6"/>
        <v>1.9799999999999998E-2</v>
      </c>
      <c r="T11" s="28">
        <f t="shared" si="7"/>
        <v>-3.9220733412816475</v>
      </c>
      <c r="U11" s="33">
        <v>0.1205</v>
      </c>
      <c r="V11" s="34">
        <v>1.5199999999999991E-2</v>
      </c>
      <c r="W11" s="34">
        <v>-4.1864598511299072</v>
      </c>
      <c r="X11" s="33">
        <v>0.1202</v>
      </c>
      <c r="Y11" s="34">
        <f t="shared" si="8"/>
        <v>1.5600000000000003E-2</v>
      </c>
      <c r="Z11" s="34">
        <f t="shared" si="9"/>
        <v>-4.1604843647266456</v>
      </c>
      <c r="AA11" s="33">
        <v>0.12529999999999999</v>
      </c>
      <c r="AB11" s="34">
        <f t="shared" si="10"/>
        <v>1.9900000000000001E-2</v>
      </c>
      <c r="AC11" s="34">
        <f t="shared" si="11"/>
        <v>-3.9170355472516905</v>
      </c>
      <c r="AD11" s="38">
        <v>0.1225</v>
      </c>
      <c r="AE11" s="39">
        <v>1.7500000000000002E-2</v>
      </c>
      <c r="AF11" s="39">
        <v>-4.0455543980526683</v>
      </c>
      <c r="AG11" s="38">
        <v>0.1239</v>
      </c>
      <c r="AH11" s="39">
        <f t="shared" si="12"/>
        <v>1.84E-2</v>
      </c>
      <c r="AI11" s="39">
        <f t="shared" si="13"/>
        <v>-3.9954046143671973</v>
      </c>
      <c r="AJ11" s="38">
        <v>0.1265</v>
      </c>
      <c r="AK11" s="39">
        <f t="shared" si="14"/>
        <v>2.0600000000000007E-2</v>
      </c>
      <c r="AL11" s="39">
        <f t="shared" si="15"/>
        <v>-3.8824642031866015</v>
      </c>
      <c r="AM11" s="42">
        <v>0.1237</v>
      </c>
      <c r="AN11" s="43">
        <v>1.4300000000000007E-2</v>
      </c>
      <c r="AO11" s="43">
        <v>-4.2474957417162749</v>
      </c>
      <c r="AP11" s="42">
        <v>0.1235</v>
      </c>
      <c r="AQ11" s="43">
        <f t="shared" si="16"/>
        <v>1.7399999999999999E-2</v>
      </c>
      <c r="AR11" s="43">
        <f t="shared" si="17"/>
        <v>-4.0512850727616536</v>
      </c>
      <c r="AS11" s="42">
        <v>0.1288</v>
      </c>
      <c r="AT11" s="43">
        <f t="shared" si="18"/>
        <v>2.0099999999999993E-2</v>
      </c>
      <c r="AU11" s="43">
        <f t="shared" si="19"/>
        <v>-3.9070354639171074</v>
      </c>
      <c r="AV11" s="27">
        <v>0.13339999999999999</v>
      </c>
      <c r="AW11" s="28">
        <v>2.5099999999999997E-2</v>
      </c>
      <c r="AX11" s="28">
        <v>-3.6848874328443988</v>
      </c>
      <c r="AY11" s="27">
        <v>0.13</v>
      </c>
      <c r="AZ11" s="28">
        <f t="shared" si="20"/>
        <v>2.2900000000000004E-2</v>
      </c>
      <c r="BA11" s="28">
        <f t="shared" si="21"/>
        <v>-3.7766183684219428</v>
      </c>
      <c r="BB11" s="27">
        <v>0.14269999999999999</v>
      </c>
      <c r="BC11" s="28">
        <f t="shared" si="22"/>
        <v>2.0399999999999988E-2</v>
      </c>
      <c r="BD11" s="28">
        <f t="shared" si="23"/>
        <v>-3.8922203781319671</v>
      </c>
      <c r="BE11" s="21">
        <v>0.12989999999999999</v>
      </c>
      <c r="BF11" s="22">
        <v>2.4799999999999989E-2</v>
      </c>
      <c r="BG11" s="22">
        <v>-3.6969116258112011</v>
      </c>
      <c r="BH11" s="21">
        <v>0.127</v>
      </c>
      <c r="BI11" s="22">
        <f t="shared" si="24"/>
        <v>2.18E-2</v>
      </c>
      <c r="BJ11" s="22">
        <f t="shared" si="25"/>
        <v>-3.8258453091870939</v>
      </c>
      <c r="BK11" s="21">
        <v>0.13189999999999999</v>
      </c>
      <c r="BL11" s="22">
        <f t="shared" si="26"/>
        <v>2.6099999999999984E-2</v>
      </c>
      <c r="BM11" s="22">
        <f t="shared" si="27"/>
        <v>-3.6458199646534899</v>
      </c>
      <c r="BN11" s="46">
        <v>0.1212</v>
      </c>
      <c r="BO11" s="47">
        <v>1.3399999999999995E-2</v>
      </c>
      <c r="BP11" s="47">
        <v>-4.3125005720252716</v>
      </c>
      <c r="BQ11" s="46">
        <v>0.1255</v>
      </c>
      <c r="BR11" s="47">
        <f t="shared" si="28"/>
        <v>1.9699999999999995E-2</v>
      </c>
      <c r="BS11" s="47">
        <f t="shared" si="29"/>
        <v>-3.9271366432381947</v>
      </c>
      <c r="BT11" s="46">
        <v>0.13100000000000001</v>
      </c>
      <c r="BU11" s="47">
        <f t="shared" si="30"/>
        <v>2.2200000000000011E-2</v>
      </c>
      <c r="BV11" s="47">
        <f t="shared" si="31"/>
        <v>-3.807662990103903</v>
      </c>
    </row>
    <row r="12" spans="1:76" x14ac:dyDescent="0.2">
      <c r="A12">
        <v>1.6648077777777779</v>
      </c>
      <c r="C12" s="21">
        <v>0.12570000000000001</v>
      </c>
      <c r="D12" s="22">
        <v>2.0500000000000004E-2</v>
      </c>
      <c r="E12" s="22">
        <v>-3.8873303928377743</v>
      </c>
      <c r="F12" s="21">
        <v>0.1036</v>
      </c>
      <c r="G12" s="22">
        <f t="shared" si="1"/>
        <v>2.7999999999999969E-3</v>
      </c>
      <c r="H12" s="22">
        <f t="shared" si="2"/>
        <v>-5.8781358618009802</v>
      </c>
      <c r="I12" s="21">
        <v>0.13489999999999999</v>
      </c>
      <c r="J12" s="22">
        <f t="shared" si="3"/>
        <v>2.7699999999999989E-2</v>
      </c>
      <c r="K12" s="22">
        <f t="shared" si="4"/>
        <v>-3.5863228657888446</v>
      </c>
      <c r="L12" s="27">
        <v>0.1205</v>
      </c>
      <c r="M12" s="28">
        <v>1.4899999999999997E-2</v>
      </c>
      <c r="N12" s="28">
        <v>-4.2063940660307235</v>
      </c>
      <c r="O12" s="27">
        <v>0.1229</v>
      </c>
      <c r="P12" s="28">
        <f t="shared" si="0"/>
        <v>1.8099999999999991E-2</v>
      </c>
      <c r="Q12" s="28">
        <f t="shared" si="5"/>
        <v>-4.0118433407103575</v>
      </c>
      <c r="R12" s="27">
        <v>0.13009999999999999</v>
      </c>
      <c r="S12" s="28">
        <f t="shared" si="6"/>
        <v>2.4099999999999996E-2</v>
      </c>
      <c r="T12" s="28">
        <f t="shared" si="7"/>
        <v>-3.7255434384855279</v>
      </c>
      <c r="U12" s="33">
        <v>0.1232</v>
      </c>
      <c r="V12" s="34">
        <v>1.7899999999999999E-2</v>
      </c>
      <c r="W12" s="34">
        <v>-4.0229545661354278</v>
      </c>
      <c r="X12" s="33">
        <v>0.12379999999999999</v>
      </c>
      <c r="Y12" s="34">
        <f t="shared" si="8"/>
        <v>1.9199999999999995E-2</v>
      </c>
      <c r="Z12" s="34">
        <f t="shared" si="9"/>
        <v>-3.9528449999484017</v>
      </c>
      <c r="AA12" s="33">
        <v>0.13170000000000001</v>
      </c>
      <c r="AB12" s="34">
        <f t="shared" si="10"/>
        <v>2.6300000000000018E-2</v>
      </c>
      <c r="AC12" s="34">
        <f t="shared" si="11"/>
        <v>-3.6381863397984175</v>
      </c>
      <c r="AD12" s="38">
        <v>0.1246</v>
      </c>
      <c r="AE12" s="39">
        <v>1.9600000000000006E-2</v>
      </c>
      <c r="AF12" s="39">
        <v>-3.932225712745665</v>
      </c>
      <c r="AG12" s="38">
        <v>0.1285</v>
      </c>
      <c r="AH12" s="39">
        <f t="shared" si="12"/>
        <v>2.3000000000000007E-2</v>
      </c>
      <c r="AI12" s="39">
        <f t="shared" si="13"/>
        <v>-3.7722610630529871</v>
      </c>
      <c r="AJ12" s="38">
        <v>0.13150000000000001</v>
      </c>
      <c r="AK12" s="39">
        <f t="shared" si="14"/>
        <v>2.5600000000000012E-2</v>
      </c>
      <c r="AL12" s="39">
        <f t="shared" si="15"/>
        <v>-3.66516292749662</v>
      </c>
      <c r="AM12" s="42">
        <v>0.1263</v>
      </c>
      <c r="AN12" s="43">
        <v>1.6899999999999998E-2</v>
      </c>
      <c r="AO12" s="43">
        <v>-4.0804416570531092</v>
      </c>
      <c r="AP12" s="42">
        <v>0.1268</v>
      </c>
      <c r="AQ12" s="43">
        <f t="shared" si="16"/>
        <v>2.0699999999999996E-2</v>
      </c>
      <c r="AR12" s="43">
        <f t="shared" si="17"/>
        <v>-3.8776215787108139</v>
      </c>
      <c r="AS12" s="42">
        <v>0.13389999999999999</v>
      </c>
      <c r="AT12" s="43">
        <f t="shared" si="18"/>
        <v>2.5199999999999986E-2</v>
      </c>
      <c r="AU12" s="43">
        <f t="shared" si="19"/>
        <v>-3.6809112844647598</v>
      </c>
      <c r="AV12" s="27">
        <v>0.13719999999999999</v>
      </c>
      <c r="AW12" s="28">
        <v>2.8899999999999995E-2</v>
      </c>
      <c r="AX12" s="28">
        <v>-3.5439136838637508</v>
      </c>
      <c r="AY12" s="27">
        <v>0.13420000000000001</v>
      </c>
      <c r="AZ12" s="28">
        <f t="shared" si="20"/>
        <v>2.7100000000000013E-2</v>
      </c>
      <c r="BA12" s="28">
        <f t="shared" si="21"/>
        <v>-3.6082215510964812</v>
      </c>
      <c r="BB12" s="27">
        <v>0.14960000000000001</v>
      </c>
      <c r="BC12" s="28">
        <f t="shared" si="22"/>
        <v>2.7300000000000005E-2</v>
      </c>
      <c r="BD12" s="28">
        <f t="shared" si="23"/>
        <v>-3.600868576791223</v>
      </c>
      <c r="BE12" s="21">
        <v>0.13400000000000001</v>
      </c>
      <c r="BF12" s="22">
        <v>2.8900000000000009E-2</v>
      </c>
      <c r="BG12" s="22">
        <v>-3.5439136838637504</v>
      </c>
      <c r="BH12" s="21">
        <v>0.13320000000000001</v>
      </c>
      <c r="BI12" s="22">
        <f t="shared" si="24"/>
        <v>2.8000000000000011E-2</v>
      </c>
      <c r="BJ12" s="22">
        <f t="shared" si="25"/>
        <v>-3.5755507688069326</v>
      </c>
      <c r="BK12" s="21">
        <v>0.14219999999999999</v>
      </c>
      <c r="BL12" s="22">
        <f t="shared" si="26"/>
        <v>3.6399999999999988E-2</v>
      </c>
      <c r="BM12" s="22">
        <f t="shared" si="27"/>
        <v>-3.3131865043394426</v>
      </c>
      <c r="BN12" s="46">
        <v>0.1237</v>
      </c>
      <c r="BO12" s="47">
        <v>1.5899999999999997E-2</v>
      </c>
      <c r="BP12" s="47">
        <v>-4.1414361697559512</v>
      </c>
      <c r="BQ12" s="46">
        <v>0.13150000000000001</v>
      </c>
      <c r="BR12" s="47">
        <f t="shared" si="28"/>
        <v>2.5700000000000001E-2</v>
      </c>
      <c r="BS12" s="47">
        <f t="shared" si="29"/>
        <v>-3.6612642870809631</v>
      </c>
      <c r="BT12" s="46">
        <v>0.13789999999999999</v>
      </c>
      <c r="BU12" s="47">
        <f t="shared" si="30"/>
        <v>2.9100000000000001E-2</v>
      </c>
      <c r="BV12" s="47">
        <f t="shared" si="31"/>
        <v>-3.5370171048046903</v>
      </c>
    </row>
    <row r="13" spans="1:76" x14ac:dyDescent="0.2">
      <c r="A13" s="11">
        <v>1.9025777777777777</v>
      </c>
      <c r="B13" s="11"/>
      <c r="C13" s="25">
        <v>0.1328</v>
      </c>
      <c r="D13" s="25">
        <v>2.76E-2</v>
      </c>
      <c r="E13" s="25">
        <v>-3.5899395062590327</v>
      </c>
      <c r="F13" s="25">
        <v>0.1048</v>
      </c>
      <c r="G13" s="25">
        <f t="shared" si="1"/>
        <v>4.0000000000000036E-3</v>
      </c>
      <c r="H13" s="25">
        <f t="shared" si="2"/>
        <v>-5.5214609178622451</v>
      </c>
      <c r="I13" s="25">
        <v>0.1517</v>
      </c>
      <c r="J13" s="25">
        <f t="shared" si="3"/>
        <v>4.4499999999999998E-2</v>
      </c>
      <c r="K13" s="25">
        <f t="shared" si="4"/>
        <v>-3.1122660898099426</v>
      </c>
      <c r="L13" s="31">
        <v>0.1298</v>
      </c>
      <c r="M13" s="31">
        <v>2.4199999999999999E-2</v>
      </c>
      <c r="N13" s="31">
        <v>-3.7214026458194964</v>
      </c>
      <c r="O13" s="31">
        <v>0.13220000000000001</v>
      </c>
      <c r="P13" s="31">
        <f t="shared" si="0"/>
        <v>2.7400000000000008E-2</v>
      </c>
      <c r="Q13" s="31">
        <f t="shared" si="5"/>
        <v>-3.5972122655881122</v>
      </c>
      <c r="R13" s="31">
        <v>0.14319999999999999</v>
      </c>
      <c r="S13" s="31">
        <f t="shared" si="6"/>
        <v>3.7199999999999997E-2</v>
      </c>
      <c r="T13" s="31">
        <f t="shared" si="7"/>
        <v>-3.2914465177030361</v>
      </c>
      <c r="U13" s="36">
        <v>0.1321</v>
      </c>
      <c r="V13" s="36">
        <v>2.679999999999999E-2</v>
      </c>
      <c r="W13" s="36">
        <v>-3.6193533914653262</v>
      </c>
      <c r="X13" s="36">
        <v>0.1343</v>
      </c>
      <c r="Y13" s="36">
        <f t="shared" si="8"/>
        <v>2.9700000000000004E-2</v>
      </c>
      <c r="Z13" s="36">
        <f t="shared" si="9"/>
        <v>-3.5166082331734829</v>
      </c>
      <c r="AA13" s="36">
        <v>0.14480000000000001</v>
      </c>
      <c r="AB13" s="34">
        <f t="shared" si="10"/>
        <v>3.9400000000000018E-2</v>
      </c>
      <c r="AC13" s="34">
        <f t="shared" si="11"/>
        <v>-3.2339894626782484</v>
      </c>
      <c r="AD13" s="38">
        <v>0.13669999999999999</v>
      </c>
      <c r="AE13" s="39">
        <v>3.1699999999999992E-2</v>
      </c>
      <c r="AF13" s="39">
        <v>-3.4514385980989024</v>
      </c>
      <c r="AG13" s="38">
        <v>0.1404</v>
      </c>
      <c r="AH13" s="39">
        <f t="shared" si="12"/>
        <v>3.49E-2</v>
      </c>
      <c r="AI13" s="39">
        <f t="shared" si="13"/>
        <v>-3.3552684497737557</v>
      </c>
      <c r="AJ13" s="38">
        <v>0.1462</v>
      </c>
      <c r="AK13" s="39">
        <f t="shared" si="14"/>
        <v>4.0300000000000002E-2</v>
      </c>
      <c r="AL13" s="39">
        <f t="shared" si="15"/>
        <v>-3.2114038100294997</v>
      </c>
      <c r="AM13" s="42">
        <v>0.13689999999999999</v>
      </c>
      <c r="AN13" s="43">
        <v>2.7499999999999997E-2</v>
      </c>
      <c r="AO13" s="43">
        <v>-3.5935692743096115</v>
      </c>
      <c r="AP13" s="42">
        <v>0.1404</v>
      </c>
      <c r="AQ13" s="43">
        <f t="shared" si="16"/>
        <v>3.4299999999999997E-2</v>
      </c>
      <c r="AR13" s="43">
        <f t="shared" si="17"/>
        <v>-3.3726099248102428</v>
      </c>
      <c r="AS13" s="42">
        <v>0.1474</v>
      </c>
      <c r="AT13" s="43">
        <f t="shared" si="18"/>
        <v>3.8699999999999998E-2</v>
      </c>
      <c r="AU13" s="43">
        <f t="shared" si="19"/>
        <v>-3.2519156789464008</v>
      </c>
      <c r="AV13" s="27">
        <v>0.15240000000000001</v>
      </c>
      <c r="AW13" s="28">
        <v>4.4100000000000014E-2</v>
      </c>
      <c r="AX13" s="28">
        <v>-3.1212954965293362</v>
      </c>
      <c r="AY13" s="27">
        <v>0.15140000000000001</v>
      </c>
      <c r="AZ13" s="28">
        <f t="shared" si="20"/>
        <v>4.4300000000000006E-2</v>
      </c>
      <c r="BA13" s="28">
        <f t="shared" si="21"/>
        <v>-3.116770601931047</v>
      </c>
      <c r="BB13" s="27">
        <v>0.17119999999999999</v>
      </c>
      <c r="BC13" s="28">
        <f t="shared" si="22"/>
        <v>4.8899999999999985E-2</v>
      </c>
      <c r="BD13" s="28">
        <f t="shared" si="23"/>
        <v>-3.0179778825013108</v>
      </c>
      <c r="BE13" s="21">
        <v>0.1517</v>
      </c>
      <c r="BF13" s="22">
        <v>4.6600000000000003E-2</v>
      </c>
      <c r="BG13" s="22">
        <v>-3.0661547378505367</v>
      </c>
      <c r="BH13" s="21">
        <v>0.15409999999999999</v>
      </c>
      <c r="BI13" s="22">
        <f t="shared" si="24"/>
        <v>4.8899999999999985E-2</v>
      </c>
      <c r="BJ13" s="22">
        <f t="shared" si="25"/>
        <v>-3.0179778825013108</v>
      </c>
      <c r="BK13" s="21">
        <v>0.16850000000000001</v>
      </c>
      <c r="BL13" s="22">
        <f t="shared" si="26"/>
        <v>6.2700000000000006E-2</v>
      </c>
      <c r="BM13" s="22">
        <f t="shared" si="27"/>
        <v>-2.7693938313432618</v>
      </c>
      <c r="BN13" s="46">
        <v>0.1406</v>
      </c>
      <c r="BO13" s="47">
        <v>3.2799999999999996E-2</v>
      </c>
      <c r="BP13" s="47">
        <v>-3.417326763592039</v>
      </c>
      <c r="BQ13" s="46">
        <v>0.15110000000000001</v>
      </c>
      <c r="BR13" s="47">
        <f t="shared" si="28"/>
        <v>4.5300000000000007E-2</v>
      </c>
      <c r="BS13" s="47">
        <f t="shared" si="29"/>
        <v>-3.0944482464931484</v>
      </c>
      <c r="BT13" s="46">
        <v>0.16009999999999999</v>
      </c>
      <c r="BU13" s="47">
        <f t="shared" si="30"/>
        <v>5.1299999999999998E-2</v>
      </c>
      <c r="BV13" s="47">
        <f t="shared" si="31"/>
        <v>-2.9700645268054133</v>
      </c>
    </row>
    <row r="14" spans="1:76" x14ac:dyDescent="0.2">
      <c r="A14" s="11">
        <v>2.1403772222222224</v>
      </c>
      <c r="B14" s="11"/>
      <c r="C14" s="25">
        <v>0.14460000000000001</v>
      </c>
      <c r="D14" s="25">
        <v>3.9400000000000004E-2</v>
      </c>
      <c r="E14" s="25">
        <v>-3.2339894626782488</v>
      </c>
      <c r="F14" s="25">
        <v>0.107</v>
      </c>
      <c r="G14" s="25">
        <f t="shared" si="1"/>
        <v>6.1999999999999972E-3</v>
      </c>
      <c r="H14" s="25">
        <f t="shared" si="2"/>
        <v>-5.0832059869310919</v>
      </c>
      <c r="I14" s="25">
        <v>0.16930000000000001</v>
      </c>
      <c r="J14" s="25">
        <f t="shared" si="3"/>
        <v>6.2100000000000002E-2</v>
      </c>
      <c r="K14" s="25">
        <f t="shared" si="4"/>
        <v>-2.7790092900427039</v>
      </c>
      <c r="L14" s="31">
        <v>0.13900000000000001</v>
      </c>
      <c r="M14" s="31">
        <v>3.3400000000000013E-2</v>
      </c>
      <c r="N14" s="31">
        <v>-3.3991993789994819</v>
      </c>
      <c r="O14" s="31">
        <v>0.1462</v>
      </c>
      <c r="P14" s="31">
        <f t="shared" si="0"/>
        <v>4.1399999999999992E-2</v>
      </c>
      <c r="Q14" s="31">
        <f t="shared" si="5"/>
        <v>-3.1844743981508685</v>
      </c>
      <c r="R14" s="31">
        <v>0.16439999999999999</v>
      </c>
      <c r="S14" s="31">
        <f t="shared" si="6"/>
        <v>5.8399999999999994E-2</v>
      </c>
      <c r="T14" s="31">
        <f t="shared" si="7"/>
        <v>-2.8404393891479556</v>
      </c>
      <c r="U14" s="36">
        <v>0.14349999999999999</v>
      </c>
      <c r="V14" s="36">
        <v>3.8199999999999984E-2</v>
      </c>
      <c r="W14" s="36">
        <v>-3.2649197633696079</v>
      </c>
      <c r="X14" s="36">
        <v>0.14810000000000001</v>
      </c>
      <c r="Y14" s="36">
        <f t="shared" si="8"/>
        <v>4.3500000000000011E-2</v>
      </c>
      <c r="Z14" s="36">
        <f t="shared" si="9"/>
        <v>-3.1349943408874985</v>
      </c>
      <c r="AA14" s="36">
        <v>0.16650000000000001</v>
      </c>
      <c r="AB14" s="34">
        <f t="shared" si="10"/>
        <v>6.1100000000000015E-2</v>
      </c>
      <c r="AC14" s="34">
        <f t="shared" si="11"/>
        <v>-2.7952434128045871</v>
      </c>
      <c r="AD14" s="38">
        <v>0.1477</v>
      </c>
      <c r="AE14" s="39">
        <v>4.2700000000000002E-2</v>
      </c>
      <c r="AF14" s="39">
        <v>-3.1535563587475584</v>
      </c>
      <c r="AG14" s="38">
        <v>0.15659999999999999</v>
      </c>
      <c r="AH14" s="39">
        <f t="shared" si="12"/>
        <v>5.1099999999999993E-2</v>
      </c>
      <c r="AI14" s="39">
        <f t="shared" si="13"/>
        <v>-2.9739707817724783</v>
      </c>
      <c r="AJ14" s="38">
        <v>0.16919999999999999</v>
      </c>
      <c r="AK14" s="39">
        <f t="shared" si="14"/>
        <v>6.3299999999999995E-2</v>
      </c>
      <c r="AL14" s="39">
        <f t="shared" si="15"/>
        <v>-2.7598699498320065</v>
      </c>
      <c r="AM14" s="42">
        <v>0.1487</v>
      </c>
      <c r="AN14" s="43">
        <v>3.9300000000000002E-2</v>
      </c>
      <c r="AO14" s="43">
        <v>-3.2365307601069215</v>
      </c>
      <c r="AP14" s="42">
        <v>0.15459999999999999</v>
      </c>
      <c r="AQ14" s="43">
        <f t="shared" si="16"/>
        <v>4.8499999999999988E-2</v>
      </c>
      <c r="AR14" s="43">
        <f t="shared" si="17"/>
        <v>-3.0261914810386998</v>
      </c>
      <c r="AS14" s="42">
        <v>0.16950000000000001</v>
      </c>
      <c r="AT14" s="43">
        <f t="shared" si="18"/>
        <v>6.0800000000000007E-2</v>
      </c>
      <c r="AU14" s="43">
        <f t="shared" si="19"/>
        <v>-2.8001654900100155</v>
      </c>
      <c r="AV14" s="27">
        <v>0.16839999999999999</v>
      </c>
      <c r="AW14" s="28">
        <v>6.0100000000000001E-2</v>
      </c>
      <c r="AX14" s="28">
        <v>-2.8117454374409752</v>
      </c>
      <c r="AY14" s="27">
        <v>0.16889999999999999</v>
      </c>
      <c r="AZ14" s="28">
        <f t="shared" si="20"/>
        <v>6.1799999999999994E-2</v>
      </c>
      <c r="BA14" s="28">
        <f t="shared" si="21"/>
        <v>-2.7838519145184919</v>
      </c>
      <c r="BB14" s="27">
        <v>0.2044</v>
      </c>
      <c r="BC14" s="28">
        <f t="shared" si="22"/>
        <v>8.2099999999999992E-2</v>
      </c>
      <c r="BD14" s="28">
        <f t="shared" si="23"/>
        <v>-2.4998172625237545</v>
      </c>
      <c r="BE14" s="21">
        <v>0.1731</v>
      </c>
      <c r="BF14" s="22">
        <v>6.8000000000000005E-2</v>
      </c>
      <c r="BG14" s="22">
        <v>-2.6882475738060303</v>
      </c>
      <c r="BH14" s="21">
        <v>0.18079999999999999</v>
      </c>
      <c r="BI14" s="22">
        <f t="shared" si="24"/>
        <v>7.5599999999999987E-2</v>
      </c>
      <c r="BJ14" s="22">
        <f t="shared" si="25"/>
        <v>-2.5822989957966498</v>
      </c>
      <c r="BK14" s="21">
        <v>0.20760000000000001</v>
      </c>
      <c r="BL14" s="22">
        <f t="shared" si="26"/>
        <v>0.1018</v>
      </c>
      <c r="BM14" s="22">
        <f t="shared" si="27"/>
        <v>-2.2847451748657148</v>
      </c>
      <c r="BN14" s="46">
        <v>0.16309999999999999</v>
      </c>
      <c r="BO14" s="47">
        <v>5.5299999999999988E-2</v>
      </c>
      <c r="BP14" s="47">
        <v>-2.8949823704538482</v>
      </c>
      <c r="BQ14" s="46">
        <v>0.1769</v>
      </c>
      <c r="BR14" s="47">
        <f t="shared" si="28"/>
        <v>7.1099999999999997E-2</v>
      </c>
      <c r="BS14" s="47">
        <f t="shared" si="29"/>
        <v>-2.6436679421729421</v>
      </c>
      <c r="BT14" s="46">
        <v>0.19320000000000001</v>
      </c>
      <c r="BU14" s="47">
        <f t="shared" si="30"/>
        <v>8.4400000000000017E-2</v>
      </c>
      <c r="BV14" s="47">
        <f t="shared" si="31"/>
        <v>-2.4721878773802253</v>
      </c>
    </row>
    <row r="15" spans="1:76" x14ac:dyDescent="0.2">
      <c r="A15" s="10">
        <v>2.3782172222222222</v>
      </c>
      <c r="B15" s="10"/>
      <c r="C15" s="26">
        <v>0.15570000000000001</v>
      </c>
      <c r="D15" s="26">
        <v>5.0500000000000003E-2</v>
      </c>
      <c r="E15" s="26">
        <v>-2.985781942700823</v>
      </c>
      <c r="F15" s="26">
        <v>0.10920000000000001</v>
      </c>
      <c r="G15" s="26">
        <f t="shared" si="1"/>
        <v>8.4000000000000047E-3</v>
      </c>
      <c r="H15" s="26">
        <f t="shared" si="2"/>
        <v>-4.7795235731328685</v>
      </c>
      <c r="I15" s="26">
        <v>0.1925</v>
      </c>
      <c r="J15" s="26">
        <f t="shared" si="3"/>
        <v>8.5300000000000001E-2</v>
      </c>
      <c r="K15" s="26">
        <f t="shared" si="4"/>
        <v>-2.4615808244845034</v>
      </c>
      <c r="L15" s="32">
        <v>0.14899999999999999</v>
      </c>
      <c r="M15" s="32">
        <v>4.3399999999999994E-2</v>
      </c>
      <c r="N15" s="32">
        <v>-3.137295837875778</v>
      </c>
      <c r="O15" s="32">
        <v>0.1585</v>
      </c>
      <c r="P15" s="32">
        <f t="shared" si="0"/>
        <v>5.3699999999999998E-2</v>
      </c>
      <c r="Q15" s="32">
        <f t="shared" si="5"/>
        <v>-2.9243422774673182</v>
      </c>
      <c r="R15" s="32">
        <v>0.184</v>
      </c>
      <c r="S15" s="32">
        <f t="shared" si="6"/>
        <v>7.8E-2</v>
      </c>
      <c r="T15" s="32">
        <f t="shared" si="7"/>
        <v>-2.5510464522925451</v>
      </c>
      <c r="U15" s="37">
        <v>0.15229999999999999</v>
      </c>
      <c r="V15" s="37">
        <v>4.6999999999999986E-2</v>
      </c>
      <c r="W15" s="37">
        <v>-3.0576076772720788</v>
      </c>
      <c r="X15" s="37">
        <v>0.15989999999999999</v>
      </c>
      <c r="Y15" s="37">
        <f t="shared" si="8"/>
        <v>5.5299999999999988E-2</v>
      </c>
      <c r="Z15" s="37">
        <f t="shared" si="9"/>
        <v>-2.8949823704538482</v>
      </c>
      <c r="AA15" s="37">
        <v>0.1865</v>
      </c>
      <c r="AB15" s="37">
        <f t="shared" si="10"/>
        <v>8.1100000000000005E-2</v>
      </c>
      <c r="AC15" s="37">
        <f t="shared" si="11"/>
        <v>-2.5120723178607696</v>
      </c>
      <c r="AD15" s="41">
        <v>0.1552</v>
      </c>
      <c r="AE15" s="41">
        <v>5.0200000000000009E-2</v>
      </c>
      <c r="AF15" s="41">
        <v>-2.9917402522844534</v>
      </c>
      <c r="AG15" s="41">
        <v>0.1706</v>
      </c>
      <c r="AH15" s="41">
        <f t="shared" si="12"/>
        <v>6.5100000000000005E-2</v>
      </c>
      <c r="AI15" s="41">
        <f t="shared" si="13"/>
        <v>-2.7318307297676134</v>
      </c>
      <c r="AJ15" s="41">
        <v>0.1885</v>
      </c>
      <c r="AK15" s="41">
        <f t="shared" si="14"/>
        <v>8.2600000000000007E-2</v>
      </c>
      <c r="AL15" s="41">
        <f t="shared" si="15"/>
        <v>-2.4937455984552046</v>
      </c>
      <c r="AM15" s="45">
        <v>0.1547</v>
      </c>
      <c r="AN15" s="45">
        <v>4.5300000000000007E-2</v>
      </c>
      <c r="AO15" s="45">
        <v>-3.0944482464931484</v>
      </c>
      <c r="AP15" s="45">
        <v>0.16650000000000001</v>
      </c>
      <c r="AQ15" s="45">
        <f t="shared" si="16"/>
        <v>6.0400000000000009E-2</v>
      </c>
      <c r="AR15" s="45">
        <f t="shared" si="17"/>
        <v>-2.8067661740413676</v>
      </c>
      <c r="AS15" s="45">
        <v>0.188</v>
      </c>
      <c r="AT15" s="45">
        <f t="shared" si="18"/>
        <v>7.9299999999999995E-2</v>
      </c>
      <c r="AU15" s="45">
        <f t="shared" si="19"/>
        <v>-2.5345171503413346</v>
      </c>
      <c r="AV15" s="32">
        <v>0.18110000000000001</v>
      </c>
      <c r="AW15" s="32">
        <v>7.2800000000000017E-2</v>
      </c>
      <c r="AX15" s="32">
        <v>-2.6200393237794963</v>
      </c>
      <c r="AY15" s="32">
        <v>0.18440000000000001</v>
      </c>
      <c r="AZ15" s="32">
        <f t="shared" si="20"/>
        <v>7.7300000000000008E-2</v>
      </c>
      <c r="BA15" s="32">
        <f t="shared" si="21"/>
        <v>-2.5600613233887608</v>
      </c>
      <c r="BB15" s="32">
        <v>0.23050000000000001</v>
      </c>
      <c r="BC15" s="32">
        <f t="shared" si="22"/>
        <v>0.1082</v>
      </c>
      <c r="BD15" s="28">
        <f t="shared" si="23"/>
        <v>-2.2237739125697558</v>
      </c>
      <c r="BE15" s="26">
        <v>0.1835</v>
      </c>
      <c r="BF15" s="26">
        <v>7.8399999999999997E-2</v>
      </c>
      <c r="BG15" s="26">
        <v>-2.5459313516257751</v>
      </c>
      <c r="BH15" s="26">
        <v>0.2044</v>
      </c>
      <c r="BI15" s="26">
        <f t="shared" si="24"/>
        <v>9.9199999999999997E-2</v>
      </c>
      <c r="BJ15" s="26">
        <f t="shared" si="25"/>
        <v>-2.3106172646913099</v>
      </c>
      <c r="BK15" s="26">
        <v>0.24970000000000001</v>
      </c>
      <c r="BL15" s="26">
        <f t="shared" si="26"/>
        <v>0.1439</v>
      </c>
      <c r="BM15" s="26">
        <f t="shared" si="27"/>
        <v>-1.9386366650888149</v>
      </c>
      <c r="BN15" s="49">
        <v>0.1666</v>
      </c>
      <c r="BO15" s="49">
        <v>5.8799999999999991E-2</v>
      </c>
      <c r="BP15" s="49">
        <v>-2.8336134240775559</v>
      </c>
      <c r="BQ15" s="49">
        <v>0.20169999999999999</v>
      </c>
      <c r="BR15" s="49">
        <f t="shared" si="28"/>
        <v>9.5899999999999985E-2</v>
      </c>
      <c r="BS15" s="49">
        <f t="shared" si="29"/>
        <v>-2.3444492970927446</v>
      </c>
      <c r="BT15" s="49">
        <v>0.2298</v>
      </c>
      <c r="BU15" s="49">
        <f t="shared" si="30"/>
        <v>0.12100000000000001</v>
      </c>
      <c r="BV15" s="49">
        <f t="shared" si="31"/>
        <v>-2.1119647333853959</v>
      </c>
      <c r="BW15" s="10"/>
      <c r="BX15" s="10"/>
    </row>
    <row r="16" spans="1:76" x14ac:dyDescent="0.2">
      <c r="A16" s="11">
        <v>2.6159794444444442</v>
      </c>
      <c r="B16" s="11"/>
      <c r="C16" s="25">
        <v>0.18540000000000001</v>
      </c>
      <c r="D16" s="25">
        <v>8.0200000000000007E-2</v>
      </c>
      <c r="E16" s="25">
        <v>-2.523231764109668</v>
      </c>
      <c r="F16" s="25">
        <v>0.1138</v>
      </c>
      <c r="G16" s="25">
        <f t="shared" si="1"/>
        <v>1.2999999999999998E-2</v>
      </c>
      <c r="H16" s="25">
        <f t="shared" si="2"/>
        <v>-4.3428059215206005</v>
      </c>
      <c r="I16" s="25">
        <v>0.24579999999999999</v>
      </c>
      <c r="J16" s="25">
        <f t="shared" si="3"/>
        <v>0.1386</v>
      </c>
      <c r="K16" s="25">
        <f t="shared" si="4"/>
        <v>-1.9761631922263343</v>
      </c>
      <c r="L16" s="31">
        <v>0.1744</v>
      </c>
      <c r="M16" s="31">
        <v>6.88E-2</v>
      </c>
      <c r="N16" s="31">
        <v>-2.6765515340428392</v>
      </c>
      <c r="O16" s="31">
        <v>0.18820000000000001</v>
      </c>
      <c r="P16" s="31">
        <f t="shared" si="0"/>
        <v>8.3400000000000002E-2</v>
      </c>
      <c r="Q16" s="31">
        <f t="shared" si="5"/>
        <v>-2.4841069696174358</v>
      </c>
      <c r="R16" s="31">
        <v>0.22700000000000001</v>
      </c>
      <c r="S16" s="31">
        <f t="shared" si="6"/>
        <v>0.12100000000000001</v>
      </c>
      <c r="T16" s="31">
        <f t="shared" si="7"/>
        <v>-2.1119647333853959</v>
      </c>
      <c r="U16" s="36">
        <v>0.17799999999999999</v>
      </c>
      <c r="V16" s="36">
        <v>7.2699999999999987E-2</v>
      </c>
      <c r="W16" s="36">
        <v>-2.6214138944426635</v>
      </c>
      <c r="X16" s="36">
        <v>0.18970000000000001</v>
      </c>
      <c r="Y16" s="36">
        <f t="shared" si="8"/>
        <v>8.5100000000000009E-2</v>
      </c>
      <c r="Z16" s="36">
        <f t="shared" si="9"/>
        <v>-2.4639282434028087</v>
      </c>
      <c r="AA16" s="36">
        <v>0.2321</v>
      </c>
      <c r="AB16" s="34">
        <f t="shared" si="10"/>
        <v>0.12670000000000001</v>
      </c>
      <c r="AC16" s="34">
        <f t="shared" si="11"/>
        <v>-2.0659331916550436</v>
      </c>
      <c r="AD16" s="38">
        <v>0.18110000000000001</v>
      </c>
      <c r="AE16" s="39">
        <v>7.6100000000000015E-2</v>
      </c>
      <c r="AF16" s="39">
        <v>-2.5757070141144967</v>
      </c>
      <c r="AG16" s="38">
        <v>0.20469999999999999</v>
      </c>
      <c r="AH16" s="39">
        <f t="shared" si="12"/>
        <v>9.9199999999999997E-2</v>
      </c>
      <c r="AI16" s="39">
        <f t="shared" si="13"/>
        <v>-2.3106172646913099</v>
      </c>
      <c r="AJ16" s="38">
        <v>0.23430000000000001</v>
      </c>
      <c r="AK16" s="39">
        <f t="shared" si="14"/>
        <v>0.12840000000000001</v>
      </c>
      <c r="AL16" s="39">
        <f t="shared" si="15"/>
        <v>-2.0526048877262761</v>
      </c>
      <c r="AM16" s="42">
        <v>0.1817</v>
      </c>
      <c r="AN16" s="43">
        <v>7.2300000000000003E-2</v>
      </c>
      <c r="AO16" s="43">
        <v>-2.6269311498174179</v>
      </c>
      <c r="AP16" s="42">
        <v>0.19839999999999999</v>
      </c>
      <c r="AQ16" s="43">
        <f t="shared" si="16"/>
        <v>9.2299999999999993E-2</v>
      </c>
      <c r="AR16" s="43">
        <f t="shared" si="17"/>
        <v>-2.3827111374733305</v>
      </c>
      <c r="AS16" s="42">
        <v>0.23350000000000001</v>
      </c>
      <c r="AT16" s="43">
        <f t="shared" si="18"/>
        <v>0.12480000000000001</v>
      </c>
      <c r="AU16" s="43">
        <f t="shared" si="19"/>
        <v>-2.0810428230468099</v>
      </c>
      <c r="AV16" s="27">
        <v>0.21479999999999999</v>
      </c>
      <c r="AW16" s="28">
        <v>0.1065</v>
      </c>
      <c r="AX16" s="28">
        <v>-2.2396102938326572</v>
      </c>
      <c r="AY16" s="27">
        <v>0.22370000000000001</v>
      </c>
      <c r="AZ16" s="28">
        <f t="shared" si="20"/>
        <v>0.11660000000000001</v>
      </c>
      <c r="BA16" s="28">
        <f t="shared" si="21"/>
        <v>-2.1490060050657451</v>
      </c>
      <c r="BB16" s="27">
        <v>0.29470000000000002</v>
      </c>
      <c r="BC16" s="28">
        <f t="shared" si="22"/>
        <v>0.1724</v>
      </c>
      <c r="BD16" s="28">
        <f t="shared" si="23"/>
        <v>-1.7579379207525443</v>
      </c>
      <c r="BE16" s="21">
        <v>0.2276</v>
      </c>
      <c r="BF16" s="22">
        <v>0.1225</v>
      </c>
      <c r="BG16" s="22">
        <v>-2.0996442489973552</v>
      </c>
      <c r="BH16" s="21">
        <v>0.26229999999999998</v>
      </c>
      <c r="BI16" s="22">
        <f t="shared" si="24"/>
        <v>0.15709999999999996</v>
      </c>
      <c r="BJ16" s="22">
        <f t="shared" si="25"/>
        <v>-1.8508727337205617</v>
      </c>
      <c r="BK16" s="21">
        <v>0.31950000000000001</v>
      </c>
      <c r="BL16" s="22">
        <f t="shared" si="26"/>
        <v>0.2137</v>
      </c>
      <c r="BM16" s="22">
        <f t="shared" si="27"/>
        <v>-1.5431821166570352</v>
      </c>
      <c r="BN16" s="46">
        <v>0.2087</v>
      </c>
      <c r="BO16" s="47">
        <v>0.10089999999999999</v>
      </c>
      <c r="BP16" s="47">
        <v>-2.2936253516225737</v>
      </c>
      <c r="BQ16" s="46">
        <v>0.26100000000000001</v>
      </c>
      <c r="BR16" s="47">
        <f t="shared" si="28"/>
        <v>0.1552</v>
      </c>
      <c r="BS16" s="47">
        <f t="shared" si="29"/>
        <v>-1.8630406712330188</v>
      </c>
      <c r="BT16" s="46">
        <v>0.29930000000000001</v>
      </c>
      <c r="BU16" s="47">
        <f t="shared" si="30"/>
        <v>0.1905</v>
      </c>
      <c r="BV16" s="47">
        <f t="shared" si="31"/>
        <v>-1.6581030844153815</v>
      </c>
    </row>
    <row r="17" spans="1:74" x14ac:dyDescent="0.2">
      <c r="A17">
        <v>2.8537316666666666</v>
      </c>
      <c r="C17" s="21">
        <v>0.22090000000000001</v>
      </c>
      <c r="D17" s="22">
        <v>0.11570000000000001</v>
      </c>
      <c r="E17" s="22">
        <v>-2.1567546447825059</v>
      </c>
      <c r="F17" s="21">
        <v>0.12180000000000001</v>
      </c>
      <c r="G17" s="22">
        <f t="shared" si="1"/>
        <v>2.1000000000000005E-2</v>
      </c>
      <c r="H17" s="22">
        <f t="shared" si="2"/>
        <v>-3.8632328412587138</v>
      </c>
      <c r="I17" s="21">
        <v>0.2984</v>
      </c>
      <c r="J17" s="22">
        <f t="shared" si="3"/>
        <v>0.19119999999999998</v>
      </c>
      <c r="K17" s="22">
        <f t="shared" si="4"/>
        <v>-1.6544352783648362</v>
      </c>
      <c r="L17" s="27">
        <v>0.20280000000000001</v>
      </c>
      <c r="M17" s="28">
        <v>9.7200000000000009E-2</v>
      </c>
      <c r="N17" s="28">
        <v>-2.3309845675157437</v>
      </c>
      <c r="O17" s="27">
        <v>0.23350000000000001</v>
      </c>
      <c r="P17" s="28">
        <f t="shared" si="0"/>
        <v>0.12870000000000001</v>
      </c>
      <c r="Q17" s="28">
        <f t="shared" si="5"/>
        <v>-2.0502711643800562</v>
      </c>
      <c r="R17" s="27">
        <v>0.29089999999999999</v>
      </c>
      <c r="S17" s="28">
        <f t="shared" si="6"/>
        <v>0.18490000000000001</v>
      </c>
      <c r="T17" s="28">
        <f t="shared" si="7"/>
        <v>-1.6879401405890579</v>
      </c>
      <c r="U17" s="33">
        <v>0.20910000000000001</v>
      </c>
      <c r="V17" s="34">
        <v>0.1038</v>
      </c>
      <c r="W17" s="34">
        <v>-2.2652893082503489</v>
      </c>
      <c r="X17" s="33">
        <v>0.23230000000000001</v>
      </c>
      <c r="Y17" s="34">
        <f t="shared" si="8"/>
        <v>0.12770000000000001</v>
      </c>
      <c r="Z17" s="34">
        <f t="shared" si="9"/>
        <v>-2.0580715159436433</v>
      </c>
      <c r="AA17" s="33">
        <v>0.29360000000000003</v>
      </c>
      <c r="AB17" s="34">
        <f t="shared" si="10"/>
        <v>0.18820000000000003</v>
      </c>
      <c r="AC17" s="34">
        <f t="shared" si="11"/>
        <v>-1.6702500518308576</v>
      </c>
      <c r="AD17" s="38">
        <v>0.21029999999999999</v>
      </c>
      <c r="AE17" s="39">
        <v>0.10529999999999999</v>
      </c>
      <c r="AF17" s="39">
        <v>-2.2509418598422073</v>
      </c>
      <c r="AG17" s="38">
        <v>0.24990000000000001</v>
      </c>
      <c r="AH17" s="39">
        <f t="shared" si="12"/>
        <v>0.14440000000000003</v>
      </c>
      <c r="AI17" s="39">
        <f t="shared" si="13"/>
        <v>-1.935168052523411</v>
      </c>
      <c r="AJ17" s="38">
        <v>0.29659999999999997</v>
      </c>
      <c r="AK17" s="39">
        <f t="shared" si="14"/>
        <v>0.19069999999999998</v>
      </c>
      <c r="AL17" s="39">
        <f t="shared" si="15"/>
        <v>-1.6570537663757638</v>
      </c>
      <c r="AM17" s="42">
        <v>0.2089</v>
      </c>
      <c r="AN17" s="43">
        <v>9.9500000000000005E-2</v>
      </c>
      <c r="AO17" s="43">
        <v>-2.3075976348175899</v>
      </c>
      <c r="AP17" s="42">
        <v>0.23630000000000001</v>
      </c>
      <c r="AQ17" s="43">
        <f t="shared" si="16"/>
        <v>0.13020000000000001</v>
      </c>
      <c r="AR17" s="43">
        <f t="shared" si="17"/>
        <v>-2.038683549207668</v>
      </c>
      <c r="AS17" s="42">
        <v>0.29260000000000003</v>
      </c>
      <c r="AT17" s="43">
        <f t="shared" si="18"/>
        <v>0.18390000000000001</v>
      </c>
      <c r="AU17" s="43">
        <f t="shared" si="19"/>
        <v>-1.6933631473718616</v>
      </c>
      <c r="AV17" s="27">
        <v>0.25240000000000001</v>
      </c>
      <c r="AW17" s="28">
        <v>0.14410000000000001</v>
      </c>
      <c r="AX17" s="28">
        <v>-1.9372477759766606</v>
      </c>
      <c r="AY17" s="27">
        <v>0.2702</v>
      </c>
      <c r="AZ17" s="28">
        <f t="shared" si="20"/>
        <v>0.16309999999999999</v>
      </c>
      <c r="BA17" s="28">
        <f t="shared" si="21"/>
        <v>-1.8133917693551689</v>
      </c>
      <c r="BB17" s="27">
        <v>0.3301</v>
      </c>
      <c r="BC17" s="28">
        <f t="shared" si="22"/>
        <v>0.20779999999999998</v>
      </c>
      <c r="BD17" s="28">
        <f t="shared" si="23"/>
        <v>-1.5711792003170102</v>
      </c>
      <c r="BE17" s="21">
        <v>0.26240000000000002</v>
      </c>
      <c r="BF17" s="22">
        <v>0.15730000000000002</v>
      </c>
      <c r="BG17" s="22">
        <v>-1.8496004689179049</v>
      </c>
      <c r="BH17" s="21">
        <v>0.3039</v>
      </c>
      <c r="BI17" s="22">
        <f t="shared" si="24"/>
        <v>0.19869999999999999</v>
      </c>
      <c r="BJ17" s="22">
        <f t="shared" si="25"/>
        <v>-1.615959129424366</v>
      </c>
      <c r="BK17" s="21">
        <v>0.35189999999999999</v>
      </c>
      <c r="BL17" s="22">
        <f t="shared" si="26"/>
        <v>0.24609999999999999</v>
      </c>
      <c r="BM17" s="22">
        <f t="shared" si="27"/>
        <v>-1.402017321585127</v>
      </c>
      <c r="BN17" s="46">
        <v>0.2414</v>
      </c>
      <c r="BO17" s="47">
        <v>0.1336</v>
      </c>
      <c r="BP17" s="47">
        <v>-2.0129050178795915</v>
      </c>
      <c r="BQ17" s="46">
        <v>0.30499999999999999</v>
      </c>
      <c r="BR17" s="47">
        <f t="shared" si="28"/>
        <v>0.19919999999999999</v>
      </c>
      <c r="BS17" s="47">
        <f t="shared" si="29"/>
        <v>-1.6134459338316391</v>
      </c>
      <c r="BT17" s="46">
        <v>0.35270000000000001</v>
      </c>
      <c r="BU17" s="47">
        <f t="shared" si="30"/>
        <v>0.24390000000000001</v>
      </c>
      <c r="BV17" s="47">
        <f t="shared" si="31"/>
        <v>-1.4109969737602623</v>
      </c>
    </row>
    <row r="18" spans="1:74" x14ac:dyDescent="0.2">
      <c r="A18">
        <v>3.0915727777777779</v>
      </c>
      <c r="C18" s="21">
        <v>0.28489999999999999</v>
      </c>
      <c r="D18" s="22">
        <v>0.17969999999999997</v>
      </c>
      <c r="E18" s="22">
        <v>-1.7164664851926239</v>
      </c>
      <c r="F18" s="21">
        <v>0.13450000000000001</v>
      </c>
      <c r="G18" s="22">
        <f t="shared" si="1"/>
        <v>3.3700000000000008E-2</v>
      </c>
      <c r="H18" s="22">
        <f t="shared" si="2"/>
        <v>-3.3902574416238207</v>
      </c>
      <c r="I18" s="21">
        <v>0.36659999999999998</v>
      </c>
      <c r="J18" s="22">
        <f t="shared" si="3"/>
        <v>0.25939999999999996</v>
      </c>
      <c r="K18" s="22">
        <f t="shared" si="4"/>
        <v>-1.3493840070997938</v>
      </c>
      <c r="L18" s="27">
        <v>0.25419999999999998</v>
      </c>
      <c r="M18" s="28">
        <v>0.14859999999999998</v>
      </c>
      <c r="N18" s="28">
        <v>-1.9064971466984784</v>
      </c>
      <c r="O18" s="27">
        <v>0.30299999999999999</v>
      </c>
      <c r="P18" s="28">
        <f t="shared" si="0"/>
        <v>0.19819999999999999</v>
      </c>
      <c r="Q18" s="28">
        <f t="shared" si="5"/>
        <v>-1.6184786570862495</v>
      </c>
      <c r="R18" s="27">
        <v>0.34699999999999998</v>
      </c>
      <c r="S18" s="28">
        <f t="shared" si="6"/>
        <v>0.24099999999999999</v>
      </c>
      <c r="T18" s="28">
        <f t="shared" si="7"/>
        <v>-1.422958345491482</v>
      </c>
      <c r="U18" s="33">
        <v>0.25829999999999997</v>
      </c>
      <c r="V18" s="34">
        <v>0.15299999999999997</v>
      </c>
      <c r="W18" s="34">
        <v>-1.8773173575897018</v>
      </c>
      <c r="X18" s="33">
        <v>0.30280000000000001</v>
      </c>
      <c r="Y18" s="34">
        <f t="shared" si="8"/>
        <v>0.19820000000000002</v>
      </c>
      <c r="Z18" s="34">
        <f t="shared" si="9"/>
        <v>-1.6184786570862493</v>
      </c>
      <c r="AA18" s="33">
        <v>0.3422</v>
      </c>
      <c r="AB18" s="34">
        <f t="shared" si="10"/>
        <v>0.23680000000000001</v>
      </c>
      <c r="AC18" s="34">
        <f t="shared" si="11"/>
        <v>-1.4405393759722864</v>
      </c>
      <c r="AD18" s="38">
        <v>0.26090000000000002</v>
      </c>
      <c r="AE18" s="39">
        <v>0.15590000000000004</v>
      </c>
      <c r="AF18" s="39">
        <v>-1.8585405029184059</v>
      </c>
      <c r="AG18" s="38">
        <v>0.31540000000000001</v>
      </c>
      <c r="AH18" s="39">
        <f t="shared" si="12"/>
        <v>0.20990000000000003</v>
      </c>
      <c r="AI18" s="39">
        <f t="shared" si="13"/>
        <v>-1.5611240521555496</v>
      </c>
      <c r="AJ18" s="38">
        <v>0.34179999999999999</v>
      </c>
      <c r="AK18" s="39">
        <f t="shared" si="14"/>
        <v>0.2359</v>
      </c>
      <c r="AL18" s="39">
        <f t="shared" si="15"/>
        <v>-1.4443472925685077</v>
      </c>
      <c r="AM18" s="42">
        <v>0.2631</v>
      </c>
      <c r="AN18" s="43">
        <v>0.1537</v>
      </c>
      <c r="AO18" s="43">
        <v>-1.8727526284375868</v>
      </c>
      <c r="AP18" s="42">
        <v>0.30530000000000002</v>
      </c>
      <c r="AQ18" s="43">
        <f t="shared" si="16"/>
        <v>0.19920000000000002</v>
      </c>
      <c r="AR18" s="43">
        <f t="shared" si="17"/>
        <v>-1.6134459338316391</v>
      </c>
      <c r="AS18" s="42">
        <v>0.33739999999999998</v>
      </c>
      <c r="AT18" s="43">
        <f t="shared" si="18"/>
        <v>0.22869999999999996</v>
      </c>
      <c r="AU18" s="43">
        <f t="shared" si="19"/>
        <v>-1.4753441779534018</v>
      </c>
      <c r="AV18" s="27">
        <v>0.30740000000000001</v>
      </c>
      <c r="AW18" s="28">
        <v>0.1991</v>
      </c>
      <c r="AX18" s="28">
        <v>-1.6139480679119864</v>
      </c>
      <c r="AY18" s="27">
        <v>0.32219999999999999</v>
      </c>
      <c r="AZ18" s="28">
        <f t="shared" si="20"/>
        <v>0.21509999999999999</v>
      </c>
      <c r="BA18" s="28">
        <f t="shared" si="21"/>
        <v>-1.5366522427084528</v>
      </c>
      <c r="BB18" s="27">
        <v>0.39450000000000002</v>
      </c>
      <c r="BC18" s="28">
        <f t="shared" si="22"/>
        <v>0.2722</v>
      </c>
      <c r="BD18" s="28">
        <f t="shared" si="23"/>
        <v>-1.3012181887647714</v>
      </c>
      <c r="BE18" s="21">
        <v>0.34300000000000003</v>
      </c>
      <c r="BF18" s="22">
        <v>0.23790000000000003</v>
      </c>
      <c r="BG18" s="22">
        <v>-1.4359048616732248</v>
      </c>
      <c r="BH18" s="21">
        <v>0.35820000000000002</v>
      </c>
      <c r="BI18" s="22">
        <f t="shared" si="24"/>
        <v>0.253</v>
      </c>
      <c r="BJ18" s="22">
        <f t="shared" si="25"/>
        <v>-1.3743657902546169</v>
      </c>
      <c r="BK18" s="21">
        <v>0.4279</v>
      </c>
      <c r="BL18" s="22">
        <f t="shared" si="26"/>
        <v>0.3221</v>
      </c>
      <c r="BM18" s="22">
        <f t="shared" si="27"/>
        <v>-1.1328932226449839</v>
      </c>
      <c r="BN18" s="46">
        <v>0.3286</v>
      </c>
      <c r="BO18" s="47">
        <v>0.2208</v>
      </c>
      <c r="BP18" s="47">
        <v>-1.5104979645791967</v>
      </c>
      <c r="BQ18" s="46">
        <v>0.3715</v>
      </c>
      <c r="BR18" s="47">
        <f t="shared" si="28"/>
        <v>0.26569999999999999</v>
      </c>
      <c r="BS18" s="47">
        <f t="shared" si="29"/>
        <v>-1.3253874262163692</v>
      </c>
      <c r="BT18" s="46">
        <v>0.43640000000000001</v>
      </c>
      <c r="BU18" s="47">
        <f t="shared" si="30"/>
        <v>0.3276</v>
      </c>
      <c r="BV18" s="47">
        <f t="shared" si="31"/>
        <v>-1.1159619270032226</v>
      </c>
    </row>
    <row r="19" spans="1:74" x14ac:dyDescent="0.2">
      <c r="A19" s="10">
        <v>3.3293372222222222</v>
      </c>
      <c r="B19" s="10"/>
      <c r="C19" s="26">
        <v>0.309</v>
      </c>
      <c r="D19" s="26">
        <v>0.20379999999999998</v>
      </c>
      <c r="E19" s="26">
        <v>-1.5906161581935128</v>
      </c>
      <c r="F19" s="26">
        <v>0.14760000000000001</v>
      </c>
      <c r="G19" s="26">
        <f t="shared" si="1"/>
        <v>4.6800000000000008E-2</v>
      </c>
      <c r="H19" s="26">
        <f t="shared" si="2"/>
        <v>-3.0618720760585356</v>
      </c>
      <c r="I19" s="26">
        <v>0.41860000000000003</v>
      </c>
      <c r="J19" s="26">
        <f t="shared" si="3"/>
        <v>0.31140000000000001</v>
      </c>
      <c r="K19" s="26">
        <f t="shared" si="4"/>
        <v>-1.1666770195822391</v>
      </c>
      <c r="L19" s="32">
        <v>0.29820000000000002</v>
      </c>
      <c r="M19" s="32">
        <v>0.19260000000000002</v>
      </c>
      <c r="N19" s="32">
        <v>-1.6471397796181118</v>
      </c>
      <c r="O19" s="32">
        <v>0.32869999999999999</v>
      </c>
      <c r="P19" s="32">
        <f t="shared" si="0"/>
        <v>0.22389999999999999</v>
      </c>
      <c r="Q19" s="32">
        <f t="shared" si="5"/>
        <v>-1.496555755377428</v>
      </c>
      <c r="R19" s="32">
        <v>0.38729999999999998</v>
      </c>
      <c r="S19" s="32">
        <f t="shared" si="6"/>
        <v>0.28129999999999999</v>
      </c>
      <c r="T19" s="32">
        <f t="shared" si="7"/>
        <v>-1.268333563486326</v>
      </c>
      <c r="U19" s="37">
        <v>0.29859999999999998</v>
      </c>
      <c r="V19" s="37">
        <v>0.19329999999999997</v>
      </c>
      <c r="W19" s="37">
        <v>-1.643511892767852</v>
      </c>
      <c r="X19" s="37">
        <v>0.32679999999999998</v>
      </c>
      <c r="Y19" s="37">
        <f t="shared" si="8"/>
        <v>0.22219999999999998</v>
      </c>
      <c r="Z19" s="37">
        <f t="shared" si="9"/>
        <v>-1.5041774017766074</v>
      </c>
      <c r="AA19" s="37">
        <v>0.3896</v>
      </c>
      <c r="AB19" s="37">
        <f t="shared" si="10"/>
        <v>0.28420000000000001</v>
      </c>
      <c r="AC19" s="37">
        <f t="shared" si="11"/>
        <v>-1.2580770633191367</v>
      </c>
      <c r="AD19" s="41">
        <v>0.29799999999999999</v>
      </c>
      <c r="AE19" s="41">
        <v>0.193</v>
      </c>
      <c r="AF19" s="41">
        <v>-1.6450650900772514</v>
      </c>
      <c r="AG19" s="41">
        <v>0.33579999999999999</v>
      </c>
      <c r="AH19" s="41">
        <f t="shared" si="12"/>
        <v>0.2303</v>
      </c>
      <c r="AI19" s="41">
        <f t="shared" si="13"/>
        <v>-1.4683724721554976</v>
      </c>
      <c r="AJ19" s="41">
        <v>0.38679999999999998</v>
      </c>
      <c r="AK19" s="41">
        <f t="shared" si="14"/>
        <v>0.28089999999999998</v>
      </c>
      <c r="AL19" s="41">
        <f t="shared" si="15"/>
        <v>-1.2697565448719392</v>
      </c>
      <c r="AM19" s="45">
        <v>0.30349999999999999</v>
      </c>
      <c r="AN19" s="45">
        <v>0.19409999999999999</v>
      </c>
      <c r="AO19" s="45">
        <v>-1.6393817888071724</v>
      </c>
      <c r="AP19" s="45">
        <v>0.32350000000000001</v>
      </c>
      <c r="AQ19" s="45">
        <f t="shared" si="16"/>
        <v>0.21740000000000001</v>
      </c>
      <c r="AR19" s="45">
        <f t="shared" si="17"/>
        <v>-1.5260163042950279</v>
      </c>
      <c r="AS19" s="45">
        <v>0.38329999999999997</v>
      </c>
      <c r="AT19" s="45">
        <f t="shared" si="18"/>
        <v>0.27459999999999996</v>
      </c>
      <c r="AU19" s="45">
        <f t="shared" si="19"/>
        <v>-1.2924397856482666</v>
      </c>
      <c r="AV19" s="32">
        <v>0.32119999999999999</v>
      </c>
      <c r="AW19" s="32">
        <v>0.21289999999999998</v>
      </c>
      <c r="AX19" s="32">
        <v>-1.5469327070827035</v>
      </c>
      <c r="AY19" s="32">
        <v>0.34810000000000002</v>
      </c>
      <c r="AZ19" s="32">
        <f t="shared" si="20"/>
        <v>0.24100000000000002</v>
      </c>
      <c r="BA19" s="32">
        <f t="shared" si="21"/>
        <v>-1.422958345491482</v>
      </c>
      <c r="BB19" s="32">
        <v>0.4541</v>
      </c>
      <c r="BC19" s="32">
        <f t="shared" si="22"/>
        <v>0.33179999999999998</v>
      </c>
      <c r="BD19" s="28">
        <f t="shared" si="23"/>
        <v>-1.103222901225793</v>
      </c>
      <c r="BE19" s="26">
        <v>0.35630000000000001</v>
      </c>
      <c r="BF19" s="26">
        <v>0.25119999999999998</v>
      </c>
      <c r="BG19" s="26">
        <v>-1.3815058443880934</v>
      </c>
      <c r="BH19" s="26">
        <v>0.4148</v>
      </c>
      <c r="BI19" s="26">
        <f t="shared" si="24"/>
        <v>0.30959999999999999</v>
      </c>
      <c r="BJ19" s="26">
        <f t="shared" si="25"/>
        <v>-1.172474137266565</v>
      </c>
      <c r="BK19" s="26">
        <v>0.49969999999999998</v>
      </c>
      <c r="BL19" s="26">
        <f t="shared" si="26"/>
        <v>0.39389999999999997</v>
      </c>
      <c r="BM19" s="26">
        <f t="shared" si="27"/>
        <v>-0.93165820900527696</v>
      </c>
      <c r="BN19" s="49">
        <v>0.37830000000000003</v>
      </c>
      <c r="BO19" s="49">
        <v>0.27050000000000002</v>
      </c>
      <c r="BP19" s="49">
        <v>-1.3074831806956009</v>
      </c>
      <c r="BQ19" s="49">
        <v>0.437</v>
      </c>
      <c r="BR19" s="49">
        <f t="shared" si="28"/>
        <v>0.33119999999999999</v>
      </c>
      <c r="BS19" s="49">
        <f t="shared" si="29"/>
        <v>-1.1050328564710323</v>
      </c>
      <c r="BT19" s="49">
        <v>0.52139999999999997</v>
      </c>
      <c r="BU19" s="49">
        <f t="shared" si="30"/>
        <v>0.41259999999999997</v>
      </c>
      <c r="BV19" s="49">
        <f t="shared" si="31"/>
        <v>-0.88527667834498569</v>
      </c>
    </row>
    <row r="20" spans="1:74" x14ac:dyDescent="0.2">
      <c r="A20" s="10">
        <v>3.5670933333333332</v>
      </c>
      <c r="B20" s="10"/>
      <c r="C20" s="26">
        <v>0.32529999999999998</v>
      </c>
      <c r="D20" s="26">
        <v>0.22009999999999996</v>
      </c>
      <c r="E20" s="26">
        <v>-1.5136732904497212</v>
      </c>
      <c r="F20" s="26">
        <v>0.16250000000000001</v>
      </c>
      <c r="G20" s="26">
        <f t="shared" si="1"/>
        <v>6.1700000000000005E-2</v>
      </c>
      <c r="H20" s="26">
        <f t="shared" si="2"/>
        <v>-2.7854713480707947</v>
      </c>
      <c r="I20" s="26">
        <v>0.4304</v>
      </c>
      <c r="J20" s="26">
        <f t="shared" si="3"/>
        <v>0.32319999999999999</v>
      </c>
      <c r="K20" s="26">
        <f t="shared" si="4"/>
        <v>-1.1294839523351967</v>
      </c>
      <c r="L20" s="32">
        <v>0.29580000000000001</v>
      </c>
      <c r="M20" s="32">
        <v>0.19020000000000001</v>
      </c>
      <c r="N20" s="32">
        <v>-1.659679128870847</v>
      </c>
      <c r="O20" s="32">
        <v>0.34970000000000001</v>
      </c>
      <c r="P20" s="32">
        <f t="shared" si="0"/>
        <v>0.24490000000000001</v>
      </c>
      <c r="Q20" s="32">
        <f t="shared" si="5"/>
        <v>-1.4069053150240149</v>
      </c>
      <c r="R20" s="32">
        <v>0.42020000000000002</v>
      </c>
      <c r="S20" s="32">
        <f t="shared" si="6"/>
        <v>0.31420000000000003</v>
      </c>
      <c r="T20" s="32">
        <f t="shared" si="7"/>
        <v>-1.1577255531606161</v>
      </c>
      <c r="U20" s="37">
        <v>0.29459999999999997</v>
      </c>
      <c r="V20" s="37">
        <v>0.18929999999999997</v>
      </c>
      <c r="W20" s="37">
        <v>-1.66442222076686</v>
      </c>
      <c r="X20" s="37">
        <v>0.34520000000000001</v>
      </c>
      <c r="Y20" s="37">
        <f t="shared" si="8"/>
        <v>0.24060000000000001</v>
      </c>
      <c r="Z20" s="37">
        <f t="shared" si="9"/>
        <v>-1.4246194754415584</v>
      </c>
      <c r="AA20" s="37">
        <v>0.41299999999999998</v>
      </c>
      <c r="AB20" s="37">
        <f t="shared" si="10"/>
        <v>0.30759999999999998</v>
      </c>
      <c r="AC20" s="37">
        <f t="shared" si="11"/>
        <v>-1.1789550413506482</v>
      </c>
      <c r="AD20" s="41">
        <v>0.30559999999999998</v>
      </c>
      <c r="AE20" s="41">
        <v>0.2006</v>
      </c>
      <c r="AF20" s="41">
        <v>-1.6064424034543019</v>
      </c>
      <c r="AG20" s="41">
        <v>0.35320000000000001</v>
      </c>
      <c r="AH20" s="41">
        <f t="shared" si="12"/>
        <v>0.24770000000000003</v>
      </c>
      <c r="AI20" s="41">
        <f t="shared" si="13"/>
        <v>-1.3955369424868231</v>
      </c>
      <c r="AJ20" s="41">
        <v>0.41399999999999998</v>
      </c>
      <c r="AK20" s="41">
        <f t="shared" si="14"/>
        <v>0.30809999999999998</v>
      </c>
      <c r="AL20" s="41">
        <f t="shared" si="15"/>
        <v>-1.1773308733795149</v>
      </c>
      <c r="AM20" s="45">
        <v>0.31059999999999999</v>
      </c>
      <c r="AN20" s="45">
        <v>0.20119999999999999</v>
      </c>
      <c r="AO20" s="45">
        <v>-1.6034558407565529</v>
      </c>
      <c r="AP20" s="45">
        <v>0.33829999999999999</v>
      </c>
      <c r="AQ20" s="45">
        <f t="shared" si="16"/>
        <v>0.23219999999999999</v>
      </c>
      <c r="AR20" s="45">
        <f t="shared" si="17"/>
        <v>-1.460156209718346</v>
      </c>
      <c r="AS20" s="45">
        <v>0.41049999999999998</v>
      </c>
      <c r="AT20" s="45">
        <f t="shared" si="18"/>
        <v>0.30179999999999996</v>
      </c>
      <c r="AU20" s="45">
        <f t="shared" si="19"/>
        <v>-1.1979907326483887</v>
      </c>
      <c r="AV20" s="32">
        <v>0.3342</v>
      </c>
      <c r="AW20" s="32">
        <v>0.22589999999999999</v>
      </c>
      <c r="AX20" s="32">
        <v>-1.4876628555081794</v>
      </c>
      <c r="AY20" s="32">
        <v>0.36509999999999998</v>
      </c>
      <c r="AZ20" s="32">
        <f t="shared" si="20"/>
        <v>0.25800000000000001</v>
      </c>
      <c r="BA20" s="32">
        <f t="shared" si="21"/>
        <v>-1.3547956940605197</v>
      </c>
      <c r="BB20" s="32">
        <v>0.48920000000000002</v>
      </c>
      <c r="BC20" s="32">
        <f t="shared" si="22"/>
        <v>0.3669</v>
      </c>
      <c r="BD20" s="28">
        <f t="shared" si="23"/>
        <v>-1.0026659476209008</v>
      </c>
      <c r="BE20" s="26">
        <v>0.35520000000000002</v>
      </c>
      <c r="BF20" s="26">
        <v>0.25009999999999999</v>
      </c>
      <c r="BG20" s="26">
        <v>-1.3858944410985636</v>
      </c>
      <c r="BH20" s="26">
        <v>0.44379999999999997</v>
      </c>
      <c r="BI20" s="26">
        <f t="shared" si="24"/>
        <v>0.33859999999999996</v>
      </c>
      <c r="BJ20" s="26">
        <f t="shared" si="25"/>
        <v>-1.0829358092831023</v>
      </c>
      <c r="BK20" s="26">
        <v>0.53979999999999995</v>
      </c>
      <c r="BL20" s="26">
        <f t="shared" si="26"/>
        <v>0.43399999999999994</v>
      </c>
      <c r="BM20" s="26">
        <f t="shared" si="27"/>
        <v>-0.83471074488173236</v>
      </c>
      <c r="BN20" s="49">
        <v>0.36709999999999998</v>
      </c>
      <c r="BO20" s="49">
        <v>0.25929999999999997</v>
      </c>
      <c r="BP20" s="49">
        <v>-1.3497695864375185</v>
      </c>
      <c r="BQ20" s="49">
        <v>0.47089999999999999</v>
      </c>
      <c r="BR20" s="49">
        <f t="shared" si="28"/>
        <v>0.36509999999999998</v>
      </c>
      <c r="BS20" s="49">
        <f t="shared" si="29"/>
        <v>-1.0075839903205459</v>
      </c>
      <c r="BT20" s="49">
        <v>0.58450000000000002</v>
      </c>
      <c r="BU20" s="49">
        <f t="shared" si="30"/>
        <v>0.47570000000000001</v>
      </c>
      <c r="BV20" s="49">
        <f t="shared" si="31"/>
        <v>-0.7429678755439012</v>
      </c>
    </row>
    <row r="21" spans="1:74" x14ac:dyDescent="0.2">
      <c r="A21" s="11">
        <v>3.8049416666666671</v>
      </c>
      <c r="B21" s="11"/>
      <c r="C21" s="25">
        <v>0.3664</v>
      </c>
      <c r="D21" s="25">
        <v>0.26119999999999999</v>
      </c>
      <c r="E21" s="25">
        <v>-1.3424688815798611</v>
      </c>
      <c r="F21" s="25">
        <v>0.19109999999999999</v>
      </c>
      <c r="G21" s="25">
        <f t="shared" si="1"/>
        <v>9.0299999999999991E-2</v>
      </c>
      <c r="H21" s="25">
        <f t="shared" si="2"/>
        <v>-2.4046178185591973</v>
      </c>
      <c r="I21" s="25">
        <v>0.51419999999999999</v>
      </c>
      <c r="J21" s="25">
        <f t="shared" si="3"/>
        <v>0.40699999999999997</v>
      </c>
      <c r="K21" s="25">
        <f t="shared" si="4"/>
        <v>-0.89894209353954213</v>
      </c>
      <c r="L21" s="27">
        <v>0.33729999999999999</v>
      </c>
      <c r="M21" s="28">
        <v>0.23169999999999999</v>
      </c>
      <c r="N21" s="28">
        <v>-1.4623118475438066</v>
      </c>
      <c r="O21" s="27">
        <v>0.39129999999999998</v>
      </c>
      <c r="P21" s="28">
        <f t="shared" si="0"/>
        <v>0.28649999999999998</v>
      </c>
      <c r="Q21" s="28">
        <f t="shared" si="5"/>
        <v>-1.250016742827343</v>
      </c>
      <c r="R21" s="27">
        <v>0.47010000000000002</v>
      </c>
      <c r="S21" s="28">
        <f t="shared" si="6"/>
        <v>0.36410000000000003</v>
      </c>
      <c r="T21" s="28">
        <f t="shared" si="7"/>
        <v>-1.0103267238007492</v>
      </c>
      <c r="U21" s="33">
        <v>0.32679999999999998</v>
      </c>
      <c r="V21" s="34">
        <v>0.22149999999999997</v>
      </c>
      <c r="W21" s="34">
        <v>-1.5073326894969468</v>
      </c>
      <c r="X21" s="33">
        <v>0.38159999999999999</v>
      </c>
      <c r="Y21" s="34">
        <f t="shared" si="8"/>
        <v>0.27700000000000002</v>
      </c>
      <c r="Z21" s="34">
        <f t="shared" si="9"/>
        <v>-1.2837377727947985</v>
      </c>
      <c r="AA21" s="33">
        <v>0.47</v>
      </c>
      <c r="AB21" s="34">
        <f t="shared" si="10"/>
        <v>0.36459999999999998</v>
      </c>
      <c r="AC21" s="34">
        <f t="shared" si="11"/>
        <v>-1.0089544167375744</v>
      </c>
      <c r="AD21" s="38">
        <v>0.3291</v>
      </c>
      <c r="AE21" s="39">
        <v>0.22410000000000002</v>
      </c>
      <c r="AF21" s="39">
        <v>-1.4956628981752556</v>
      </c>
      <c r="AG21" s="38">
        <v>0.39240000000000003</v>
      </c>
      <c r="AH21" s="39">
        <f t="shared" si="12"/>
        <v>0.28690000000000004</v>
      </c>
      <c r="AI21" s="39">
        <f t="shared" si="13"/>
        <v>-1.2486215559948177</v>
      </c>
      <c r="AJ21" s="38">
        <v>0.46260000000000001</v>
      </c>
      <c r="AK21" s="39">
        <f t="shared" si="14"/>
        <v>0.35670000000000002</v>
      </c>
      <c r="AL21" s="39">
        <f t="shared" si="15"/>
        <v>-1.0308601866172911</v>
      </c>
      <c r="AM21" s="42">
        <v>0.32600000000000001</v>
      </c>
      <c r="AN21" s="43">
        <v>0.21660000000000001</v>
      </c>
      <c r="AO21" s="43">
        <v>-1.5297029444152468</v>
      </c>
      <c r="AP21" s="42">
        <v>0.37469999999999998</v>
      </c>
      <c r="AQ21" s="43">
        <f t="shared" si="16"/>
        <v>0.26859999999999995</v>
      </c>
      <c r="AR21" s="43">
        <f t="shared" si="17"/>
        <v>-1.3145319948930001</v>
      </c>
      <c r="AS21" s="42">
        <v>0.45939999999999998</v>
      </c>
      <c r="AT21" s="43">
        <f t="shared" si="18"/>
        <v>0.35069999999999996</v>
      </c>
      <c r="AU21" s="43">
        <f t="shared" si="19"/>
        <v>-1.0478241218360047</v>
      </c>
      <c r="AV21" s="27">
        <v>0.36049999999999999</v>
      </c>
      <c r="AW21" s="28">
        <v>0.25219999999999998</v>
      </c>
      <c r="AX21" s="28">
        <v>-1.377532855451318</v>
      </c>
      <c r="AY21" s="27">
        <v>0.40360000000000001</v>
      </c>
      <c r="AZ21" s="28">
        <f t="shared" si="20"/>
        <v>0.29649999999999999</v>
      </c>
      <c r="BA21" s="28">
        <f t="shared" si="21"/>
        <v>-1.2157080605443569</v>
      </c>
      <c r="BB21" s="27">
        <v>0.52210000000000001</v>
      </c>
      <c r="BC21" s="28">
        <f t="shared" si="22"/>
        <v>0.39979999999999999</v>
      </c>
      <c r="BD21" s="28">
        <f t="shared" si="23"/>
        <v>-0.91679085691583739</v>
      </c>
      <c r="BE21" s="21">
        <v>0.39190000000000003</v>
      </c>
      <c r="BF21" s="22">
        <v>0.28680000000000005</v>
      </c>
      <c r="BG21" s="22">
        <v>-1.2489701702566716</v>
      </c>
      <c r="BH21" s="21">
        <v>0.47689999999999999</v>
      </c>
      <c r="BI21" s="22">
        <f t="shared" si="24"/>
        <v>0.37169999999999997</v>
      </c>
      <c r="BJ21" s="22">
        <f t="shared" si="25"/>
        <v>-0.98966820167893066</v>
      </c>
      <c r="BK21" s="21">
        <v>0.56910000000000005</v>
      </c>
      <c r="BL21" s="22">
        <f t="shared" si="26"/>
        <v>0.46330000000000005</v>
      </c>
      <c r="BM21" s="22">
        <f t="shared" si="27"/>
        <v>-0.76938048655953428</v>
      </c>
      <c r="BN21" s="46">
        <v>0.41010000000000002</v>
      </c>
      <c r="BO21" s="47">
        <v>0.30230000000000001</v>
      </c>
      <c r="BP21" s="47">
        <v>-1.1963353771967247</v>
      </c>
      <c r="BQ21" s="46">
        <v>0.50360000000000005</v>
      </c>
      <c r="BR21" s="47">
        <f t="shared" si="28"/>
        <v>0.39780000000000004</v>
      </c>
      <c r="BS21" s="47">
        <f t="shared" si="29"/>
        <v>-0.92180591256226507</v>
      </c>
      <c r="BT21" s="46">
        <v>0.60109999999999997</v>
      </c>
      <c r="BU21" s="47">
        <f t="shared" si="30"/>
        <v>0.49229999999999996</v>
      </c>
      <c r="BV21" s="47">
        <f t="shared" si="31"/>
        <v>-0.70866699221798224</v>
      </c>
    </row>
    <row r="22" spans="1:74" x14ac:dyDescent="0.2">
      <c r="A22" s="11">
        <v>4.0427038888888891</v>
      </c>
      <c r="B22" s="11"/>
      <c r="C22" s="25">
        <v>0.41210000000000002</v>
      </c>
      <c r="D22" s="25">
        <v>0.30690000000000001</v>
      </c>
      <c r="E22" s="25">
        <v>-1.1812333173564464</v>
      </c>
      <c r="F22" s="25">
        <v>0.2266</v>
      </c>
      <c r="G22" s="25">
        <f t="shared" si="1"/>
        <v>0.1258</v>
      </c>
      <c r="H22" s="25">
        <f t="shared" si="2"/>
        <v>-2.0730619347157968</v>
      </c>
      <c r="I22" s="25">
        <v>0.58819999999999995</v>
      </c>
      <c r="J22" s="25">
        <f t="shared" si="3"/>
        <v>0.48099999999999993</v>
      </c>
      <c r="K22" s="25">
        <f t="shared" si="4"/>
        <v>-0.73188800887637606</v>
      </c>
      <c r="L22" s="27">
        <v>0.38009999999999999</v>
      </c>
      <c r="M22" s="28">
        <v>0.27449999999999997</v>
      </c>
      <c r="N22" s="28">
        <v>-1.292804018032552</v>
      </c>
      <c r="O22" s="27">
        <v>0.4481</v>
      </c>
      <c r="P22" s="28">
        <f t="shared" si="0"/>
        <v>0.34329999999999999</v>
      </c>
      <c r="Q22" s="28">
        <f t="shared" si="5"/>
        <v>-1.0691505785184907</v>
      </c>
      <c r="R22" s="27">
        <v>0.52900000000000003</v>
      </c>
      <c r="S22" s="28">
        <f t="shared" si="6"/>
        <v>0.42300000000000004</v>
      </c>
      <c r="T22" s="28">
        <f t="shared" si="7"/>
        <v>-0.86038309993585893</v>
      </c>
      <c r="U22" s="33">
        <v>0.36359999999999998</v>
      </c>
      <c r="V22" s="34">
        <v>0.25829999999999997</v>
      </c>
      <c r="W22" s="34">
        <v>-1.3536335788803424</v>
      </c>
      <c r="X22" s="33">
        <v>0.43419999999999997</v>
      </c>
      <c r="Y22" s="34">
        <f t="shared" si="8"/>
        <v>0.3296</v>
      </c>
      <c r="Z22" s="34">
        <f t="shared" si="9"/>
        <v>-1.1098754809468203</v>
      </c>
      <c r="AA22" s="33">
        <v>0.52100000000000002</v>
      </c>
      <c r="AB22" s="34">
        <f t="shared" si="10"/>
        <v>0.41560000000000002</v>
      </c>
      <c r="AC22" s="34">
        <f t="shared" si="11"/>
        <v>-0.87803201975706469</v>
      </c>
      <c r="AD22" s="38">
        <v>0.36280000000000001</v>
      </c>
      <c r="AE22" s="39">
        <v>0.25780000000000003</v>
      </c>
      <c r="AF22" s="39">
        <v>-1.3555711884770498</v>
      </c>
      <c r="AG22" s="38">
        <v>0.43859999999999999</v>
      </c>
      <c r="AH22" s="39">
        <f t="shared" si="12"/>
        <v>0.33310000000000001</v>
      </c>
      <c r="AI22" s="39">
        <f t="shared" si="13"/>
        <v>-1.0993125337825032</v>
      </c>
      <c r="AJ22" s="38">
        <v>0.51419999999999999</v>
      </c>
      <c r="AK22" s="39">
        <f t="shared" si="14"/>
        <v>0.4083</v>
      </c>
      <c r="AL22" s="39">
        <f t="shared" si="15"/>
        <v>-0.89575308065660697</v>
      </c>
      <c r="AM22" s="42">
        <v>0.35580000000000001</v>
      </c>
      <c r="AN22" s="43">
        <v>0.24640000000000001</v>
      </c>
      <c r="AO22" s="43">
        <v>-1.4007990473227723</v>
      </c>
      <c r="AP22" s="42">
        <v>0.42120000000000002</v>
      </c>
      <c r="AQ22" s="43">
        <f t="shared" si="16"/>
        <v>0.31510000000000005</v>
      </c>
      <c r="AR22" s="43">
        <f t="shared" si="17"/>
        <v>-1.154865230218908</v>
      </c>
      <c r="AS22" s="42">
        <v>0.51570000000000005</v>
      </c>
      <c r="AT22" s="43">
        <f t="shared" si="18"/>
        <v>0.40700000000000003</v>
      </c>
      <c r="AU22" s="43">
        <f t="shared" si="19"/>
        <v>-0.89894209353954202</v>
      </c>
      <c r="AV22" s="27">
        <v>0.39479999999999998</v>
      </c>
      <c r="AW22" s="28">
        <v>0.28649999999999998</v>
      </c>
      <c r="AX22" s="28">
        <v>-1.250016742827343</v>
      </c>
      <c r="AY22" s="27">
        <v>0.44829999999999998</v>
      </c>
      <c r="AZ22" s="28">
        <f t="shared" si="20"/>
        <v>0.34119999999999995</v>
      </c>
      <c r="BA22" s="28">
        <f t="shared" si="21"/>
        <v>-1.0752864633646131</v>
      </c>
      <c r="BB22" s="27">
        <v>0.56369999999999998</v>
      </c>
      <c r="BC22" s="28">
        <f t="shared" si="22"/>
        <v>0.44139999999999996</v>
      </c>
      <c r="BD22" s="28">
        <f t="shared" si="23"/>
        <v>-0.81780378515950114</v>
      </c>
      <c r="BE22" s="21">
        <v>0.42849999999999999</v>
      </c>
      <c r="BF22" s="22">
        <v>0.32340000000000002</v>
      </c>
      <c r="BG22" s="22">
        <v>-1.1288653318391306</v>
      </c>
      <c r="BH22" s="21">
        <v>0.52200000000000002</v>
      </c>
      <c r="BI22" s="22">
        <f t="shared" si="24"/>
        <v>0.4168</v>
      </c>
      <c r="BJ22" s="22">
        <f t="shared" si="25"/>
        <v>-0.87514878854297984</v>
      </c>
      <c r="BK22" s="21">
        <v>0.60560000000000003</v>
      </c>
      <c r="BL22" s="22">
        <f t="shared" si="26"/>
        <v>0.49980000000000002</v>
      </c>
      <c r="BM22" s="22">
        <f t="shared" si="27"/>
        <v>-0.69354726058128502</v>
      </c>
      <c r="BN22" s="46">
        <v>0.47320000000000001</v>
      </c>
      <c r="BO22" s="47">
        <v>0.3654</v>
      </c>
      <c r="BP22" s="47">
        <v>-1.0067626350382306</v>
      </c>
      <c r="BQ22" s="46">
        <v>0.55130000000000001</v>
      </c>
      <c r="BR22" s="47">
        <f t="shared" si="28"/>
        <v>0.44550000000000001</v>
      </c>
      <c r="BS22" s="47">
        <f t="shared" si="29"/>
        <v>-0.80855803207127308</v>
      </c>
      <c r="BT22" s="46">
        <v>0.65529999999999999</v>
      </c>
      <c r="BU22" s="47">
        <f t="shared" si="30"/>
        <v>0.54649999999999999</v>
      </c>
      <c r="BV22" s="47">
        <f t="shared" si="31"/>
        <v>-0.60422097136554387</v>
      </c>
    </row>
    <row r="23" spans="1:74" x14ac:dyDescent="0.2">
      <c r="A23" s="11">
        <v>4.2804622222222228</v>
      </c>
      <c r="B23" s="11"/>
      <c r="C23" s="25">
        <v>0.42809999999999998</v>
      </c>
      <c r="D23" s="25">
        <v>0.32289999999999996</v>
      </c>
      <c r="E23" s="25">
        <v>-1.1304126012179077</v>
      </c>
      <c r="F23" s="25">
        <v>0.26219999999999999</v>
      </c>
      <c r="G23" s="25">
        <f t="shared" si="1"/>
        <v>0.16139999999999999</v>
      </c>
      <c r="H23" s="25">
        <f t="shared" si="2"/>
        <v>-1.8238695231462887</v>
      </c>
      <c r="I23" s="25">
        <v>0.57050000000000001</v>
      </c>
      <c r="J23" s="25">
        <f t="shared" si="3"/>
        <v>0.46329999999999999</v>
      </c>
      <c r="K23" s="25">
        <f t="shared" si="4"/>
        <v>-0.76938048655953439</v>
      </c>
      <c r="L23" s="27">
        <v>0.39340000000000003</v>
      </c>
      <c r="M23" s="28">
        <v>0.28780000000000006</v>
      </c>
      <c r="N23" s="28">
        <v>-1.2454894845288693</v>
      </c>
      <c r="O23" s="27">
        <v>0.48349999999999999</v>
      </c>
      <c r="P23" s="28">
        <f t="shared" si="0"/>
        <v>0.37869999999999998</v>
      </c>
      <c r="Q23" s="28">
        <f t="shared" si="5"/>
        <v>-0.97101094407438793</v>
      </c>
      <c r="R23" s="27">
        <v>0.55479999999999996</v>
      </c>
      <c r="S23" s="28">
        <f t="shared" si="6"/>
        <v>0.44879999999999998</v>
      </c>
      <c r="T23" s="28">
        <f t="shared" si="7"/>
        <v>-0.80117792477365057</v>
      </c>
      <c r="U23" s="33">
        <v>0.37769999999999998</v>
      </c>
      <c r="V23" s="34">
        <v>0.27239999999999998</v>
      </c>
      <c r="W23" s="34">
        <v>-1.3004837047067799</v>
      </c>
      <c r="X23" s="33">
        <v>0.4627</v>
      </c>
      <c r="Y23" s="34">
        <f t="shared" si="8"/>
        <v>0.35809999999999997</v>
      </c>
      <c r="Z23" s="34">
        <f t="shared" si="9"/>
        <v>-1.0269430019777501</v>
      </c>
      <c r="AA23" s="33">
        <v>0.54800000000000004</v>
      </c>
      <c r="AB23" s="34">
        <f t="shared" si="10"/>
        <v>0.44260000000000005</v>
      </c>
      <c r="AC23" s="34">
        <f t="shared" si="11"/>
        <v>-0.81508885136518761</v>
      </c>
      <c r="AD23" s="38">
        <v>0.38229999999999997</v>
      </c>
      <c r="AE23" s="39">
        <v>0.27729999999999999</v>
      </c>
      <c r="AF23" s="39">
        <v>-1.2826553263604048</v>
      </c>
      <c r="AG23" s="38">
        <v>0.46560000000000001</v>
      </c>
      <c r="AH23" s="39">
        <f t="shared" si="12"/>
        <v>0.36010000000000003</v>
      </c>
      <c r="AI23" s="39">
        <f t="shared" si="13"/>
        <v>-1.0213735083273074</v>
      </c>
      <c r="AJ23" s="38">
        <v>0.5413</v>
      </c>
      <c r="AK23" s="39">
        <f t="shared" si="14"/>
        <v>0.43540000000000001</v>
      </c>
      <c r="AL23" s="39">
        <f t="shared" si="15"/>
        <v>-0.83149013018168993</v>
      </c>
      <c r="AM23" s="42">
        <v>0.37759999999999999</v>
      </c>
      <c r="AN23" s="43">
        <v>0.26819999999999999</v>
      </c>
      <c r="AO23" s="43">
        <v>-1.316022308134559</v>
      </c>
      <c r="AP23" s="42">
        <v>0.4456</v>
      </c>
      <c r="AQ23" s="43">
        <f t="shared" si="16"/>
        <v>0.33950000000000002</v>
      </c>
      <c r="AR23" s="43">
        <f t="shared" si="17"/>
        <v>-1.0802813319833862</v>
      </c>
      <c r="AS23" s="42">
        <v>0.54259999999999997</v>
      </c>
      <c r="AT23" s="43">
        <f t="shared" si="18"/>
        <v>0.43389999999999995</v>
      </c>
      <c r="AU23" s="43">
        <f t="shared" si="19"/>
        <v>-0.8349411861778322</v>
      </c>
      <c r="AV23" s="27">
        <v>0.41489999999999999</v>
      </c>
      <c r="AW23" s="28">
        <v>0.30659999999999998</v>
      </c>
      <c r="AX23" s="28">
        <v>-1.1822113125444234</v>
      </c>
      <c r="AY23" s="27">
        <v>0.4713</v>
      </c>
      <c r="AZ23" s="28">
        <f t="shared" si="20"/>
        <v>0.36419999999999997</v>
      </c>
      <c r="BA23" s="28">
        <f t="shared" si="21"/>
        <v>-1.0100521116886296</v>
      </c>
      <c r="BB23" s="27">
        <v>0.59099999999999997</v>
      </c>
      <c r="BC23" s="28">
        <f t="shared" si="22"/>
        <v>0.46869999999999995</v>
      </c>
      <c r="BD23" s="28">
        <f t="shared" si="23"/>
        <v>-0.75779237405347677</v>
      </c>
      <c r="BE23" s="21">
        <v>0.44969999999999999</v>
      </c>
      <c r="BF23" s="22">
        <v>0.34460000000000002</v>
      </c>
      <c r="BG23" s="22">
        <v>-1.0653709548883077</v>
      </c>
      <c r="BH23" s="21">
        <v>0.54200000000000004</v>
      </c>
      <c r="BI23" s="22">
        <f t="shared" si="24"/>
        <v>0.43680000000000002</v>
      </c>
      <c r="BJ23" s="22">
        <f t="shared" si="25"/>
        <v>-0.82827985455144171</v>
      </c>
      <c r="BK23" s="21">
        <v>0.62219999999999998</v>
      </c>
      <c r="BL23" s="22">
        <f t="shared" si="26"/>
        <v>0.51639999999999997</v>
      </c>
      <c r="BM23" s="22">
        <f t="shared" si="27"/>
        <v>-0.66087362000964966</v>
      </c>
      <c r="BN23" s="46">
        <v>0.48649999999999999</v>
      </c>
      <c r="BO23" s="47">
        <v>0.37869999999999998</v>
      </c>
      <c r="BP23" s="47">
        <v>-0.97101094407438793</v>
      </c>
      <c r="BQ23" s="46">
        <v>0.58220000000000005</v>
      </c>
      <c r="BR23" s="47">
        <f t="shared" si="28"/>
        <v>0.47640000000000005</v>
      </c>
      <c r="BS23" s="47">
        <f t="shared" si="29"/>
        <v>-0.74149744150099195</v>
      </c>
      <c r="BT23" s="46">
        <v>0.6734</v>
      </c>
      <c r="BU23" s="47">
        <f t="shared" si="30"/>
        <v>0.56459999999999999</v>
      </c>
      <c r="BV23" s="47">
        <f t="shared" si="31"/>
        <v>-0.57163776316274817</v>
      </c>
    </row>
    <row r="24" spans="1:74" x14ac:dyDescent="0.2">
      <c r="A24" s="11">
        <v>4.5183066666666667</v>
      </c>
      <c r="B24" s="11"/>
      <c r="C24" s="25">
        <v>0.44190000000000002</v>
      </c>
      <c r="D24" s="25">
        <v>0.3367</v>
      </c>
      <c r="E24" s="25">
        <v>-1.0885629528151082</v>
      </c>
      <c r="F24" s="25">
        <v>0.29389999999999999</v>
      </c>
      <c r="G24" s="25">
        <f t="shared" si="1"/>
        <v>0.19309999999999999</v>
      </c>
      <c r="H24" s="25">
        <f t="shared" si="2"/>
        <v>-1.6445470895476684</v>
      </c>
      <c r="I24" s="25">
        <v>0.64659999999999995</v>
      </c>
      <c r="J24" s="25">
        <f t="shared" si="3"/>
        <v>0.53939999999999999</v>
      </c>
      <c r="K24" s="25">
        <f t="shared" si="4"/>
        <v>-0.61729786827650746</v>
      </c>
      <c r="L24" s="27">
        <v>0.42330000000000001</v>
      </c>
      <c r="M24" s="28">
        <v>0.31769999999999998</v>
      </c>
      <c r="N24" s="28">
        <v>-1.1466477377066666</v>
      </c>
      <c r="O24" s="27">
        <v>0.49959999999999999</v>
      </c>
      <c r="P24" s="28">
        <f t="shared" si="0"/>
        <v>0.39479999999999998</v>
      </c>
      <c r="Q24" s="28">
        <f t="shared" si="5"/>
        <v>-0.92937597142281059</v>
      </c>
      <c r="R24" s="27">
        <v>0.57479999999999998</v>
      </c>
      <c r="S24" s="28">
        <f t="shared" si="6"/>
        <v>0.46879999999999999</v>
      </c>
      <c r="T24" s="28">
        <f t="shared" si="7"/>
        <v>-0.75757904071933424</v>
      </c>
      <c r="U24" s="33">
        <v>0.40079999999999999</v>
      </c>
      <c r="V24" s="34">
        <v>0.29549999999999998</v>
      </c>
      <c r="W24" s="34">
        <v>-1.2190864421359842</v>
      </c>
      <c r="X24" s="33">
        <v>0.48220000000000002</v>
      </c>
      <c r="Y24" s="34">
        <f t="shared" si="8"/>
        <v>0.37760000000000005</v>
      </c>
      <c r="Z24" s="34">
        <f t="shared" si="9"/>
        <v>-0.97391984471079129</v>
      </c>
      <c r="AA24" s="33">
        <v>0.57250000000000001</v>
      </c>
      <c r="AB24" s="34">
        <f t="shared" si="10"/>
        <v>0.46710000000000002</v>
      </c>
      <c r="AC24" s="34">
        <f t="shared" si="11"/>
        <v>-0.76121191147407463</v>
      </c>
      <c r="AD24" s="38">
        <v>0.40749999999999997</v>
      </c>
      <c r="AE24" s="39">
        <v>0.30249999999999999</v>
      </c>
      <c r="AF24" s="39">
        <v>-1.195674001511241</v>
      </c>
      <c r="AG24" s="38">
        <v>0.48470000000000002</v>
      </c>
      <c r="AH24" s="39">
        <f t="shared" si="12"/>
        <v>0.37920000000000004</v>
      </c>
      <c r="AI24" s="39">
        <f t="shared" si="13"/>
        <v>-0.96969150860127018</v>
      </c>
      <c r="AJ24" s="38">
        <v>0.56040000000000001</v>
      </c>
      <c r="AK24" s="39">
        <f t="shared" si="14"/>
        <v>0.45450000000000002</v>
      </c>
      <c r="AL24" s="39">
        <f t="shared" si="15"/>
        <v>-0.78855736536460352</v>
      </c>
      <c r="AM24" s="42">
        <v>0.39129999999999998</v>
      </c>
      <c r="AN24" s="43">
        <v>0.28189999999999998</v>
      </c>
      <c r="AO24" s="43">
        <v>-1.2662028808620702</v>
      </c>
      <c r="AP24" s="42">
        <v>0.47020000000000001</v>
      </c>
      <c r="AQ24" s="43">
        <f t="shared" si="16"/>
        <v>0.36409999999999998</v>
      </c>
      <c r="AR24" s="43">
        <f t="shared" si="17"/>
        <v>-1.0103267238007494</v>
      </c>
      <c r="AS24" s="42">
        <v>0.5615</v>
      </c>
      <c r="AT24" s="43">
        <f t="shared" si="18"/>
        <v>0.45279999999999998</v>
      </c>
      <c r="AU24" s="43">
        <f t="shared" si="19"/>
        <v>-0.79230475209316387</v>
      </c>
      <c r="AV24" s="27">
        <v>0.43070000000000003</v>
      </c>
      <c r="AW24" s="28">
        <v>0.32240000000000002</v>
      </c>
      <c r="AX24" s="28">
        <v>-1.1319622683496637</v>
      </c>
      <c r="AY24" s="27">
        <v>0.49130000000000001</v>
      </c>
      <c r="AZ24" s="28">
        <f t="shared" si="20"/>
        <v>0.38419999999999999</v>
      </c>
      <c r="BA24" s="28">
        <f t="shared" si="21"/>
        <v>-0.95659202864768078</v>
      </c>
      <c r="BB24" s="27">
        <v>0.60099999999999998</v>
      </c>
      <c r="BC24" s="28">
        <f t="shared" si="22"/>
        <v>0.47869999999999996</v>
      </c>
      <c r="BD24" s="28">
        <f t="shared" si="23"/>
        <v>-0.73668118258367377</v>
      </c>
      <c r="BE24" s="21">
        <v>0.47110000000000002</v>
      </c>
      <c r="BF24" s="22">
        <v>0.36599999999999999</v>
      </c>
      <c r="BG24" s="22">
        <v>-1.0051219455807707</v>
      </c>
      <c r="BH24" s="21">
        <v>0.55910000000000004</v>
      </c>
      <c r="BI24" s="22">
        <f t="shared" si="24"/>
        <v>0.45390000000000003</v>
      </c>
      <c r="BJ24" s="22">
        <f t="shared" si="25"/>
        <v>-0.78987836951971702</v>
      </c>
      <c r="BK24" s="21">
        <v>0.62629999999999997</v>
      </c>
      <c r="BL24" s="22">
        <f t="shared" si="26"/>
        <v>0.52049999999999996</v>
      </c>
      <c r="BM24" s="22">
        <f t="shared" si="27"/>
        <v>-0.65296539092711359</v>
      </c>
      <c r="BN24" s="46">
        <v>0.5091</v>
      </c>
      <c r="BO24" s="47">
        <v>0.40129999999999999</v>
      </c>
      <c r="BP24" s="47">
        <v>-0.91304600170926609</v>
      </c>
      <c r="BQ24" s="46">
        <v>0.59589999999999999</v>
      </c>
      <c r="BR24" s="47">
        <f t="shared" si="28"/>
        <v>0.49009999999999998</v>
      </c>
      <c r="BS24" s="47">
        <f t="shared" si="29"/>
        <v>-0.71314582706663532</v>
      </c>
      <c r="BT24" s="46">
        <v>0.67910000000000004</v>
      </c>
      <c r="BU24" s="47">
        <f t="shared" si="30"/>
        <v>0.57030000000000003</v>
      </c>
      <c r="BV24" s="47">
        <f t="shared" si="31"/>
        <v>-0.56159274081964383</v>
      </c>
    </row>
    <row r="25" spans="1:74" x14ac:dyDescent="0.2">
      <c r="A25" s="11">
        <v>4.7560597222222221</v>
      </c>
      <c r="B25" s="11"/>
      <c r="C25" s="25">
        <v>0.47870000000000001</v>
      </c>
      <c r="D25" s="25">
        <v>0.3735</v>
      </c>
      <c r="E25" s="25">
        <v>-0.98483727440926505</v>
      </c>
      <c r="F25" s="25">
        <v>0.34189999999999998</v>
      </c>
      <c r="G25" s="25">
        <f t="shared" si="1"/>
        <v>0.24109999999999998</v>
      </c>
      <c r="H25" s="25">
        <f t="shared" si="2"/>
        <v>-1.4225434937950117</v>
      </c>
      <c r="I25" s="25">
        <v>0.68110000000000004</v>
      </c>
      <c r="J25" s="25">
        <f t="shared" si="3"/>
        <v>0.57390000000000008</v>
      </c>
      <c r="K25" s="25">
        <f t="shared" si="4"/>
        <v>-0.55530011386782008</v>
      </c>
      <c r="L25" s="27">
        <v>0.4667</v>
      </c>
      <c r="M25" s="28">
        <v>0.36109999999999998</v>
      </c>
      <c r="N25" s="28">
        <v>-1.0186003506987251</v>
      </c>
      <c r="O25" s="27">
        <v>0.53959999999999997</v>
      </c>
      <c r="P25" s="28">
        <f t="shared" si="0"/>
        <v>0.43479999999999996</v>
      </c>
      <c r="Q25" s="28">
        <f t="shared" si="5"/>
        <v>-0.83286912373508271</v>
      </c>
      <c r="R25" s="27">
        <v>0.60419999999999996</v>
      </c>
      <c r="S25" s="28">
        <f t="shared" si="6"/>
        <v>0.49819999999999998</v>
      </c>
      <c r="T25" s="28">
        <f t="shared" si="7"/>
        <v>-0.69675367615405703</v>
      </c>
      <c r="U25" s="33">
        <v>0.44230000000000003</v>
      </c>
      <c r="V25" s="34">
        <v>0.33700000000000002</v>
      </c>
      <c r="W25" s="34">
        <v>-1.0876723486297752</v>
      </c>
      <c r="X25" s="33">
        <v>0.51939999999999997</v>
      </c>
      <c r="Y25" s="34">
        <f t="shared" si="8"/>
        <v>0.41479999999999995</v>
      </c>
      <c r="Z25" s="34">
        <f t="shared" si="9"/>
        <v>-0.87995880262676496</v>
      </c>
      <c r="AA25" s="33">
        <v>0.59919999999999995</v>
      </c>
      <c r="AB25" s="34">
        <f t="shared" si="10"/>
        <v>0.49379999999999996</v>
      </c>
      <c r="AC25" s="34">
        <f t="shared" si="11"/>
        <v>-0.70562470207105799</v>
      </c>
      <c r="AD25" s="38">
        <v>0.44500000000000001</v>
      </c>
      <c r="AE25" s="39">
        <v>0.34</v>
      </c>
      <c r="AF25" s="39">
        <v>-1.0788096613719298</v>
      </c>
      <c r="AG25" s="38">
        <v>0.52139999999999997</v>
      </c>
      <c r="AH25" s="39">
        <f t="shared" si="12"/>
        <v>0.41589999999999999</v>
      </c>
      <c r="AI25" s="39">
        <f t="shared" si="13"/>
        <v>-0.8773104322332711</v>
      </c>
      <c r="AJ25" s="38">
        <v>0.58789999999999998</v>
      </c>
      <c r="AK25" s="39">
        <f t="shared" si="14"/>
        <v>0.48199999999999998</v>
      </c>
      <c r="AL25" s="39">
        <f t="shared" si="15"/>
        <v>-0.72981116493153675</v>
      </c>
      <c r="AM25" s="42">
        <v>0.42730000000000001</v>
      </c>
      <c r="AN25" s="43">
        <v>0.31790000000000002</v>
      </c>
      <c r="AO25" s="43">
        <v>-1.1460184110653799</v>
      </c>
      <c r="AP25" s="42">
        <v>0.50590000000000002</v>
      </c>
      <c r="AQ25" s="43">
        <f t="shared" si="16"/>
        <v>0.39980000000000004</v>
      </c>
      <c r="AR25" s="43">
        <f t="shared" si="17"/>
        <v>-0.91679085691583728</v>
      </c>
      <c r="AS25" s="42">
        <v>0.59519999999999995</v>
      </c>
      <c r="AT25" s="43">
        <f t="shared" si="18"/>
        <v>0.48649999999999993</v>
      </c>
      <c r="AU25" s="43">
        <f t="shared" si="19"/>
        <v>-0.72051837735607749</v>
      </c>
      <c r="AV25" s="27">
        <v>0.4612</v>
      </c>
      <c r="AW25" s="28">
        <v>0.35289999999999999</v>
      </c>
      <c r="AX25" s="28">
        <v>-1.0415705483009128</v>
      </c>
      <c r="AY25" s="27">
        <v>0.52569999999999995</v>
      </c>
      <c r="AZ25" s="28">
        <f t="shared" si="20"/>
        <v>0.41859999999999997</v>
      </c>
      <c r="BA25" s="28">
        <f t="shared" si="21"/>
        <v>-0.87083946897023778</v>
      </c>
      <c r="BB25" s="27">
        <v>0.62090000000000001</v>
      </c>
      <c r="BC25" s="28">
        <f t="shared" si="22"/>
        <v>0.49859999999999999</v>
      </c>
      <c r="BD25" s="28">
        <f t="shared" si="23"/>
        <v>-0.69595110789267955</v>
      </c>
      <c r="BE25" s="21">
        <v>0.50260000000000005</v>
      </c>
      <c r="BF25" s="22">
        <v>0.39750000000000008</v>
      </c>
      <c r="BG25" s="22">
        <v>-0.92256034488775029</v>
      </c>
      <c r="BH25" s="21">
        <v>0.58799999999999997</v>
      </c>
      <c r="BI25" s="22">
        <f t="shared" si="24"/>
        <v>0.48279999999999995</v>
      </c>
      <c r="BJ25" s="22">
        <f t="shared" si="25"/>
        <v>-0.72815278975876074</v>
      </c>
      <c r="BK25" s="21">
        <v>0.63639999999999997</v>
      </c>
      <c r="BL25" s="22">
        <f t="shared" si="26"/>
        <v>0.53059999999999996</v>
      </c>
      <c r="BM25" s="22">
        <f t="shared" si="27"/>
        <v>-0.6337468372784979</v>
      </c>
      <c r="BN25" s="46">
        <v>0.55800000000000005</v>
      </c>
      <c r="BO25" s="47">
        <v>0.45020000000000004</v>
      </c>
      <c r="BP25" s="47">
        <v>-0.79806335050950505</v>
      </c>
      <c r="BQ25" s="46">
        <v>0.6129</v>
      </c>
      <c r="BR25" s="47">
        <f t="shared" si="28"/>
        <v>0.5071</v>
      </c>
      <c r="BS25" s="47">
        <f t="shared" si="29"/>
        <v>-0.67904705618116368</v>
      </c>
      <c r="BT25" s="46">
        <v>0.68979999999999997</v>
      </c>
      <c r="BU25" s="47">
        <f t="shared" si="30"/>
        <v>0.58099999999999996</v>
      </c>
      <c r="BV25" s="47">
        <f t="shared" si="31"/>
        <v>-0.54300452213022588</v>
      </c>
    </row>
    <row r="26" spans="1:74" x14ac:dyDescent="0.2">
      <c r="A26" s="11">
        <v>4.9938205555555601</v>
      </c>
      <c r="B26" s="11"/>
      <c r="C26" s="25">
        <v>0.4985</v>
      </c>
      <c r="D26" s="25">
        <v>0.39329999999999998</v>
      </c>
      <c r="E26" s="25">
        <v>-0.93318259954437321</v>
      </c>
      <c r="F26" s="25">
        <v>0.37080000000000002</v>
      </c>
      <c r="G26" s="25">
        <f t="shared" si="1"/>
        <v>0.27</v>
      </c>
      <c r="H26" s="91">
        <f t="shared" si="2"/>
        <v>-1.3093333199837622</v>
      </c>
      <c r="I26" s="25">
        <v>0.62670000000000003</v>
      </c>
      <c r="J26" s="25">
        <f t="shared" si="3"/>
        <v>0.51950000000000007</v>
      </c>
      <c r="K26" s="25">
        <f t="shared" si="4"/>
        <v>-0.65488846844285487</v>
      </c>
      <c r="L26" s="27">
        <v>0.47720000000000001</v>
      </c>
      <c r="M26" s="28">
        <v>0.37160000000000004</v>
      </c>
      <c r="N26" s="28">
        <v>-0.98993727204245352</v>
      </c>
      <c r="O26" s="27">
        <v>0.56020000000000003</v>
      </c>
      <c r="P26" s="28">
        <f t="shared" si="0"/>
        <v>0.45540000000000003</v>
      </c>
      <c r="Q26" s="28">
        <f t="shared" si="5"/>
        <v>-0.78657912535249774</v>
      </c>
      <c r="R26" s="27">
        <v>0.61799999999999999</v>
      </c>
      <c r="S26" s="28">
        <f t="shared" si="6"/>
        <v>0.51200000000000001</v>
      </c>
      <c r="T26" s="28">
        <f t="shared" si="7"/>
        <v>-0.66943065394262924</v>
      </c>
      <c r="U26" s="33">
        <v>0.46110000000000001</v>
      </c>
      <c r="V26" s="34">
        <v>0.35580000000000001</v>
      </c>
      <c r="W26" s="34">
        <v>-1.0333865037504022</v>
      </c>
      <c r="X26" s="33">
        <v>0.54069999999999996</v>
      </c>
      <c r="Y26" s="34">
        <f t="shared" si="8"/>
        <v>0.43609999999999993</v>
      </c>
      <c r="Z26" s="34">
        <f t="shared" si="9"/>
        <v>-0.82988370413341639</v>
      </c>
      <c r="AA26" s="33">
        <v>0.61180000000000001</v>
      </c>
      <c r="AB26" s="34">
        <f t="shared" si="10"/>
        <v>0.50639999999999996</v>
      </c>
      <c r="AC26" s="34">
        <f t="shared" si="11"/>
        <v>-0.68042840815217065</v>
      </c>
      <c r="AD26" s="38">
        <v>0.46129999999999999</v>
      </c>
      <c r="AE26" s="39">
        <v>0.35630000000000001</v>
      </c>
      <c r="AF26" s="39">
        <v>-1.0319822063703468</v>
      </c>
      <c r="AG26" s="38">
        <v>0.54059999999999997</v>
      </c>
      <c r="AH26" s="39">
        <f t="shared" si="12"/>
        <v>0.43509999999999999</v>
      </c>
      <c r="AI26" s="39">
        <f t="shared" si="13"/>
        <v>-0.83217938925550261</v>
      </c>
      <c r="AJ26" s="38">
        <v>0.6028</v>
      </c>
      <c r="AK26" s="39">
        <f t="shared" si="14"/>
        <v>0.49690000000000001</v>
      </c>
      <c r="AL26" s="39">
        <f t="shared" si="15"/>
        <v>-0.69936648037386218</v>
      </c>
      <c r="AM26" s="42">
        <v>0.44740000000000002</v>
      </c>
      <c r="AN26" s="43">
        <v>0.33800000000000002</v>
      </c>
      <c r="AO26" s="43">
        <v>-1.0847093834991182</v>
      </c>
      <c r="AP26" s="42">
        <v>0.5252</v>
      </c>
      <c r="AQ26" s="43">
        <f t="shared" si="16"/>
        <v>0.41910000000000003</v>
      </c>
      <c r="AR26" s="43">
        <f t="shared" si="17"/>
        <v>-0.86964572405111118</v>
      </c>
      <c r="AS26" s="42">
        <v>0.60560000000000003</v>
      </c>
      <c r="AT26" s="43">
        <f t="shared" si="18"/>
        <v>0.49690000000000001</v>
      </c>
      <c r="AU26" s="43">
        <f t="shared" si="19"/>
        <v>-0.69936648037386218</v>
      </c>
      <c r="AV26" s="27">
        <v>0.47220000000000001</v>
      </c>
      <c r="AW26" s="28">
        <v>0.3639</v>
      </c>
      <c r="AX26" s="28">
        <v>-1.0108761743640229</v>
      </c>
      <c r="AY26" s="27">
        <v>0.54169999999999996</v>
      </c>
      <c r="AZ26" s="28">
        <f t="shared" si="20"/>
        <v>0.43459999999999999</v>
      </c>
      <c r="BA26" s="28">
        <f t="shared" si="21"/>
        <v>-0.83332921115980785</v>
      </c>
      <c r="BB26" s="27">
        <v>0.63290000000000002</v>
      </c>
      <c r="BC26" s="28">
        <f t="shared" si="22"/>
        <v>0.51060000000000005</v>
      </c>
      <c r="BD26" s="28">
        <f t="shared" si="23"/>
        <v>-0.67216877417475351</v>
      </c>
      <c r="BE26" s="21">
        <v>0.51680000000000004</v>
      </c>
      <c r="BF26" s="22">
        <v>0.41170000000000007</v>
      </c>
      <c r="BG26" s="22">
        <v>-0.88746035020627789</v>
      </c>
      <c r="BH26" s="21">
        <v>0.58799999999999997</v>
      </c>
      <c r="BI26" s="22">
        <f t="shared" si="24"/>
        <v>0.48279999999999995</v>
      </c>
      <c r="BJ26" s="22">
        <f t="shared" si="25"/>
        <v>-0.72815278975876074</v>
      </c>
      <c r="BK26" s="21">
        <v>0.64990000000000003</v>
      </c>
      <c r="BL26" s="22">
        <f t="shared" si="26"/>
        <v>0.54410000000000003</v>
      </c>
      <c r="BM26" s="22">
        <f t="shared" si="27"/>
        <v>-0.60862222549025735</v>
      </c>
      <c r="BN26" s="46">
        <v>0.57179999999999997</v>
      </c>
      <c r="BO26" s="47">
        <v>0.46399999999999997</v>
      </c>
      <c r="BP26" s="47">
        <v>-0.76787072675588186</v>
      </c>
      <c r="BQ26" s="46">
        <v>0.61929999999999996</v>
      </c>
      <c r="BR26" s="47">
        <f t="shared" si="28"/>
        <v>0.51349999999999996</v>
      </c>
      <c r="BS26" s="47">
        <f t="shared" si="29"/>
        <v>-0.6665052496135242</v>
      </c>
      <c r="BT26" s="46">
        <v>0.68830000000000002</v>
      </c>
      <c r="BU26" s="47">
        <f t="shared" si="30"/>
        <v>0.57950000000000002</v>
      </c>
      <c r="BV26" s="47">
        <f t="shared" si="31"/>
        <v>-0.5455896162023306</v>
      </c>
    </row>
    <row r="27" spans="1:74" x14ac:dyDescent="0.2">
      <c r="A27" s="11">
        <v>5.2316730555555555</v>
      </c>
      <c r="B27" s="11"/>
      <c r="C27" s="25">
        <v>0.4985</v>
      </c>
      <c r="D27" s="25">
        <v>0.39329999999999998</v>
      </c>
      <c r="E27" s="25">
        <v>-0.93318259954437321</v>
      </c>
      <c r="F27" s="25">
        <v>0.40839999999999999</v>
      </c>
      <c r="G27" s="25">
        <f t="shared" si="1"/>
        <v>0.30759999999999998</v>
      </c>
      <c r="H27" s="25">
        <f t="shared" si="2"/>
        <v>-1.1789550413506482</v>
      </c>
      <c r="I27" s="25">
        <v>0.71750000000000003</v>
      </c>
      <c r="J27" s="25">
        <f t="shared" si="3"/>
        <v>0.61030000000000006</v>
      </c>
      <c r="K27" s="25">
        <f t="shared" si="4"/>
        <v>-0.49380463943168768</v>
      </c>
      <c r="L27" s="27">
        <v>0.48899999999999999</v>
      </c>
      <c r="M27" s="28">
        <v>0.38339999999999996</v>
      </c>
      <c r="N27" s="28">
        <v>-0.95867644837059307</v>
      </c>
      <c r="O27" s="27">
        <v>0.55930000000000002</v>
      </c>
      <c r="P27" s="28">
        <f t="shared" si="0"/>
        <v>0.45450000000000002</v>
      </c>
      <c r="Q27" s="28">
        <f t="shared" si="5"/>
        <v>-0.78855736536460352</v>
      </c>
      <c r="R27" s="27">
        <v>0.62419999999999998</v>
      </c>
      <c r="S27" s="28">
        <f t="shared" si="6"/>
        <v>0.51819999999999999</v>
      </c>
      <c r="T27" s="28">
        <f t="shared" si="7"/>
        <v>-0.65739401085412752</v>
      </c>
      <c r="U27" s="33">
        <v>0.46289999999999998</v>
      </c>
      <c r="V27" s="34">
        <v>0.35759999999999997</v>
      </c>
      <c r="W27" s="34">
        <v>-1.028340235682778</v>
      </c>
      <c r="X27" s="33">
        <v>0.54300000000000004</v>
      </c>
      <c r="Y27" s="34">
        <f t="shared" si="8"/>
        <v>0.43840000000000001</v>
      </c>
      <c r="Z27" s="34">
        <f t="shared" si="9"/>
        <v>-0.82462354334833121</v>
      </c>
      <c r="AA27" s="33">
        <v>0.62409999999999999</v>
      </c>
      <c r="AB27" s="34">
        <f t="shared" si="10"/>
        <v>0.51869999999999994</v>
      </c>
      <c r="AC27" s="34">
        <f t="shared" si="11"/>
        <v>-0.6564295976247827</v>
      </c>
      <c r="AD27" s="38">
        <v>0.46529999999999999</v>
      </c>
      <c r="AE27" s="39">
        <v>0.36030000000000001</v>
      </c>
      <c r="AF27" s="39">
        <v>-1.0208182612280894</v>
      </c>
      <c r="AG27" s="38">
        <v>0.54349999999999998</v>
      </c>
      <c r="AH27" s="39">
        <f t="shared" si="12"/>
        <v>0.438</v>
      </c>
      <c r="AI27" s="39">
        <f t="shared" si="13"/>
        <v>-0.82553636860569091</v>
      </c>
      <c r="AJ27" s="38">
        <v>0.61480000000000001</v>
      </c>
      <c r="AK27" s="39">
        <f t="shared" si="14"/>
        <v>0.50890000000000002</v>
      </c>
      <c r="AL27" s="39">
        <f t="shared" si="15"/>
        <v>-0.67550374538735003</v>
      </c>
      <c r="AM27" s="42">
        <v>0.45079999999999998</v>
      </c>
      <c r="AN27" s="43">
        <v>0.34139999999999998</v>
      </c>
      <c r="AO27" s="43">
        <v>-1.0747004686217969</v>
      </c>
      <c r="AP27" s="42">
        <v>0.53100000000000003</v>
      </c>
      <c r="AQ27" s="43">
        <f t="shared" si="16"/>
        <v>0.42490000000000006</v>
      </c>
      <c r="AR27" s="43">
        <f t="shared" si="17"/>
        <v>-0.85590143186137102</v>
      </c>
      <c r="AS27" s="42">
        <v>0.61990000000000001</v>
      </c>
      <c r="AT27" s="43">
        <f t="shared" si="18"/>
        <v>0.51119999999999999</v>
      </c>
      <c r="AU27" s="43">
        <f t="shared" si="19"/>
        <v>-0.67099437591881206</v>
      </c>
      <c r="AV27" s="27">
        <v>0.4899</v>
      </c>
      <c r="AW27" s="28">
        <v>0.38159999999999999</v>
      </c>
      <c r="AX27" s="28">
        <v>-0.96338233940800555</v>
      </c>
      <c r="AY27" s="27">
        <v>0.54869999999999997</v>
      </c>
      <c r="AZ27" s="28">
        <f t="shared" si="20"/>
        <v>0.44159999999999999</v>
      </c>
      <c r="BA27" s="28">
        <f t="shared" si="21"/>
        <v>-0.81735078401925154</v>
      </c>
      <c r="BB27" s="27">
        <v>0.64190000000000003</v>
      </c>
      <c r="BC27" s="28">
        <f t="shared" si="22"/>
        <v>0.51960000000000006</v>
      </c>
      <c r="BD27" s="28">
        <f t="shared" si="23"/>
        <v>-0.65469599418569246</v>
      </c>
      <c r="BE27" s="21">
        <v>0.53620000000000001</v>
      </c>
      <c r="BF27" s="22">
        <v>0.43110000000000004</v>
      </c>
      <c r="BG27" s="22">
        <v>-0.84141519722904801</v>
      </c>
      <c r="BH27" s="21">
        <v>0.60060000000000002</v>
      </c>
      <c r="BI27" s="22">
        <f t="shared" si="24"/>
        <v>0.49540000000000001</v>
      </c>
      <c r="BJ27" s="22">
        <f t="shared" si="25"/>
        <v>-0.70238976192687785</v>
      </c>
      <c r="BK27" s="21">
        <v>0.65169999999999995</v>
      </c>
      <c r="BL27" s="22">
        <f t="shared" si="26"/>
        <v>0.54589999999999994</v>
      </c>
      <c r="BM27" s="22">
        <f t="shared" si="27"/>
        <v>-0.60531947019442522</v>
      </c>
      <c r="BN27" s="46">
        <v>0.58860000000000001</v>
      </c>
      <c r="BO27" s="47">
        <v>0.48080000000000001</v>
      </c>
      <c r="BP27" s="47">
        <v>-0.73230389576113919</v>
      </c>
      <c r="BQ27" s="46">
        <v>0.627</v>
      </c>
      <c r="BR27" s="47">
        <f t="shared" si="28"/>
        <v>0.5212</v>
      </c>
      <c r="BS27" s="47">
        <f t="shared" si="29"/>
        <v>-0.65162143373144699</v>
      </c>
      <c r="BT27" s="46">
        <v>0.68740000000000001</v>
      </c>
      <c r="BU27" s="47">
        <f t="shared" si="30"/>
        <v>0.5786</v>
      </c>
      <c r="BV27" s="47">
        <f t="shared" si="31"/>
        <v>-0.54714388644010237</v>
      </c>
    </row>
    <row r="28" spans="1:74" x14ac:dyDescent="0.2">
      <c r="A28">
        <v>5.4694311111111116</v>
      </c>
      <c r="C28" s="21">
        <v>0.51829999999999998</v>
      </c>
      <c r="D28" s="22">
        <v>0.41309999999999997</v>
      </c>
      <c r="E28" s="22">
        <v>-0.88406558457941831</v>
      </c>
      <c r="F28" s="21">
        <v>0.4491</v>
      </c>
      <c r="G28" s="22">
        <f t="shared" si="1"/>
        <v>0.3483</v>
      </c>
      <c r="H28" s="22">
        <f t="shared" si="2"/>
        <v>-1.0546911016101816</v>
      </c>
      <c r="I28" s="21">
        <v>0.71819999999999995</v>
      </c>
      <c r="J28" s="22">
        <f t="shared" si="3"/>
        <v>0.61099999999999999</v>
      </c>
      <c r="K28" s="22">
        <f t="shared" si="4"/>
        <v>-0.49265831981054176</v>
      </c>
      <c r="L28" s="27">
        <v>0.50629999999999997</v>
      </c>
      <c r="M28" s="28">
        <v>0.40069999999999995</v>
      </c>
      <c r="N28" s="28">
        <v>-0.91454226134003835</v>
      </c>
      <c r="O28" s="27">
        <v>0.57679999999999998</v>
      </c>
      <c r="P28" s="28">
        <f t="shared" si="0"/>
        <v>0.47199999999999998</v>
      </c>
      <c r="Q28" s="28">
        <f t="shared" si="5"/>
        <v>-0.7507762933965817</v>
      </c>
      <c r="R28" s="27">
        <v>0.62880000000000003</v>
      </c>
      <c r="S28" s="28">
        <f t="shared" si="6"/>
        <v>0.52280000000000004</v>
      </c>
      <c r="T28" s="28">
        <f t="shared" si="7"/>
        <v>-0.64855629723207009</v>
      </c>
      <c r="U28" s="33">
        <v>0.48430000000000001</v>
      </c>
      <c r="V28" s="34">
        <v>0.379</v>
      </c>
      <c r="W28" s="34">
        <v>-0.97021907389971074</v>
      </c>
      <c r="X28" s="33">
        <v>0.55989999999999995</v>
      </c>
      <c r="Y28" s="34">
        <f t="shared" si="8"/>
        <v>0.45529999999999993</v>
      </c>
      <c r="Z28" s="34">
        <f t="shared" si="9"/>
        <v>-0.78679873664140076</v>
      </c>
      <c r="AA28" s="33">
        <v>0.63060000000000005</v>
      </c>
      <c r="AB28" s="34">
        <f t="shared" si="10"/>
        <v>0.52520000000000011</v>
      </c>
      <c r="AC28" s="34">
        <f t="shared" si="11"/>
        <v>-0.64397613655349573</v>
      </c>
      <c r="AD28" s="38">
        <v>0.48499999999999999</v>
      </c>
      <c r="AE28" s="39">
        <v>0.38</v>
      </c>
      <c r="AF28" s="39">
        <v>-0.96758402626170559</v>
      </c>
      <c r="AG28" s="38">
        <v>0.56140000000000001</v>
      </c>
      <c r="AH28" s="39">
        <f t="shared" si="12"/>
        <v>0.45590000000000003</v>
      </c>
      <c r="AI28" s="39">
        <f t="shared" si="13"/>
        <v>-0.78548179176274124</v>
      </c>
      <c r="AJ28" s="38">
        <v>0.61450000000000005</v>
      </c>
      <c r="AK28" s="39">
        <f t="shared" si="14"/>
        <v>0.50860000000000005</v>
      </c>
      <c r="AL28" s="39">
        <f t="shared" si="15"/>
        <v>-0.6760934259941177</v>
      </c>
      <c r="AM28" s="42">
        <v>0.47</v>
      </c>
      <c r="AN28" s="43">
        <v>0.36059999999999998</v>
      </c>
      <c r="AO28" s="43">
        <v>-1.0199859682129202</v>
      </c>
      <c r="AP28" s="42">
        <v>0.55000000000000004</v>
      </c>
      <c r="AQ28" s="43">
        <f t="shared" si="16"/>
        <v>0.44390000000000007</v>
      </c>
      <c r="AR28" s="43">
        <f t="shared" si="17"/>
        <v>-0.81215596714214733</v>
      </c>
      <c r="AS28" s="42">
        <v>0.61950000000000005</v>
      </c>
      <c r="AT28" s="43">
        <f t="shared" si="18"/>
        <v>0.51080000000000003</v>
      </c>
      <c r="AU28" s="43">
        <f t="shared" si="19"/>
        <v>-0.67177715482375278</v>
      </c>
      <c r="AV28" s="27">
        <v>0.48909999999999998</v>
      </c>
      <c r="AW28" s="28">
        <v>0.38079999999999997</v>
      </c>
      <c r="AX28" s="28">
        <v>-0.96548097606492689</v>
      </c>
      <c r="AY28" s="27">
        <v>0.56359999999999999</v>
      </c>
      <c r="AZ28" s="28">
        <f t="shared" si="20"/>
        <v>0.45650000000000002</v>
      </c>
      <c r="BA28" s="28">
        <f t="shared" si="21"/>
        <v>-0.78416657894711383</v>
      </c>
      <c r="BB28" s="27">
        <v>0.63460000000000005</v>
      </c>
      <c r="BC28" s="28">
        <f t="shared" si="22"/>
        <v>0.51230000000000009</v>
      </c>
      <c r="BD28" s="28">
        <f t="shared" si="23"/>
        <v>-0.66884488803698028</v>
      </c>
      <c r="BE28" s="21">
        <v>0.54120000000000001</v>
      </c>
      <c r="BF28" s="22">
        <v>0.43610000000000004</v>
      </c>
      <c r="BG28" s="22">
        <v>-0.82988370413341617</v>
      </c>
      <c r="BH28" s="21">
        <v>0.59699999999999998</v>
      </c>
      <c r="BI28" s="22">
        <f t="shared" si="24"/>
        <v>0.49179999999999996</v>
      </c>
      <c r="BJ28" s="22">
        <f t="shared" si="25"/>
        <v>-0.70968314920004494</v>
      </c>
      <c r="BK28" s="21">
        <v>0.64559999999999995</v>
      </c>
      <c r="BL28" s="22">
        <f t="shared" si="26"/>
        <v>0.53979999999999995</v>
      </c>
      <c r="BM28" s="22">
        <f t="shared" si="27"/>
        <v>-0.61655657839823286</v>
      </c>
      <c r="BN28" s="46">
        <v>0.60729999999999995</v>
      </c>
      <c r="BO28" s="47">
        <v>0.49949999999999994</v>
      </c>
      <c r="BP28" s="47">
        <v>-0.69414768089352896</v>
      </c>
      <c r="BQ28" s="46">
        <v>0.62470000000000003</v>
      </c>
      <c r="BR28" s="47">
        <f t="shared" si="28"/>
        <v>0.51890000000000003</v>
      </c>
      <c r="BS28" s="47">
        <f t="shared" si="29"/>
        <v>-0.6560440926084431</v>
      </c>
      <c r="BT28" s="46">
        <v>0.67600000000000005</v>
      </c>
      <c r="BU28" s="47">
        <f t="shared" si="30"/>
        <v>0.56720000000000004</v>
      </c>
      <c r="BV28" s="47">
        <f t="shared" si="31"/>
        <v>-0.5670433037642193</v>
      </c>
    </row>
    <row r="29" spans="1:74" x14ac:dyDescent="0.2">
      <c r="A29">
        <v>5.7071944444444451</v>
      </c>
      <c r="C29" s="21">
        <v>0.51900000000000002</v>
      </c>
      <c r="D29" s="22">
        <v>0.4138</v>
      </c>
      <c r="E29" s="22">
        <v>-0.88237251367069436</v>
      </c>
      <c r="F29" s="21">
        <v>0.49280000000000002</v>
      </c>
      <c r="G29" s="22">
        <f t="shared" si="1"/>
        <v>0.39200000000000002</v>
      </c>
      <c r="H29" s="22">
        <f t="shared" si="2"/>
        <v>-0.93649343919167449</v>
      </c>
      <c r="I29" s="21">
        <v>0.70279999999999998</v>
      </c>
      <c r="J29" s="22">
        <f t="shared" si="3"/>
        <v>0.59560000000000002</v>
      </c>
      <c r="K29" s="22">
        <f t="shared" si="4"/>
        <v>-0.51818597817228307</v>
      </c>
      <c r="L29" s="27">
        <v>0.5151</v>
      </c>
      <c r="M29" s="28">
        <v>0.40949999999999998</v>
      </c>
      <c r="N29" s="28">
        <v>-0.89281837568901301</v>
      </c>
      <c r="O29" s="27">
        <v>0.58699999999999997</v>
      </c>
      <c r="P29" s="28">
        <f t="shared" si="0"/>
        <v>0.48219999999999996</v>
      </c>
      <c r="Q29" s="28">
        <f t="shared" si="5"/>
        <v>-0.72939631323506648</v>
      </c>
      <c r="R29" s="27">
        <v>0.64400000000000002</v>
      </c>
      <c r="S29" s="28">
        <f t="shared" si="6"/>
        <v>0.53800000000000003</v>
      </c>
      <c r="T29" s="28">
        <f t="shared" si="7"/>
        <v>-0.61989671882035258</v>
      </c>
      <c r="U29" s="33">
        <v>0.49890000000000001</v>
      </c>
      <c r="V29" s="34">
        <v>0.39360000000000001</v>
      </c>
      <c r="W29" s="34">
        <v>-0.93242011380403866</v>
      </c>
      <c r="X29" s="33">
        <v>0.57410000000000005</v>
      </c>
      <c r="Y29" s="34">
        <f t="shared" si="8"/>
        <v>0.46950000000000003</v>
      </c>
      <c r="Z29" s="34">
        <f t="shared" si="9"/>
        <v>-0.75608698033381938</v>
      </c>
      <c r="AA29" s="33">
        <v>0.63500000000000001</v>
      </c>
      <c r="AB29" s="34">
        <f t="shared" si="10"/>
        <v>0.52960000000000007</v>
      </c>
      <c r="AC29" s="34">
        <f t="shared" si="11"/>
        <v>-0.63563327435933847</v>
      </c>
      <c r="AD29" s="38">
        <v>0.49559999999999998</v>
      </c>
      <c r="AE29" s="39">
        <v>0.3906</v>
      </c>
      <c r="AF29" s="39">
        <v>-0.94007126053955847</v>
      </c>
      <c r="AG29" s="38">
        <v>0.57089999999999996</v>
      </c>
      <c r="AH29" s="39">
        <f t="shared" si="12"/>
        <v>0.46539999999999998</v>
      </c>
      <c r="AI29" s="39">
        <f t="shared" si="13"/>
        <v>-0.76485802811394576</v>
      </c>
      <c r="AJ29" s="38">
        <v>0.62109999999999999</v>
      </c>
      <c r="AK29" s="39">
        <f t="shared" si="14"/>
        <v>0.51519999999999999</v>
      </c>
      <c r="AL29" s="39">
        <f t="shared" si="15"/>
        <v>-0.66320010419199316</v>
      </c>
      <c r="AM29" s="42">
        <v>0.48209999999999997</v>
      </c>
      <c r="AN29" s="43">
        <v>0.37269999999999998</v>
      </c>
      <c r="AO29" s="43">
        <v>-0.98698147249692436</v>
      </c>
      <c r="AP29" s="42">
        <v>0.5595</v>
      </c>
      <c r="AQ29" s="43">
        <f t="shared" si="16"/>
        <v>0.45340000000000003</v>
      </c>
      <c r="AR29" s="43">
        <f t="shared" si="17"/>
        <v>-0.7909805409087084</v>
      </c>
      <c r="AS29" s="42">
        <v>0.62770000000000004</v>
      </c>
      <c r="AT29" s="43">
        <f t="shared" si="18"/>
        <v>0.51900000000000002</v>
      </c>
      <c r="AU29" s="43">
        <f t="shared" si="19"/>
        <v>-0.65585139581624841</v>
      </c>
      <c r="AV29" s="27">
        <v>0.51749999999999996</v>
      </c>
      <c r="AW29" s="28">
        <v>0.40919999999999995</v>
      </c>
      <c r="AX29" s="28">
        <v>-0.89355124490466575</v>
      </c>
      <c r="AY29" s="27">
        <v>0.57410000000000005</v>
      </c>
      <c r="AZ29" s="28">
        <f t="shared" si="20"/>
        <v>0.46700000000000008</v>
      </c>
      <c r="BA29" s="28">
        <f t="shared" si="21"/>
        <v>-0.76142602131323955</v>
      </c>
      <c r="BB29" s="27">
        <v>0.63700000000000001</v>
      </c>
      <c r="BC29" s="28">
        <f t="shared" si="22"/>
        <v>0.51470000000000005</v>
      </c>
      <c r="BD29" s="28">
        <f t="shared" si="23"/>
        <v>-0.66417107232342809</v>
      </c>
      <c r="BE29" s="21">
        <v>0.57040000000000002</v>
      </c>
      <c r="BF29" s="22">
        <v>0.46530000000000005</v>
      </c>
      <c r="BG29" s="22">
        <v>-0.76507292013153416</v>
      </c>
      <c r="BH29" s="21">
        <v>0.60799999999999998</v>
      </c>
      <c r="BI29" s="22">
        <f t="shared" si="24"/>
        <v>0.50280000000000002</v>
      </c>
      <c r="BJ29" s="22">
        <f t="shared" si="25"/>
        <v>-0.6875628022660446</v>
      </c>
      <c r="BK29" s="21">
        <v>0.65</v>
      </c>
      <c r="BL29" s="22">
        <f t="shared" si="26"/>
        <v>0.54420000000000002</v>
      </c>
      <c r="BM29" s="22">
        <f t="shared" si="27"/>
        <v>-0.60843845263299112</v>
      </c>
      <c r="BN29" s="46">
        <v>0.62109999999999999</v>
      </c>
      <c r="BO29" s="47">
        <v>0.51329999999999998</v>
      </c>
      <c r="BP29" s="47">
        <v>-0.66689480941587964</v>
      </c>
      <c r="BQ29" s="46">
        <v>0.64290000000000003</v>
      </c>
      <c r="BR29" s="47">
        <f t="shared" si="28"/>
        <v>0.53710000000000002</v>
      </c>
      <c r="BS29" s="47">
        <f t="shared" si="29"/>
        <v>-0.62157098207072337</v>
      </c>
      <c r="BT29" s="46">
        <v>0.67579999999999996</v>
      </c>
      <c r="BU29" s="47">
        <f t="shared" si="30"/>
        <v>0.56699999999999995</v>
      </c>
      <c r="BV29" s="47">
        <f t="shared" si="31"/>
        <v>-0.56739597525438512</v>
      </c>
    </row>
    <row r="30" spans="1:74" x14ac:dyDescent="0.2">
      <c r="A30">
        <v>5.9450247222222226</v>
      </c>
      <c r="C30" s="21">
        <v>0.52849999999999997</v>
      </c>
      <c r="D30" s="22">
        <v>0.42329999999999995</v>
      </c>
      <c r="E30" s="22">
        <v>-0.85967413145525917</v>
      </c>
      <c r="F30" s="21">
        <v>0.52710000000000001</v>
      </c>
      <c r="G30" s="22">
        <f t="shared" si="1"/>
        <v>0.42630000000000001</v>
      </c>
      <c r="H30" s="22">
        <f t="shared" si="2"/>
        <v>-0.85261195521097233</v>
      </c>
      <c r="I30" s="21">
        <v>0.73099999999999998</v>
      </c>
      <c r="J30" s="22">
        <f t="shared" si="3"/>
        <v>0.62380000000000002</v>
      </c>
      <c r="K30" s="22">
        <f t="shared" si="4"/>
        <v>-0.47192547480843411</v>
      </c>
      <c r="L30" s="27">
        <v>0.53490000000000004</v>
      </c>
      <c r="M30" s="28">
        <v>0.42930000000000001</v>
      </c>
      <c r="N30" s="28">
        <v>-0.84559930375162207</v>
      </c>
      <c r="O30" s="27">
        <v>0.59279999999999999</v>
      </c>
      <c r="P30" s="28">
        <f t="shared" si="0"/>
        <v>0.48799999999999999</v>
      </c>
      <c r="Q30" s="28">
        <f t="shared" si="5"/>
        <v>-0.71743987312898994</v>
      </c>
      <c r="R30" s="27">
        <v>0.63660000000000005</v>
      </c>
      <c r="S30" s="28">
        <f t="shared" si="6"/>
        <v>0.53060000000000007</v>
      </c>
      <c r="T30" s="28">
        <f t="shared" si="7"/>
        <v>-0.63374683727849768</v>
      </c>
      <c r="U30" s="33">
        <v>0.5071</v>
      </c>
      <c r="V30" s="34">
        <v>0.40179999999999999</v>
      </c>
      <c r="W30" s="34">
        <v>-0.91180082660130302</v>
      </c>
      <c r="X30" s="33">
        <v>0.58309999999999995</v>
      </c>
      <c r="Y30" s="34">
        <f t="shared" si="8"/>
        <v>0.47849999999999993</v>
      </c>
      <c r="Z30" s="34">
        <f t="shared" si="9"/>
        <v>-0.73709906808912828</v>
      </c>
      <c r="AA30" s="33">
        <v>0.63590000000000002</v>
      </c>
      <c r="AB30" s="34">
        <f t="shared" si="10"/>
        <v>0.53049999999999997</v>
      </c>
      <c r="AC30" s="34">
        <f t="shared" si="11"/>
        <v>-0.63393532092809923</v>
      </c>
      <c r="AD30" s="38">
        <v>0.5091</v>
      </c>
      <c r="AE30" s="39">
        <v>0.40410000000000001</v>
      </c>
      <c r="AF30" s="39">
        <v>-0.90609290689770905</v>
      </c>
      <c r="AG30" s="38">
        <v>0.58220000000000005</v>
      </c>
      <c r="AH30" s="39">
        <f t="shared" si="12"/>
        <v>0.47670000000000007</v>
      </c>
      <c r="AI30" s="39">
        <f t="shared" si="13"/>
        <v>-0.74086791677135688</v>
      </c>
      <c r="AJ30" s="38">
        <v>0.61750000000000005</v>
      </c>
      <c r="AK30" s="39">
        <f t="shared" si="14"/>
        <v>0.51160000000000005</v>
      </c>
      <c r="AL30" s="39">
        <f t="shared" si="15"/>
        <v>-0.67021220927744929</v>
      </c>
      <c r="AM30" s="42">
        <v>0.49619999999999997</v>
      </c>
      <c r="AN30" s="43">
        <v>0.38679999999999998</v>
      </c>
      <c r="AO30" s="43">
        <v>-0.94984751540299783</v>
      </c>
      <c r="AP30" s="42">
        <v>0.57489999999999997</v>
      </c>
      <c r="AQ30" s="43">
        <f t="shared" si="16"/>
        <v>0.46879999999999999</v>
      </c>
      <c r="AR30" s="43">
        <f t="shared" si="17"/>
        <v>-0.75757904071933424</v>
      </c>
      <c r="AS30" s="42">
        <v>0.63170000000000004</v>
      </c>
      <c r="AT30" s="43">
        <f t="shared" si="18"/>
        <v>0.52300000000000002</v>
      </c>
      <c r="AU30" s="43">
        <f t="shared" si="19"/>
        <v>-0.64817381491721415</v>
      </c>
      <c r="AV30" s="27">
        <v>0.52229999999999999</v>
      </c>
      <c r="AW30" s="28">
        <v>0.41399999999999998</v>
      </c>
      <c r="AX30" s="28">
        <v>-0.88188930515682273</v>
      </c>
      <c r="AY30" s="27">
        <v>0.58930000000000005</v>
      </c>
      <c r="AZ30" s="28">
        <f t="shared" si="20"/>
        <v>0.48220000000000007</v>
      </c>
      <c r="BA30" s="28">
        <f t="shared" si="21"/>
        <v>-0.72939631323506626</v>
      </c>
      <c r="BB30" s="27">
        <v>0.6351</v>
      </c>
      <c r="BC30" s="28">
        <f t="shared" si="22"/>
        <v>0.51280000000000003</v>
      </c>
      <c r="BD30" s="28">
        <f t="shared" si="23"/>
        <v>-0.66786937337567676</v>
      </c>
      <c r="BE30" s="21">
        <v>0.57609999999999995</v>
      </c>
      <c r="BF30" s="22">
        <v>0.47099999999999997</v>
      </c>
      <c r="BG30" s="22">
        <v>-0.75289718496571933</v>
      </c>
      <c r="BH30" s="21">
        <v>0.60529999999999995</v>
      </c>
      <c r="BI30" s="22">
        <f t="shared" si="24"/>
        <v>0.50009999999999999</v>
      </c>
      <c r="BJ30" s="22">
        <f t="shared" si="25"/>
        <v>-0.6929472005572791</v>
      </c>
      <c r="BK30" s="21">
        <v>0.6472</v>
      </c>
      <c r="BL30" s="22">
        <f t="shared" si="26"/>
        <v>0.54139999999999999</v>
      </c>
      <c r="BM30" s="22">
        <f t="shared" si="27"/>
        <v>-0.61359690180193627</v>
      </c>
      <c r="BN30" s="46">
        <v>0.64539999999999997</v>
      </c>
      <c r="BO30" s="47">
        <v>0.53759999999999997</v>
      </c>
      <c r="BP30" s="47">
        <v>-0.6206404897731973</v>
      </c>
      <c r="BQ30" s="46">
        <v>0.6331</v>
      </c>
      <c r="BR30" s="47">
        <f t="shared" si="28"/>
        <v>0.52729999999999999</v>
      </c>
      <c r="BS30" s="47">
        <f t="shared" si="29"/>
        <v>-0.63998563244571294</v>
      </c>
      <c r="BT30" s="46">
        <v>0.66969999999999996</v>
      </c>
      <c r="BU30" s="47">
        <f t="shared" si="30"/>
        <v>0.56089999999999995</v>
      </c>
      <c r="BV30" s="47">
        <f t="shared" si="31"/>
        <v>-0.57821264246784587</v>
      </c>
    </row>
    <row r="31" spans="1:74" x14ac:dyDescent="0.2">
      <c r="A31">
        <v>6.1827869444444445</v>
      </c>
      <c r="C31" s="21">
        <v>0.53910000000000002</v>
      </c>
      <c r="D31" s="22">
        <v>0.43390000000000001</v>
      </c>
      <c r="E31" s="22">
        <v>-0.83494118617783197</v>
      </c>
      <c r="F31" s="21">
        <v>0.54810000000000003</v>
      </c>
      <c r="G31" s="22">
        <f t="shared" si="1"/>
        <v>0.44730000000000003</v>
      </c>
      <c r="H31" s="22">
        <f t="shared" si="2"/>
        <v>-0.80452576854333457</v>
      </c>
      <c r="I31" s="21">
        <v>0.64390000000000003</v>
      </c>
      <c r="J31" s="22">
        <f t="shared" si="3"/>
        <v>0.53670000000000007</v>
      </c>
      <c r="K31" s="22">
        <f t="shared" si="4"/>
        <v>-0.62231599979935381</v>
      </c>
      <c r="L31" s="27">
        <v>0.54079999999999995</v>
      </c>
      <c r="M31" s="28">
        <v>0.43519999999999992</v>
      </c>
      <c r="N31" s="28">
        <v>-0.83194958344040437</v>
      </c>
      <c r="O31" s="27">
        <v>0.59589999999999999</v>
      </c>
      <c r="P31" s="28">
        <f t="shared" si="0"/>
        <v>0.49109999999999998</v>
      </c>
      <c r="Q31" s="28">
        <f t="shared" si="5"/>
        <v>-0.71110750593693817</v>
      </c>
      <c r="R31" s="27">
        <v>0.65029999999999999</v>
      </c>
      <c r="S31" s="28">
        <f t="shared" si="6"/>
        <v>0.54430000000000001</v>
      </c>
      <c r="T31" s="28">
        <f t="shared" si="7"/>
        <v>-0.60825471354198268</v>
      </c>
      <c r="U31" s="33">
        <v>0.51949999999999996</v>
      </c>
      <c r="V31" s="34">
        <v>0.41419999999999996</v>
      </c>
      <c r="W31" s="34">
        <v>-0.88140633002065338</v>
      </c>
      <c r="X31" s="33">
        <v>0.58250000000000002</v>
      </c>
      <c r="Y31" s="34">
        <f t="shared" si="8"/>
        <v>0.47789999999999999</v>
      </c>
      <c r="Z31" s="34">
        <f t="shared" si="9"/>
        <v>-0.73835377339802455</v>
      </c>
      <c r="AA31" s="33">
        <v>0.62549999999999994</v>
      </c>
      <c r="AB31" s="34">
        <f t="shared" si="10"/>
        <v>0.52010000000000001</v>
      </c>
      <c r="AC31" s="34">
        <f t="shared" si="11"/>
        <v>-0.65373417820311031</v>
      </c>
      <c r="AD31" s="38">
        <v>0.51759999999999995</v>
      </c>
      <c r="AE31" s="39">
        <v>0.41259999999999997</v>
      </c>
      <c r="AF31" s="39">
        <v>-0.88527667834498569</v>
      </c>
      <c r="AG31" s="38">
        <v>0.58069999999999999</v>
      </c>
      <c r="AH31" s="39">
        <f t="shared" si="12"/>
        <v>0.47520000000000001</v>
      </c>
      <c r="AI31" s="39">
        <f t="shared" si="13"/>
        <v>-0.74401951093370189</v>
      </c>
      <c r="AJ31" s="38">
        <v>0.63090000000000002</v>
      </c>
      <c r="AK31" s="39">
        <f t="shared" si="14"/>
        <v>0.52500000000000002</v>
      </c>
      <c r="AL31" s="39">
        <f t="shared" si="15"/>
        <v>-0.64435701639051324</v>
      </c>
      <c r="AM31" s="42">
        <v>0.5081</v>
      </c>
      <c r="AN31" s="43">
        <v>0.3987</v>
      </c>
      <c r="AO31" s="43">
        <v>-0.9195460245948277</v>
      </c>
      <c r="AP31" s="42">
        <v>0.57650000000000001</v>
      </c>
      <c r="AQ31" s="43">
        <f t="shared" si="16"/>
        <v>0.47040000000000004</v>
      </c>
      <c r="AR31" s="43">
        <f t="shared" si="17"/>
        <v>-0.75417188239771982</v>
      </c>
      <c r="AS31" s="42">
        <v>0.62739999999999996</v>
      </c>
      <c r="AT31" s="43">
        <f t="shared" si="18"/>
        <v>0.51869999999999994</v>
      </c>
      <c r="AU31" s="43">
        <f t="shared" si="19"/>
        <v>-0.6564295976247827</v>
      </c>
      <c r="AV31" s="27">
        <v>0.51670000000000005</v>
      </c>
      <c r="AW31" s="28">
        <v>0.40840000000000004</v>
      </c>
      <c r="AX31" s="28">
        <v>-0.89550819269162651</v>
      </c>
      <c r="AY31" s="27">
        <v>0.58630000000000004</v>
      </c>
      <c r="AZ31" s="28">
        <f t="shared" si="20"/>
        <v>0.47920000000000007</v>
      </c>
      <c r="BA31" s="28">
        <f t="shared" si="21"/>
        <v>-0.73563723218089727</v>
      </c>
      <c r="BB31" s="27">
        <v>0.63700000000000001</v>
      </c>
      <c r="BC31" s="28">
        <f t="shared" si="22"/>
        <v>0.51470000000000005</v>
      </c>
      <c r="BD31" s="28">
        <f t="shared" si="23"/>
        <v>-0.66417107232342809</v>
      </c>
      <c r="BE31" s="21">
        <v>0.57340000000000002</v>
      </c>
      <c r="BF31" s="22">
        <v>0.46830000000000005</v>
      </c>
      <c r="BG31" s="22">
        <v>-0.75864616279264085</v>
      </c>
      <c r="BH31" s="21">
        <v>0.59809999999999997</v>
      </c>
      <c r="BI31" s="22">
        <f t="shared" si="24"/>
        <v>0.49289999999999995</v>
      </c>
      <c r="BJ31" s="22">
        <f t="shared" si="25"/>
        <v>-0.70744896527080503</v>
      </c>
      <c r="BK31" s="21">
        <v>0.64680000000000004</v>
      </c>
      <c r="BL31" s="22">
        <f t="shared" si="26"/>
        <v>0.54100000000000004</v>
      </c>
      <c r="BM31" s="22">
        <f t="shared" si="27"/>
        <v>-0.61433600013565548</v>
      </c>
      <c r="BN31" s="46">
        <v>0.64180000000000004</v>
      </c>
      <c r="BO31" s="47">
        <v>0.53400000000000003</v>
      </c>
      <c r="BP31" s="47">
        <v>-0.62735944002194211</v>
      </c>
      <c r="BQ31" s="46">
        <v>0.61880000000000002</v>
      </c>
      <c r="BR31" s="47">
        <f t="shared" si="28"/>
        <v>0.51300000000000001</v>
      </c>
      <c r="BS31" s="47">
        <f t="shared" si="29"/>
        <v>-0.66747943381136754</v>
      </c>
      <c r="BT31" s="46">
        <v>0.65880000000000005</v>
      </c>
      <c r="BU31" s="47">
        <f t="shared" si="30"/>
        <v>0.55000000000000004</v>
      </c>
      <c r="BV31" s="47">
        <f t="shared" si="31"/>
        <v>-0.59783700075562041</v>
      </c>
    </row>
    <row r="32" spans="1:74" x14ac:dyDescent="0.2">
      <c r="A32">
        <v>6.4205563888888895</v>
      </c>
      <c r="C32" s="21">
        <v>0.53</v>
      </c>
      <c r="D32" s="22">
        <v>0.42480000000000001</v>
      </c>
      <c r="E32" s="22">
        <v>-0.85613680905440792</v>
      </c>
      <c r="F32" s="21">
        <v>0.56510000000000005</v>
      </c>
      <c r="G32" s="22">
        <f t="shared" si="1"/>
        <v>0.46430000000000005</v>
      </c>
      <c r="H32" s="22">
        <f t="shared" si="2"/>
        <v>-0.76722438395626091</v>
      </c>
      <c r="I32" s="21">
        <v>0.68940000000000001</v>
      </c>
      <c r="J32" s="22">
        <f t="shared" si="3"/>
        <v>0.58220000000000005</v>
      </c>
      <c r="K32" s="22">
        <f t="shared" si="4"/>
        <v>-0.54094124767061413</v>
      </c>
      <c r="L32" s="27">
        <v>0.54169999999999996</v>
      </c>
      <c r="M32" s="28">
        <v>0.43609999999999993</v>
      </c>
      <c r="N32" s="28">
        <v>-0.82988370413341639</v>
      </c>
      <c r="O32" s="27">
        <v>0.59930000000000005</v>
      </c>
      <c r="P32" s="28">
        <f t="shared" si="0"/>
        <v>0.49450000000000005</v>
      </c>
      <c r="Q32" s="28">
        <f t="shared" si="5"/>
        <v>-0.70420812791937015</v>
      </c>
      <c r="R32" s="27">
        <v>0.63819999999999999</v>
      </c>
      <c r="S32" s="28">
        <f t="shared" si="6"/>
        <v>0.53220000000000001</v>
      </c>
      <c r="T32" s="28">
        <f t="shared" si="7"/>
        <v>-0.6307359204385482</v>
      </c>
      <c r="U32" s="33">
        <v>0.53049999999999997</v>
      </c>
      <c r="V32" s="34">
        <v>0.42519999999999997</v>
      </c>
      <c r="W32" s="34">
        <v>-0.85519563251434427</v>
      </c>
      <c r="X32" s="33">
        <v>0.59130000000000005</v>
      </c>
      <c r="Y32" s="34">
        <f t="shared" si="8"/>
        <v>0.48670000000000002</v>
      </c>
      <c r="Z32" s="34">
        <f t="shared" si="9"/>
        <v>-0.72010736214272841</v>
      </c>
      <c r="AA32" s="33">
        <v>0.629</v>
      </c>
      <c r="AB32" s="34">
        <f t="shared" si="10"/>
        <v>0.52360000000000007</v>
      </c>
      <c r="AC32" s="34">
        <f t="shared" si="11"/>
        <v>-0.64702724494639208</v>
      </c>
      <c r="AD32" s="38">
        <v>0.53110000000000002</v>
      </c>
      <c r="AE32" s="39">
        <v>0.42610000000000003</v>
      </c>
      <c r="AF32" s="39">
        <v>-0.85308121847627061</v>
      </c>
      <c r="AG32" s="38">
        <v>0.58160000000000001</v>
      </c>
      <c r="AH32" s="39">
        <f t="shared" si="12"/>
        <v>0.47610000000000002</v>
      </c>
      <c r="AI32" s="39">
        <f t="shared" si="13"/>
        <v>-0.74212736278166391</v>
      </c>
      <c r="AJ32" s="38">
        <v>0.61819999999999997</v>
      </c>
      <c r="AK32" s="39">
        <f t="shared" si="14"/>
        <v>0.51229999999999998</v>
      </c>
      <c r="AL32" s="39">
        <f t="shared" si="15"/>
        <v>-0.6688448880369805</v>
      </c>
      <c r="AM32" s="42">
        <v>0.51419999999999999</v>
      </c>
      <c r="AN32" s="43">
        <v>0.40479999999999999</v>
      </c>
      <c r="AO32" s="43">
        <v>-0.90436216100888123</v>
      </c>
      <c r="AP32" s="42">
        <v>0.58009999999999995</v>
      </c>
      <c r="AQ32" s="43">
        <f t="shared" si="16"/>
        <v>0.47399999999999998</v>
      </c>
      <c r="AR32" s="43">
        <f t="shared" si="17"/>
        <v>-0.74654795728706058</v>
      </c>
      <c r="AS32" s="42">
        <v>0.63329999999999997</v>
      </c>
      <c r="AT32" s="43">
        <f t="shared" si="18"/>
        <v>0.52459999999999996</v>
      </c>
      <c r="AU32" s="43">
        <f t="shared" si="19"/>
        <v>-0.6451192115493638</v>
      </c>
      <c r="AV32" s="27">
        <v>0.54090000000000005</v>
      </c>
      <c r="AW32" s="28">
        <v>0.43260000000000004</v>
      </c>
      <c r="AX32" s="28">
        <v>-0.83794176546317856</v>
      </c>
      <c r="AY32" s="27">
        <v>0.59289999999999998</v>
      </c>
      <c r="AZ32" s="28">
        <f t="shared" si="20"/>
        <v>0.48580000000000001</v>
      </c>
      <c r="BA32" s="28">
        <f t="shared" si="21"/>
        <v>-0.72195826241406491</v>
      </c>
      <c r="BB32" s="27">
        <v>0.63049999999999995</v>
      </c>
      <c r="BC32" s="28">
        <f t="shared" si="22"/>
        <v>0.50819999999999999</v>
      </c>
      <c r="BD32" s="28">
        <f t="shared" si="23"/>
        <v>-0.67688020809607341</v>
      </c>
      <c r="BE32" s="21">
        <v>0.58989999999999998</v>
      </c>
      <c r="BF32" s="22">
        <v>0.48480000000000001</v>
      </c>
      <c r="BG32" s="22">
        <v>-0.72401884422703233</v>
      </c>
      <c r="BH32" s="21">
        <v>0.60229999999999995</v>
      </c>
      <c r="BI32" s="22">
        <f t="shared" si="24"/>
        <v>0.49709999999999993</v>
      </c>
      <c r="BJ32" s="22">
        <f t="shared" si="25"/>
        <v>-0.69896406588151028</v>
      </c>
      <c r="BK32" s="21">
        <v>0.65239999999999998</v>
      </c>
      <c r="BL32" s="22">
        <f t="shared" si="26"/>
        <v>0.54659999999999997</v>
      </c>
      <c r="BM32" s="22">
        <f t="shared" si="27"/>
        <v>-0.60403800548816944</v>
      </c>
      <c r="BN32" s="46">
        <v>0.64910000000000001</v>
      </c>
      <c r="BO32" s="47">
        <v>0.5413</v>
      </c>
      <c r="BP32" s="47">
        <v>-0.61378162517920487</v>
      </c>
      <c r="BQ32" s="46">
        <v>0.64180000000000004</v>
      </c>
      <c r="BR32" s="47">
        <f t="shared" si="28"/>
        <v>0.53600000000000003</v>
      </c>
      <c r="BS32" s="47">
        <f t="shared" si="29"/>
        <v>-0.62362111791133501</v>
      </c>
      <c r="BT32" s="46">
        <v>0.65759999999999996</v>
      </c>
      <c r="BU32" s="47">
        <f t="shared" si="30"/>
        <v>0.54879999999999995</v>
      </c>
      <c r="BV32" s="47">
        <f t="shared" si="31"/>
        <v>-0.60002120257046165</v>
      </c>
    </row>
    <row r="33" spans="1:74" x14ac:dyDescent="0.2">
      <c r="A33">
        <v>6.658389722222223</v>
      </c>
      <c r="C33" s="21">
        <v>0.52890000000000004</v>
      </c>
      <c r="D33" s="22">
        <v>0.42370000000000002</v>
      </c>
      <c r="E33" s="22">
        <v>-0.8587296213496235</v>
      </c>
      <c r="F33" s="21">
        <v>0.57750000000000001</v>
      </c>
      <c r="G33" s="22">
        <f t="shared" si="1"/>
        <v>0.47670000000000001</v>
      </c>
      <c r="H33" s="22">
        <f t="shared" si="2"/>
        <v>-0.74086791677135699</v>
      </c>
      <c r="I33" s="21">
        <v>0.72919999999999996</v>
      </c>
      <c r="J33" s="22">
        <f t="shared" si="3"/>
        <v>0.622</v>
      </c>
      <c r="K33" s="22">
        <f t="shared" si="4"/>
        <v>-0.4748151862429576</v>
      </c>
      <c r="L33" s="27">
        <v>0.53910000000000002</v>
      </c>
      <c r="M33" s="28">
        <v>0.4335</v>
      </c>
      <c r="N33" s="28">
        <v>-0.83586348276154054</v>
      </c>
      <c r="O33" s="27">
        <v>0.59540000000000004</v>
      </c>
      <c r="P33" s="28">
        <f t="shared" si="0"/>
        <v>0.49060000000000004</v>
      </c>
      <c r="Q33" s="28">
        <f t="shared" si="5"/>
        <v>-0.71212614715774802</v>
      </c>
      <c r="R33" s="27">
        <v>0.62109999999999999</v>
      </c>
      <c r="S33" s="28">
        <f t="shared" si="6"/>
        <v>0.5151</v>
      </c>
      <c r="T33" s="28">
        <f t="shared" si="7"/>
        <v>-0.66339422241059753</v>
      </c>
      <c r="U33" s="33">
        <v>0.5262</v>
      </c>
      <c r="V33" s="34">
        <v>0.4209</v>
      </c>
      <c r="W33" s="34">
        <v>-0.86536000320561213</v>
      </c>
      <c r="X33" s="33">
        <v>0.58760000000000001</v>
      </c>
      <c r="Y33" s="34">
        <f t="shared" si="8"/>
        <v>0.48299999999999998</v>
      </c>
      <c r="Z33" s="34">
        <f t="shared" si="9"/>
        <v>-0.72773862532956435</v>
      </c>
      <c r="AA33" s="33">
        <v>0.62860000000000005</v>
      </c>
      <c r="AB33" s="34">
        <f t="shared" si="10"/>
        <v>0.52320000000000011</v>
      </c>
      <c r="AC33" s="34">
        <f t="shared" si="11"/>
        <v>-0.64779147883914789</v>
      </c>
      <c r="AD33" s="38">
        <v>0.53</v>
      </c>
      <c r="AE33" s="39">
        <v>0.42500000000000004</v>
      </c>
      <c r="AF33" s="39">
        <v>-0.85566611005772009</v>
      </c>
      <c r="AG33" s="38">
        <v>0.58089999999999997</v>
      </c>
      <c r="AH33" s="39">
        <f t="shared" si="12"/>
        <v>0.47539999999999999</v>
      </c>
      <c r="AI33" s="39">
        <f t="shared" si="13"/>
        <v>-0.74359872405604355</v>
      </c>
      <c r="AJ33" s="38">
        <v>0.60829999999999995</v>
      </c>
      <c r="AK33" s="39">
        <f t="shared" si="14"/>
        <v>0.50239999999999996</v>
      </c>
      <c r="AL33" s="39">
        <f t="shared" si="15"/>
        <v>-0.68835866382814825</v>
      </c>
      <c r="AM33" s="42">
        <v>0.51600000000000001</v>
      </c>
      <c r="AN33" s="43">
        <v>0.40660000000000002</v>
      </c>
      <c r="AO33" s="43">
        <v>-0.89992537778789072</v>
      </c>
      <c r="AP33" s="42">
        <v>0.58450000000000002</v>
      </c>
      <c r="AQ33" s="43">
        <f t="shared" si="16"/>
        <v>0.47840000000000005</v>
      </c>
      <c r="AR33" s="43">
        <f t="shared" si="17"/>
        <v>-0.73730807634571494</v>
      </c>
      <c r="AS33" s="42">
        <v>0.629</v>
      </c>
      <c r="AT33" s="43">
        <f t="shared" si="18"/>
        <v>0.52029999999999998</v>
      </c>
      <c r="AU33" s="43">
        <f t="shared" si="19"/>
        <v>-0.65334971068587921</v>
      </c>
      <c r="AV33" s="27">
        <v>0.53500000000000003</v>
      </c>
      <c r="AW33" s="28">
        <v>0.42670000000000002</v>
      </c>
      <c r="AX33" s="28">
        <v>-0.85167408878818274</v>
      </c>
      <c r="AY33" s="27">
        <v>0.59599999999999997</v>
      </c>
      <c r="AZ33" s="28">
        <f t="shared" si="20"/>
        <v>0.4889</v>
      </c>
      <c r="BA33" s="28">
        <f t="shared" si="21"/>
        <v>-0.71559730939753718</v>
      </c>
      <c r="BB33" s="27">
        <v>0.62460000000000004</v>
      </c>
      <c r="BC33" s="28">
        <f t="shared" si="22"/>
        <v>0.50230000000000008</v>
      </c>
      <c r="BD33" s="28">
        <f t="shared" si="23"/>
        <v>-0.68855772822613781</v>
      </c>
      <c r="BE33" s="21">
        <v>0.59330000000000005</v>
      </c>
      <c r="BF33" s="22">
        <v>0.48820000000000008</v>
      </c>
      <c r="BG33" s="22">
        <v>-0.71703012102327723</v>
      </c>
      <c r="BH33" s="21">
        <v>0.60650000000000004</v>
      </c>
      <c r="BI33" s="22">
        <f t="shared" si="24"/>
        <v>0.50130000000000008</v>
      </c>
      <c r="BJ33" s="22">
        <f t="shared" si="25"/>
        <v>-0.69055055471267912</v>
      </c>
      <c r="BK33" s="21">
        <v>0.64859999999999995</v>
      </c>
      <c r="BL33" s="22">
        <f t="shared" si="26"/>
        <v>0.54279999999999995</v>
      </c>
      <c r="BM33" s="22">
        <f t="shared" si="27"/>
        <v>-0.6110143510214231</v>
      </c>
      <c r="BN33" s="46">
        <v>0.65739999999999998</v>
      </c>
      <c r="BO33" s="47">
        <v>0.54959999999999998</v>
      </c>
      <c r="BP33" s="47">
        <v>-0.59856453807399745</v>
      </c>
      <c r="BQ33" s="46">
        <v>0.63419999999999999</v>
      </c>
      <c r="BR33" s="47">
        <f t="shared" si="28"/>
        <v>0.52839999999999998</v>
      </c>
      <c r="BS33" s="47">
        <f t="shared" si="29"/>
        <v>-0.63790170633396681</v>
      </c>
      <c r="BT33" s="46">
        <v>0.65139999999999998</v>
      </c>
      <c r="BU33" s="47">
        <f t="shared" si="30"/>
        <v>0.54259999999999997</v>
      </c>
      <c r="BV33" s="47">
        <f t="shared" si="31"/>
        <v>-0.61138287875730568</v>
      </c>
    </row>
    <row r="34" spans="1:74" x14ac:dyDescent="0.2">
      <c r="A34">
        <v>6.8961552777777779</v>
      </c>
      <c r="C34" s="21">
        <v>0.52739999999999998</v>
      </c>
      <c r="D34" s="22">
        <v>0.42219999999999996</v>
      </c>
      <c r="E34" s="22">
        <v>-0.86227614356791693</v>
      </c>
      <c r="F34" s="21">
        <v>0.58919999999999995</v>
      </c>
      <c r="G34" s="22">
        <f t="shared" si="1"/>
        <v>0.48839999999999995</v>
      </c>
      <c r="H34" s="22">
        <f t="shared" si="2"/>
        <v>-0.71662053674558757</v>
      </c>
      <c r="I34" s="21">
        <v>0.69440000000000002</v>
      </c>
      <c r="J34" s="22">
        <f t="shared" si="3"/>
        <v>0.58720000000000006</v>
      </c>
      <c r="K34" s="22">
        <f t="shared" si="4"/>
        <v>-0.53238980168183114</v>
      </c>
      <c r="L34" s="27">
        <v>0.53900000000000003</v>
      </c>
      <c r="M34" s="28">
        <v>0.43340000000000001</v>
      </c>
      <c r="N34" s="28">
        <v>-0.83609418987987838</v>
      </c>
      <c r="O34" s="27">
        <v>0.59119999999999995</v>
      </c>
      <c r="P34" s="28">
        <f t="shared" si="0"/>
        <v>0.48639999999999994</v>
      </c>
      <c r="Q34" s="28">
        <f t="shared" si="5"/>
        <v>-0.72072394833017994</v>
      </c>
      <c r="R34" s="27">
        <v>0.61460000000000004</v>
      </c>
      <c r="S34" s="28">
        <f t="shared" si="6"/>
        <v>0.50860000000000005</v>
      </c>
      <c r="T34" s="28">
        <f t="shared" si="7"/>
        <v>-0.6760934259941177</v>
      </c>
      <c r="U34" s="33">
        <v>0.52959999999999996</v>
      </c>
      <c r="V34" s="34">
        <v>0.42429999999999995</v>
      </c>
      <c r="W34" s="34">
        <v>-0.857314526773858</v>
      </c>
      <c r="X34" s="33">
        <v>0.57830000000000004</v>
      </c>
      <c r="Y34" s="34">
        <f t="shared" si="8"/>
        <v>0.47370000000000001</v>
      </c>
      <c r="Z34" s="34">
        <f t="shared" si="9"/>
        <v>-0.74718106905243098</v>
      </c>
      <c r="AA34" s="33">
        <v>0.61660000000000004</v>
      </c>
      <c r="AB34" s="34">
        <f t="shared" si="10"/>
        <v>0.5112000000000001</v>
      </c>
      <c r="AC34" s="34">
        <f t="shared" si="11"/>
        <v>-0.67099437591881184</v>
      </c>
      <c r="AD34" s="38">
        <v>0.52839999999999998</v>
      </c>
      <c r="AE34" s="39">
        <v>0.4234</v>
      </c>
      <c r="AF34" s="39">
        <v>-0.85943792028137223</v>
      </c>
      <c r="AG34" s="38">
        <v>0.57330000000000003</v>
      </c>
      <c r="AH34" s="39">
        <f t="shared" si="12"/>
        <v>0.46780000000000005</v>
      </c>
      <c r="AI34" s="39">
        <f t="shared" si="13"/>
        <v>-0.75971442483205831</v>
      </c>
      <c r="AJ34" s="38">
        <v>0.60509999999999997</v>
      </c>
      <c r="AK34" s="39">
        <f t="shared" si="14"/>
        <v>0.49919999999999998</v>
      </c>
      <c r="AL34" s="39">
        <f t="shared" si="15"/>
        <v>-0.69474846192691919</v>
      </c>
      <c r="AM34" s="42">
        <v>0.51359999999999995</v>
      </c>
      <c r="AN34" s="43">
        <v>0.40419999999999995</v>
      </c>
      <c r="AO34" s="43">
        <v>-0.9058454740126165</v>
      </c>
      <c r="AP34" s="42">
        <v>0.57499999999999996</v>
      </c>
      <c r="AQ34" s="43">
        <f t="shared" si="16"/>
        <v>0.46889999999999998</v>
      </c>
      <c r="AR34" s="43">
        <f t="shared" si="17"/>
        <v>-0.75736575288659647</v>
      </c>
      <c r="AS34" s="42">
        <v>0.61870000000000003</v>
      </c>
      <c r="AT34" s="43">
        <f t="shared" si="18"/>
        <v>0.51</v>
      </c>
      <c r="AU34" s="43">
        <f t="shared" si="19"/>
        <v>-0.67334455326376563</v>
      </c>
      <c r="AV34" s="27">
        <v>0.5131</v>
      </c>
      <c r="AW34" s="28">
        <v>0.40479999999999999</v>
      </c>
      <c r="AX34" s="28">
        <v>-0.90436216100888123</v>
      </c>
      <c r="AY34" s="27">
        <v>0.58099999999999996</v>
      </c>
      <c r="AZ34" s="28">
        <f t="shared" si="20"/>
        <v>0.47389999999999999</v>
      </c>
      <c r="BA34" s="28">
        <f t="shared" si="21"/>
        <v>-0.74675895000859449</v>
      </c>
      <c r="BB34" s="27">
        <v>0.62050000000000005</v>
      </c>
      <c r="BC34" s="28">
        <f t="shared" si="22"/>
        <v>0.49820000000000003</v>
      </c>
      <c r="BD34" s="28">
        <f t="shared" si="23"/>
        <v>-0.69675367615405692</v>
      </c>
      <c r="BE34" s="21">
        <v>0.57730000000000004</v>
      </c>
      <c r="BF34" s="22">
        <v>0.47220000000000006</v>
      </c>
      <c r="BG34" s="22">
        <v>-0.7503526543307244</v>
      </c>
      <c r="BH34" s="21">
        <v>0.59109999999999996</v>
      </c>
      <c r="BI34" s="22">
        <f t="shared" si="24"/>
        <v>0.48589999999999994</v>
      </c>
      <c r="BJ34" s="22">
        <f t="shared" si="25"/>
        <v>-0.72175243757027985</v>
      </c>
      <c r="BK34" s="21">
        <v>0.6482</v>
      </c>
      <c r="BL34" s="22">
        <f t="shared" si="26"/>
        <v>0.54239999999999999</v>
      </c>
      <c r="BM34" s="22">
        <f t="shared" si="27"/>
        <v>-0.61175154235595131</v>
      </c>
      <c r="BN34" s="46">
        <v>0.64270000000000005</v>
      </c>
      <c r="BO34" s="47">
        <v>0.53490000000000004</v>
      </c>
      <c r="BP34" s="47">
        <v>-0.62567546544493258</v>
      </c>
      <c r="BQ34" s="46">
        <v>0.62360000000000004</v>
      </c>
      <c r="BR34" s="47">
        <f t="shared" si="28"/>
        <v>0.51780000000000004</v>
      </c>
      <c r="BS34" s="47">
        <f t="shared" si="29"/>
        <v>-0.65816621166469969</v>
      </c>
      <c r="BT34" s="46">
        <v>0.64659999999999995</v>
      </c>
      <c r="BU34" s="47">
        <f t="shared" si="30"/>
        <v>0.53779999999999994</v>
      </c>
      <c r="BV34" s="47">
        <f t="shared" si="31"/>
        <v>-0.6202685351473729</v>
      </c>
    </row>
    <row r="35" spans="1:74" x14ac:dyDescent="0.2">
      <c r="A35">
        <v>7.1339474999999997</v>
      </c>
      <c r="C35" s="21">
        <v>0.52249999999999996</v>
      </c>
      <c r="D35" s="22">
        <v>0.41729999999999995</v>
      </c>
      <c r="E35" s="22">
        <v>-0.87394989138463031</v>
      </c>
      <c r="F35" s="21">
        <v>0.60629999999999995</v>
      </c>
      <c r="G35" s="22">
        <f t="shared" si="1"/>
        <v>0.50549999999999995</v>
      </c>
      <c r="H35" s="22">
        <f t="shared" si="2"/>
        <v>-0.68220724052161108</v>
      </c>
      <c r="I35" s="21">
        <v>0.66659999999999997</v>
      </c>
      <c r="J35" s="22">
        <f t="shared" si="3"/>
        <v>0.55940000000000001</v>
      </c>
      <c r="K35" s="22">
        <f t="shared" si="4"/>
        <v>-0.58089049821427774</v>
      </c>
      <c r="L35" s="27">
        <v>0.53779999999999994</v>
      </c>
      <c r="M35" s="28">
        <v>0.43219999999999992</v>
      </c>
      <c r="N35" s="28">
        <v>-0.83886683490935166</v>
      </c>
      <c r="O35" s="27">
        <v>0.59240000000000004</v>
      </c>
      <c r="P35" s="28">
        <f t="shared" si="0"/>
        <v>0.48760000000000003</v>
      </c>
      <c r="Q35" s="28">
        <f t="shared" si="5"/>
        <v>-0.7182598813750205</v>
      </c>
      <c r="R35" s="27">
        <v>0.621</v>
      </c>
      <c r="S35" s="28">
        <f t="shared" si="6"/>
        <v>0.51500000000000001</v>
      </c>
      <c r="T35" s="28">
        <f t="shared" si="7"/>
        <v>-0.6635883783184009</v>
      </c>
      <c r="U35" s="33">
        <v>0.53190000000000004</v>
      </c>
      <c r="V35" s="34">
        <v>0.42660000000000003</v>
      </c>
      <c r="W35" s="34">
        <v>-0.85190847294488681</v>
      </c>
      <c r="X35" s="33">
        <v>0.57999999999999996</v>
      </c>
      <c r="Y35" s="34">
        <f t="shared" si="8"/>
        <v>0.47539999999999993</v>
      </c>
      <c r="Z35" s="34">
        <f t="shared" si="9"/>
        <v>-0.74359872405604366</v>
      </c>
      <c r="AA35" s="33">
        <v>0.61419999999999997</v>
      </c>
      <c r="AB35" s="34">
        <f t="shared" si="10"/>
        <v>0.50879999999999992</v>
      </c>
      <c r="AC35" s="34">
        <f t="shared" si="11"/>
        <v>-0.67570026695622487</v>
      </c>
      <c r="AD35" s="38">
        <v>0.53539999999999999</v>
      </c>
      <c r="AE35" s="39">
        <v>0.4304</v>
      </c>
      <c r="AF35" s="39">
        <v>-0.8430402701345624</v>
      </c>
      <c r="AG35" s="38">
        <v>0.57330000000000003</v>
      </c>
      <c r="AH35" s="39">
        <f t="shared" si="12"/>
        <v>0.46780000000000005</v>
      </c>
      <c r="AI35" s="39">
        <f t="shared" si="13"/>
        <v>-0.75971442483205831</v>
      </c>
      <c r="AJ35" s="38">
        <v>0.5978</v>
      </c>
      <c r="AK35" s="39">
        <f t="shared" si="14"/>
        <v>0.4919</v>
      </c>
      <c r="AL35" s="39">
        <f t="shared" si="15"/>
        <v>-0.7094798351808429</v>
      </c>
      <c r="AM35" s="42">
        <v>0.51539999999999997</v>
      </c>
      <c r="AN35" s="43">
        <v>0.40599999999999997</v>
      </c>
      <c r="AO35" s="43">
        <v>-0.90140211938040449</v>
      </c>
      <c r="AP35" s="42">
        <v>0.57620000000000005</v>
      </c>
      <c r="AQ35" s="43">
        <f t="shared" si="16"/>
        <v>0.47010000000000007</v>
      </c>
      <c r="AR35" s="43">
        <f t="shared" si="17"/>
        <v>-0.75480984095205206</v>
      </c>
      <c r="AS35" s="42">
        <v>0.61329999999999996</v>
      </c>
      <c r="AT35" s="43">
        <f t="shared" si="18"/>
        <v>0.50459999999999994</v>
      </c>
      <c r="AU35" s="43">
        <f t="shared" si="19"/>
        <v>-0.68398924277517981</v>
      </c>
      <c r="AV35" s="27">
        <v>0.51639999999999997</v>
      </c>
      <c r="AW35" s="28">
        <v>0.40809999999999996</v>
      </c>
      <c r="AX35" s="28">
        <v>-0.89624303657037718</v>
      </c>
      <c r="AY35" s="27">
        <v>0.58220000000000005</v>
      </c>
      <c r="AZ35" s="28">
        <f t="shared" si="20"/>
        <v>0.47510000000000008</v>
      </c>
      <c r="BA35" s="28">
        <f t="shared" si="21"/>
        <v>-0.74422997078926123</v>
      </c>
      <c r="BB35" s="27">
        <v>0.61280000000000001</v>
      </c>
      <c r="BC35" s="28">
        <f t="shared" si="22"/>
        <v>0.49049999999999999</v>
      </c>
      <c r="BD35" s="28">
        <f t="shared" si="23"/>
        <v>-0.71232999997671931</v>
      </c>
      <c r="BE35" s="21">
        <v>0.58230000000000004</v>
      </c>
      <c r="BF35" s="22">
        <v>0.47720000000000007</v>
      </c>
      <c r="BG35" s="22">
        <v>-0.73981958875837583</v>
      </c>
      <c r="BH35" s="21">
        <v>0.58889999999999998</v>
      </c>
      <c r="BI35" s="22">
        <f t="shared" si="24"/>
        <v>0.48369999999999996</v>
      </c>
      <c r="BJ35" s="22">
        <f t="shared" si="25"/>
        <v>-0.7262903991531996</v>
      </c>
      <c r="BK35" s="21">
        <v>0.64319999999999999</v>
      </c>
      <c r="BL35" s="22">
        <f t="shared" si="26"/>
        <v>0.53739999999999999</v>
      </c>
      <c r="BM35" s="22">
        <f t="shared" si="27"/>
        <v>-0.62101258280074623</v>
      </c>
      <c r="BN35" s="46">
        <v>0.63990000000000002</v>
      </c>
      <c r="BO35" s="47">
        <v>0.53210000000000002</v>
      </c>
      <c r="BP35" s="47">
        <v>-0.63092383737981339</v>
      </c>
      <c r="BQ35" s="46">
        <v>0.63119999999999998</v>
      </c>
      <c r="BR35" s="47">
        <f t="shared" si="28"/>
        <v>0.52539999999999998</v>
      </c>
      <c r="BS35" s="47">
        <f t="shared" si="29"/>
        <v>-0.64359540173069762</v>
      </c>
      <c r="BT35" s="46">
        <v>0.63239999999999996</v>
      </c>
      <c r="BU35" s="47">
        <f t="shared" si="30"/>
        <v>0.52359999999999995</v>
      </c>
      <c r="BV35" s="47">
        <f t="shared" si="31"/>
        <v>-0.6470272449463923</v>
      </c>
    </row>
    <row r="36" spans="1:74" x14ac:dyDescent="0.2">
      <c r="A36">
        <v>7.3717841666666661</v>
      </c>
      <c r="C36" s="21">
        <v>0.52180000000000004</v>
      </c>
      <c r="D36" s="22">
        <v>0.41660000000000003</v>
      </c>
      <c r="E36" s="22">
        <v>-0.87562875015526542</v>
      </c>
      <c r="F36" s="21">
        <v>0.59609999999999996</v>
      </c>
      <c r="G36" s="22">
        <f t="shared" si="1"/>
        <v>0.49529999999999996</v>
      </c>
      <c r="H36" s="22">
        <f t="shared" si="2"/>
        <v>-0.70259163938794511</v>
      </c>
      <c r="I36" s="21">
        <v>0.69299999999999995</v>
      </c>
      <c r="J36" s="22">
        <f t="shared" si="3"/>
        <v>0.58579999999999999</v>
      </c>
      <c r="K36" s="22">
        <f t="shared" si="4"/>
        <v>-0.53477684458850394</v>
      </c>
      <c r="L36" s="27">
        <v>0.54820000000000002</v>
      </c>
      <c r="M36" s="28">
        <v>0.44259999999999999</v>
      </c>
      <c r="N36" s="28">
        <v>-0.81508885136518783</v>
      </c>
      <c r="O36" s="27">
        <v>0.5776</v>
      </c>
      <c r="P36" s="28">
        <f t="shared" si="0"/>
        <v>0.4728</v>
      </c>
      <c r="Q36" s="28">
        <f t="shared" si="5"/>
        <v>-0.74908281289024858</v>
      </c>
      <c r="R36" s="27">
        <v>0.60109999999999997</v>
      </c>
      <c r="S36" s="28">
        <f t="shared" si="6"/>
        <v>0.49509999999999998</v>
      </c>
      <c r="T36" s="28">
        <f t="shared" si="7"/>
        <v>-0.70299551661475967</v>
      </c>
      <c r="U36" s="33">
        <v>0.52980000000000005</v>
      </c>
      <c r="V36" s="34">
        <v>0.42450000000000004</v>
      </c>
      <c r="W36" s="34">
        <v>-0.85684327323073495</v>
      </c>
      <c r="X36" s="33">
        <v>0.56999999999999995</v>
      </c>
      <c r="Y36" s="34">
        <f t="shared" si="8"/>
        <v>0.46539999999999992</v>
      </c>
      <c r="Z36" s="34">
        <f t="shared" si="9"/>
        <v>-0.76485802811394588</v>
      </c>
      <c r="AA36" s="33">
        <v>0.61029999999999995</v>
      </c>
      <c r="AB36" s="34">
        <f t="shared" si="10"/>
        <v>0.5048999999999999</v>
      </c>
      <c r="AC36" s="34">
        <f t="shared" si="11"/>
        <v>-0.6833948891172672</v>
      </c>
      <c r="AD36" s="38">
        <v>0.53659999999999997</v>
      </c>
      <c r="AE36" s="39">
        <v>0.43159999999999998</v>
      </c>
      <c r="AF36" s="39">
        <v>-0.84025604559815747</v>
      </c>
      <c r="AG36" s="38">
        <v>0.57040000000000002</v>
      </c>
      <c r="AH36" s="39">
        <f t="shared" si="12"/>
        <v>0.46490000000000004</v>
      </c>
      <c r="AI36" s="39">
        <f t="shared" si="13"/>
        <v>-0.76593295028559794</v>
      </c>
      <c r="AJ36" s="38">
        <v>0.58919999999999995</v>
      </c>
      <c r="AK36" s="39">
        <f t="shared" si="14"/>
        <v>0.48329999999999995</v>
      </c>
      <c r="AL36" s="39">
        <f t="shared" si="15"/>
        <v>-0.72711770013109878</v>
      </c>
      <c r="AM36" s="42">
        <v>0.51619999999999999</v>
      </c>
      <c r="AN36" s="43">
        <v>0.40679999999999999</v>
      </c>
      <c r="AO36" s="43">
        <v>-0.89943361480773221</v>
      </c>
      <c r="AP36" s="42">
        <v>0.57330000000000003</v>
      </c>
      <c r="AQ36" s="43">
        <f t="shared" si="16"/>
        <v>0.46720000000000006</v>
      </c>
      <c r="AR36" s="43">
        <f t="shared" si="17"/>
        <v>-0.7609978474681196</v>
      </c>
      <c r="AS36" s="42">
        <v>0.60940000000000005</v>
      </c>
      <c r="AT36" s="43">
        <f t="shared" si="18"/>
        <v>0.50070000000000003</v>
      </c>
      <c r="AU36" s="43">
        <f t="shared" si="19"/>
        <v>-0.69174815964623793</v>
      </c>
      <c r="AV36" s="27">
        <v>0.51329999999999998</v>
      </c>
      <c r="AW36" s="28">
        <v>0.40499999999999997</v>
      </c>
      <c r="AX36" s="28">
        <v>-0.90386821187559796</v>
      </c>
      <c r="AY36" s="27">
        <v>0.57909999999999995</v>
      </c>
      <c r="AZ36" s="28">
        <f t="shared" si="20"/>
        <v>0.47199999999999998</v>
      </c>
      <c r="BA36" s="28">
        <f t="shared" si="21"/>
        <v>-0.7507762933965817</v>
      </c>
      <c r="BB36" s="27">
        <v>0.60460000000000003</v>
      </c>
      <c r="BC36" s="28">
        <f t="shared" si="22"/>
        <v>0.48230000000000001</v>
      </c>
      <c r="BD36" s="28">
        <f t="shared" si="23"/>
        <v>-0.72918895190721089</v>
      </c>
      <c r="BE36" s="21">
        <v>0.57950000000000002</v>
      </c>
      <c r="BF36" s="22">
        <v>0.47440000000000004</v>
      </c>
      <c r="BG36" s="22">
        <v>-0.7457044312986213</v>
      </c>
      <c r="BH36" s="21">
        <v>0.59</v>
      </c>
      <c r="BI36" s="22">
        <f t="shared" si="24"/>
        <v>0.48479999999999995</v>
      </c>
      <c r="BJ36" s="22">
        <f t="shared" si="25"/>
        <v>-0.72401884422703244</v>
      </c>
      <c r="BK36" s="21">
        <v>0.64929999999999999</v>
      </c>
      <c r="BL36" s="22">
        <f t="shared" si="26"/>
        <v>0.54349999999999998</v>
      </c>
      <c r="BM36" s="22">
        <f t="shared" si="27"/>
        <v>-0.609725572420873</v>
      </c>
      <c r="BN36" s="46">
        <v>0.63160000000000005</v>
      </c>
      <c r="BO36" s="47">
        <v>0.52380000000000004</v>
      </c>
      <c r="BP36" s="47">
        <v>-0.64664534690852549</v>
      </c>
      <c r="BQ36" s="46">
        <v>0.63549999999999995</v>
      </c>
      <c r="BR36" s="47">
        <f t="shared" si="28"/>
        <v>0.52969999999999995</v>
      </c>
      <c r="BS36" s="47">
        <f t="shared" si="29"/>
        <v>-0.63544447043165619</v>
      </c>
      <c r="BT36" s="46">
        <v>0.63229999999999997</v>
      </c>
      <c r="BU36" s="47">
        <f t="shared" si="30"/>
        <v>0.52349999999999997</v>
      </c>
      <c r="BV36" s="47">
        <f t="shared" si="31"/>
        <v>-0.64721824867154554</v>
      </c>
    </row>
    <row r="37" spans="1:74" x14ac:dyDescent="0.2">
      <c r="A37">
        <v>7.609548055555555</v>
      </c>
      <c r="C37" s="21">
        <v>0.51270000000000004</v>
      </c>
      <c r="D37" s="22">
        <v>0.40750000000000003</v>
      </c>
      <c r="E37" s="22">
        <v>-0.8977143463012196</v>
      </c>
      <c r="F37" s="21">
        <v>0.60589999999999999</v>
      </c>
      <c r="G37" s="22">
        <f t="shared" si="1"/>
        <v>0.50509999999999999</v>
      </c>
      <c r="H37" s="22">
        <f t="shared" si="2"/>
        <v>-0.68299884950813017</v>
      </c>
      <c r="I37" s="21">
        <v>0.67159999999999997</v>
      </c>
      <c r="J37" s="22">
        <f t="shared" si="3"/>
        <v>0.56440000000000001</v>
      </c>
      <c r="K37" s="22">
        <f t="shared" si="4"/>
        <v>-0.57199205900347805</v>
      </c>
      <c r="L37" s="27">
        <v>0.52869999999999995</v>
      </c>
      <c r="M37" s="28">
        <v>0.42309999999999992</v>
      </c>
      <c r="N37" s="28">
        <v>-0.86014672125611547</v>
      </c>
      <c r="O37" s="27">
        <v>0.5827</v>
      </c>
      <c r="P37" s="28">
        <f t="shared" si="0"/>
        <v>0.47789999999999999</v>
      </c>
      <c r="Q37" s="28">
        <f t="shared" si="5"/>
        <v>-0.73835377339802455</v>
      </c>
      <c r="R37" s="27">
        <v>0.61009999999999998</v>
      </c>
      <c r="S37" s="28">
        <f t="shared" si="6"/>
        <v>0.50409999999999999</v>
      </c>
      <c r="T37" s="28">
        <f t="shared" si="7"/>
        <v>-0.68498061789355191</v>
      </c>
      <c r="U37" s="33">
        <v>0.51739999999999997</v>
      </c>
      <c r="V37" s="34">
        <v>0.41209999999999997</v>
      </c>
      <c r="W37" s="34">
        <v>-0.88648924063736545</v>
      </c>
      <c r="X37" s="33">
        <v>0.57089999999999996</v>
      </c>
      <c r="Y37" s="34">
        <f t="shared" si="8"/>
        <v>0.46629999999999994</v>
      </c>
      <c r="Z37" s="34">
        <f t="shared" si="9"/>
        <v>-0.76292607516786204</v>
      </c>
      <c r="AA37" s="33">
        <v>0.60009999999999997</v>
      </c>
      <c r="AB37" s="34">
        <f t="shared" si="10"/>
        <v>0.49469999999999997</v>
      </c>
      <c r="AC37" s="34">
        <f t="shared" si="11"/>
        <v>-0.70380376074847417</v>
      </c>
      <c r="AD37" s="38">
        <v>0.5272</v>
      </c>
      <c r="AE37" s="39">
        <v>0.42220000000000002</v>
      </c>
      <c r="AF37" s="39">
        <v>-0.86227614356791682</v>
      </c>
      <c r="AG37" s="38">
        <v>0.56689999999999996</v>
      </c>
      <c r="AH37" s="39">
        <f t="shared" si="12"/>
        <v>0.46139999999999998</v>
      </c>
      <c r="AI37" s="39">
        <f t="shared" si="13"/>
        <v>-0.77348993324248383</v>
      </c>
      <c r="AJ37" s="38">
        <v>0.5857</v>
      </c>
      <c r="AK37" s="39">
        <f t="shared" si="14"/>
        <v>0.4798</v>
      </c>
      <c r="AL37" s="39">
        <f t="shared" si="15"/>
        <v>-0.73438592857654283</v>
      </c>
      <c r="AM37" s="42">
        <v>0.51470000000000005</v>
      </c>
      <c r="AN37" s="43">
        <v>0.40530000000000005</v>
      </c>
      <c r="AO37" s="43">
        <v>-0.9031277453478741</v>
      </c>
      <c r="AP37" s="42">
        <v>0.56789999999999996</v>
      </c>
      <c r="AQ37" s="43">
        <f t="shared" si="16"/>
        <v>0.46179999999999999</v>
      </c>
      <c r="AR37" s="43">
        <f t="shared" si="17"/>
        <v>-0.77262338206174208</v>
      </c>
      <c r="AS37" s="42">
        <v>0.59850000000000003</v>
      </c>
      <c r="AT37" s="43">
        <f t="shared" si="18"/>
        <v>0.48980000000000001</v>
      </c>
      <c r="AU37" s="43">
        <f t="shared" si="19"/>
        <v>-0.71375813446406966</v>
      </c>
      <c r="AV37" s="27">
        <v>0.51500000000000001</v>
      </c>
      <c r="AW37" s="28">
        <v>0.40670000000000001</v>
      </c>
      <c r="AX37" s="28">
        <v>-0.89967946606895821</v>
      </c>
      <c r="AY37" s="27">
        <v>0.57640000000000002</v>
      </c>
      <c r="AZ37" s="28">
        <f t="shared" si="20"/>
        <v>0.46930000000000005</v>
      </c>
      <c r="BA37" s="28">
        <f t="shared" si="21"/>
        <v>-0.75651305618176501</v>
      </c>
      <c r="BB37" s="27">
        <v>0.61150000000000004</v>
      </c>
      <c r="BC37" s="28">
        <f t="shared" si="22"/>
        <v>0.48920000000000002</v>
      </c>
      <c r="BD37" s="28">
        <f t="shared" si="23"/>
        <v>-0.71498387516911976</v>
      </c>
      <c r="BE37" s="21">
        <v>0.57550000000000001</v>
      </c>
      <c r="BF37" s="22">
        <v>0.47040000000000004</v>
      </c>
      <c r="BG37" s="22">
        <v>-0.75417188239771982</v>
      </c>
      <c r="BH37" s="21">
        <v>0.58479999999999999</v>
      </c>
      <c r="BI37" s="22">
        <f t="shared" si="24"/>
        <v>0.47959999999999997</v>
      </c>
      <c r="BJ37" s="22">
        <f t="shared" si="25"/>
        <v>-0.73480285582877791</v>
      </c>
      <c r="BK37" s="21">
        <v>0.64980000000000004</v>
      </c>
      <c r="BL37" s="22">
        <f t="shared" si="26"/>
        <v>0.54400000000000004</v>
      </c>
      <c r="BM37" s="22">
        <f t="shared" si="27"/>
        <v>-0.60880603212619433</v>
      </c>
      <c r="BN37" s="46">
        <v>0.62980000000000003</v>
      </c>
      <c r="BO37" s="47">
        <v>0.52200000000000002</v>
      </c>
      <c r="BP37" s="47">
        <v>-0.65008769109949827</v>
      </c>
      <c r="BQ37" s="46">
        <v>0.65259999999999996</v>
      </c>
      <c r="BR37" s="47">
        <f t="shared" si="28"/>
        <v>0.54679999999999995</v>
      </c>
      <c r="BS37" s="47">
        <f t="shared" si="29"/>
        <v>-0.60367217413234264</v>
      </c>
      <c r="BT37" s="46">
        <v>0.6341</v>
      </c>
      <c r="BU37" s="47">
        <f t="shared" si="30"/>
        <v>0.52529999999999999</v>
      </c>
      <c r="BV37" s="47">
        <f t="shared" si="31"/>
        <v>-0.64378575102222124</v>
      </c>
    </row>
    <row r="38" spans="1:74" x14ac:dyDescent="0.2">
      <c r="A38">
        <v>7.8473716666666666</v>
      </c>
      <c r="C38" s="21">
        <v>0.51980000000000004</v>
      </c>
      <c r="D38" s="22">
        <v>0.41460000000000002</v>
      </c>
      <c r="E38" s="22">
        <v>-0.88044107898045776</v>
      </c>
      <c r="F38" s="21">
        <v>0.60940000000000005</v>
      </c>
      <c r="G38" s="22">
        <f t="shared" si="1"/>
        <v>0.50860000000000005</v>
      </c>
      <c r="H38" s="22">
        <f t="shared" si="2"/>
        <v>-0.6760934259941177</v>
      </c>
      <c r="I38" s="21">
        <v>0.66720000000000002</v>
      </c>
      <c r="J38" s="22">
        <f t="shared" si="3"/>
        <v>0.56000000000000005</v>
      </c>
      <c r="K38" s="22">
        <f t="shared" si="4"/>
        <v>-0.57981849525294205</v>
      </c>
      <c r="L38" s="27">
        <v>0.54979999999999996</v>
      </c>
      <c r="M38" s="28">
        <v>0.44419999999999993</v>
      </c>
      <c r="N38" s="28">
        <v>-0.81148036752181019</v>
      </c>
      <c r="O38" s="27">
        <v>0.58130000000000004</v>
      </c>
      <c r="P38" s="28">
        <f t="shared" si="0"/>
        <v>0.47650000000000003</v>
      </c>
      <c r="Q38" s="28">
        <f t="shared" si="5"/>
        <v>-0.7412875558878802</v>
      </c>
      <c r="R38" s="27">
        <v>0.60680000000000001</v>
      </c>
      <c r="S38" s="28">
        <f t="shared" si="6"/>
        <v>0.50080000000000002</v>
      </c>
      <c r="T38" s="28">
        <f t="shared" si="7"/>
        <v>-0.69154845919624819</v>
      </c>
      <c r="U38" s="33">
        <v>0.54339999999999999</v>
      </c>
      <c r="V38" s="34">
        <v>0.43809999999999999</v>
      </c>
      <c r="W38" s="34">
        <v>-0.82530808416228429</v>
      </c>
      <c r="X38" s="33">
        <v>0.56679999999999997</v>
      </c>
      <c r="Y38" s="34">
        <f t="shared" si="8"/>
        <v>0.46219999999999994</v>
      </c>
      <c r="Z38" s="34">
        <f t="shared" si="9"/>
        <v>-0.77175758114185677</v>
      </c>
      <c r="AA38" s="33">
        <v>0.5978</v>
      </c>
      <c r="AB38" s="34">
        <f t="shared" si="10"/>
        <v>0.4924</v>
      </c>
      <c r="AC38" s="34">
        <f t="shared" si="11"/>
        <v>-0.70846388467183863</v>
      </c>
      <c r="AD38" s="38">
        <v>0.53390000000000004</v>
      </c>
      <c r="AE38" s="39">
        <v>0.42890000000000006</v>
      </c>
      <c r="AF38" s="39">
        <v>-0.84653148745930218</v>
      </c>
      <c r="AG38" s="38">
        <v>0.56189999999999996</v>
      </c>
      <c r="AH38" s="39">
        <f t="shared" si="12"/>
        <v>0.45639999999999997</v>
      </c>
      <c r="AI38" s="39">
        <f t="shared" si="13"/>
        <v>-0.78438566099421658</v>
      </c>
      <c r="AJ38" s="38">
        <v>0.58289999999999997</v>
      </c>
      <c r="AK38" s="39">
        <f t="shared" si="14"/>
        <v>0.47699999999999998</v>
      </c>
      <c r="AL38" s="39">
        <f t="shared" si="15"/>
        <v>-0.74023878809379584</v>
      </c>
      <c r="AM38" s="42">
        <v>0.51280000000000003</v>
      </c>
      <c r="AN38" s="43">
        <v>0.40340000000000004</v>
      </c>
      <c r="AO38" s="43">
        <v>-0.90782665346202551</v>
      </c>
      <c r="AP38" s="42">
        <v>0.56369999999999998</v>
      </c>
      <c r="AQ38" s="43">
        <f t="shared" si="16"/>
        <v>0.45760000000000001</v>
      </c>
      <c r="AR38" s="43">
        <f t="shared" si="17"/>
        <v>-0.78175983891654888</v>
      </c>
      <c r="AS38" s="42">
        <v>0.59909999999999997</v>
      </c>
      <c r="AT38" s="43">
        <f t="shared" si="18"/>
        <v>0.49039999999999995</v>
      </c>
      <c r="AU38" s="43">
        <f t="shared" si="19"/>
        <v>-0.71253389436013548</v>
      </c>
      <c r="AV38" s="27">
        <v>0.50600000000000001</v>
      </c>
      <c r="AW38" s="28">
        <v>0.3977</v>
      </c>
      <c r="AX38" s="28">
        <v>-0.92205732676849217</v>
      </c>
      <c r="AY38" s="27">
        <v>0.56899999999999995</v>
      </c>
      <c r="AZ38" s="28">
        <f t="shared" si="20"/>
        <v>0.46189999999999998</v>
      </c>
      <c r="BA38" s="28">
        <f t="shared" si="21"/>
        <v>-0.77240686154557736</v>
      </c>
      <c r="BB38" s="27">
        <v>0.60350000000000004</v>
      </c>
      <c r="BC38" s="28">
        <f t="shared" si="22"/>
        <v>0.48120000000000002</v>
      </c>
      <c r="BD38" s="28">
        <f t="shared" si="23"/>
        <v>-0.73147229488161325</v>
      </c>
      <c r="BE38" s="21">
        <v>0.57040000000000002</v>
      </c>
      <c r="BF38" s="22">
        <v>0.46530000000000005</v>
      </c>
      <c r="BG38" s="22">
        <v>-0.76507292013153416</v>
      </c>
      <c r="BH38" s="21">
        <v>0.57889999999999997</v>
      </c>
      <c r="BI38" s="22">
        <f t="shared" si="24"/>
        <v>0.47369999999999995</v>
      </c>
      <c r="BJ38" s="22">
        <f t="shared" si="25"/>
        <v>-0.74718106905243109</v>
      </c>
      <c r="BK38" s="21">
        <v>0.65069999999999995</v>
      </c>
      <c r="BL38" s="22">
        <f t="shared" si="26"/>
        <v>0.54489999999999994</v>
      </c>
      <c r="BM38" s="22">
        <f t="shared" si="27"/>
        <v>-0.60715298739308454</v>
      </c>
      <c r="BN38" s="46">
        <v>0.61899999999999999</v>
      </c>
      <c r="BO38" s="47">
        <v>0.51119999999999999</v>
      </c>
      <c r="BP38" s="47">
        <v>-0.67099437591881206</v>
      </c>
      <c r="BQ38" s="46">
        <v>0.62509999999999999</v>
      </c>
      <c r="BR38" s="47">
        <f t="shared" si="28"/>
        <v>0.51929999999999998</v>
      </c>
      <c r="BS38" s="47">
        <f t="shared" si="29"/>
        <v>-0.65527352813186379</v>
      </c>
      <c r="BT38" s="46">
        <v>0.62380000000000002</v>
      </c>
      <c r="BU38" s="47">
        <f t="shared" si="30"/>
        <v>0.51500000000000001</v>
      </c>
      <c r="BV38" s="47">
        <f t="shared" si="31"/>
        <v>-0.6635883783184009</v>
      </c>
    </row>
    <row r="39" spans="1:74" x14ac:dyDescent="0.2">
      <c r="A39">
        <v>8.085210833333333</v>
      </c>
      <c r="C39" s="21">
        <v>0.50480000000000003</v>
      </c>
      <c r="D39" s="22">
        <v>0.39960000000000001</v>
      </c>
      <c r="E39" s="22">
        <v>-0.91729123220773856</v>
      </c>
      <c r="F39" s="21">
        <v>0.59560000000000002</v>
      </c>
      <c r="G39" s="22">
        <f t="shared" si="1"/>
        <v>0.49480000000000002</v>
      </c>
      <c r="H39" s="22">
        <f t="shared" si="2"/>
        <v>-0.70360163846380419</v>
      </c>
      <c r="I39" s="21">
        <v>0.58960000000000001</v>
      </c>
      <c r="J39" s="22">
        <f t="shared" si="3"/>
        <v>0.4824</v>
      </c>
      <c r="K39" s="22">
        <f t="shared" si="4"/>
        <v>-0.72898163356916135</v>
      </c>
      <c r="L39" s="27">
        <v>0.53710000000000002</v>
      </c>
      <c r="M39" s="28">
        <v>0.43149999999999999</v>
      </c>
      <c r="N39" s="28">
        <v>-0.84048776845865447</v>
      </c>
      <c r="O39" s="27">
        <v>0.57020000000000004</v>
      </c>
      <c r="P39" s="28">
        <f t="shared" si="0"/>
        <v>0.46540000000000004</v>
      </c>
      <c r="Q39" s="28">
        <f t="shared" si="5"/>
        <v>-0.76485802811394565</v>
      </c>
      <c r="R39" s="27">
        <v>0.59970000000000001</v>
      </c>
      <c r="S39" s="28">
        <f t="shared" si="6"/>
        <v>0.49370000000000003</v>
      </c>
      <c r="T39" s="28">
        <f t="shared" si="7"/>
        <v>-0.70582723371731981</v>
      </c>
      <c r="U39" s="33">
        <v>0.51559999999999995</v>
      </c>
      <c r="V39" s="34">
        <v>0.41029999999999994</v>
      </c>
      <c r="W39" s="34">
        <v>-0.89086667953399679</v>
      </c>
      <c r="X39" s="33">
        <v>0.56120000000000003</v>
      </c>
      <c r="Y39" s="34">
        <f t="shared" si="8"/>
        <v>0.45660000000000001</v>
      </c>
      <c r="Z39" s="34">
        <f t="shared" si="9"/>
        <v>-0.78394754488644192</v>
      </c>
      <c r="AA39" s="33">
        <v>0.58550000000000002</v>
      </c>
      <c r="AB39" s="34">
        <f t="shared" si="10"/>
        <v>0.48010000000000003</v>
      </c>
      <c r="AC39" s="34">
        <f t="shared" si="11"/>
        <v>-0.73376086344524227</v>
      </c>
      <c r="AD39" s="38">
        <v>0.52590000000000003</v>
      </c>
      <c r="AE39" s="39">
        <v>0.42090000000000005</v>
      </c>
      <c r="AF39" s="39">
        <v>-0.86536000320561202</v>
      </c>
      <c r="AG39" s="38">
        <v>0.55710000000000004</v>
      </c>
      <c r="AH39" s="39">
        <f t="shared" si="12"/>
        <v>0.45160000000000006</v>
      </c>
      <c r="AI39" s="39">
        <f t="shared" si="13"/>
        <v>-0.79495844670662996</v>
      </c>
      <c r="AJ39" s="38">
        <v>0.58109999999999995</v>
      </c>
      <c r="AK39" s="39">
        <f t="shared" si="14"/>
        <v>0.47519999999999996</v>
      </c>
      <c r="AL39" s="39">
        <f t="shared" si="15"/>
        <v>-0.744019510933702</v>
      </c>
      <c r="AM39" s="42">
        <v>0.50680000000000003</v>
      </c>
      <c r="AN39" s="43">
        <v>0.39740000000000003</v>
      </c>
      <c r="AO39" s="43">
        <v>-0.92281194886442053</v>
      </c>
      <c r="AP39" s="42">
        <v>0.55989999999999995</v>
      </c>
      <c r="AQ39" s="43">
        <f t="shared" si="16"/>
        <v>0.45379999999999998</v>
      </c>
      <c r="AR39" s="43">
        <f t="shared" si="17"/>
        <v>-0.7900987066363957</v>
      </c>
      <c r="AS39" s="42">
        <v>0.59619999999999995</v>
      </c>
      <c r="AT39" s="43">
        <f t="shared" si="18"/>
        <v>0.48749999999999993</v>
      </c>
      <c r="AU39" s="43">
        <f t="shared" si="19"/>
        <v>-0.71846498854423535</v>
      </c>
      <c r="AV39" s="27">
        <v>0.50949999999999995</v>
      </c>
      <c r="AW39" s="28">
        <v>0.40119999999999995</v>
      </c>
      <c r="AX39" s="28">
        <v>-0.91329522289435672</v>
      </c>
      <c r="AY39" s="27">
        <v>0.56810000000000005</v>
      </c>
      <c r="AZ39" s="28">
        <f t="shared" si="20"/>
        <v>0.46100000000000008</v>
      </c>
      <c r="BA39" s="28">
        <f t="shared" si="21"/>
        <v>-0.77435723598548833</v>
      </c>
      <c r="BB39" s="27">
        <v>0.6008</v>
      </c>
      <c r="BC39" s="28">
        <f t="shared" si="22"/>
        <v>0.47849999999999998</v>
      </c>
      <c r="BD39" s="28">
        <f t="shared" si="23"/>
        <v>-0.73709906808912817</v>
      </c>
      <c r="BE39" s="21">
        <v>0.58289999999999997</v>
      </c>
      <c r="BF39" s="22">
        <v>0.4778</v>
      </c>
      <c r="BG39" s="22">
        <v>-0.73856304409042783</v>
      </c>
      <c r="BH39" s="21">
        <v>0.59330000000000005</v>
      </c>
      <c r="BI39" s="22">
        <f t="shared" si="24"/>
        <v>0.48810000000000003</v>
      </c>
      <c r="BJ39" s="22">
        <f t="shared" si="25"/>
        <v>-0.71723497608903519</v>
      </c>
      <c r="BK39" s="21">
        <v>0.67069999999999996</v>
      </c>
      <c r="BL39" s="22">
        <f t="shared" si="26"/>
        <v>0.56489999999999996</v>
      </c>
      <c r="BM39" s="22">
        <f t="shared" si="27"/>
        <v>-0.57110655465092075</v>
      </c>
      <c r="BN39" s="46">
        <v>0.621</v>
      </c>
      <c r="BO39" s="47">
        <v>0.51319999999999999</v>
      </c>
      <c r="BP39" s="47">
        <v>-0.6670896462406557</v>
      </c>
      <c r="BQ39" s="46">
        <v>0.65559999999999996</v>
      </c>
      <c r="BR39" s="47">
        <f t="shared" si="28"/>
        <v>0.54979999999999996</v>
      </c>
      <c r="BS39" s="47">
        <f t="shared" si="29"/>
        <v>-0.59820070325099184</v>
      </c>
      <c r="BT39" s="46">
        <v>0.625</v>
      </c>
      <c r="BU39" s="47">
        <f t="shared" si="30"/>
        <v>0.51619999999999999</v>
      </c>
      <c r="BV39" s="47">
        <f t="shared" si="31"/>
        <v>-0.66126099169762353</v>
      </c>
    </row>
    <row r="40" spans="1:74" x14ac:dyDescent="0.2">
      <c r="AF40" t="e">
        <v>#NUM!</v>
      </c>
      <c r="BG40" t="e">
        <v>#NUM!</v>
      </c>
    </row>
    <row r="52" spans="1:25" x14ac:dyDescent="0.2">
      <c r="A52" s="18"/>
      <c r="B52" s="6" t="s">
        <v>278</v>
      </c>
      <c r="M52" s="6" t="s">
        <v>237</v>
      </c>
    </row>
    <row r="53" spans="1:25" x14ac:dyDescent="0.2">
      <c r="A53" s="19"/>
      <c r="B53" s="6" t="s">
        <v>277</v>
      </c>
    </row>
    <row r="54" spans="1:25" x14ac:dyDescent="0.2">
      <c r="A54" s="20"/>
      <c r="B54" s="6" t="s">
        <v>276</v>
      </c>
      <c r="V54" t="s">
        <v>167</v>
      </c>
    </row>
    <row r="55" spans="1:25" x14ac:dyDescent="0.2">
      <c r="B55" s="6" t="s">
        <v>221</v>
      </c>
      <c r="C55" s="8" t="s">
        <v>235</v>
      </c>
      <c r="D55" s="6" t="s">
        <v>244</v>
      </c>
      <c r="E55" s="6" t="s">
        <v>245</v>
      </c>
      <c r="F55" s="8" t="s">
        <v>246</v>
      </c>
      <c r="G55" s="6" t="s">
        <v>247</v>
      </c>
      <c r="H55" s="6" t="s">
        <v>248</v>
      </c>
      <c r="I55" s="8" t="s">
        <v>249</v>
      </c>
      <c r="J55" s="6" t="s">
        <v>249</v>
      </c>
      <c r="K55" s="6" t="s">
        <v>250</v>
      </c>
      <c r="L55" s="8" t="s">
        <v>251</v>
      </c>
      <c r="M55" s="8" t="s">
        <v>252</v>
      </c>
      <c r="N55" s="8" t="s">
        <v>226</v>
      </c>
      <c r="O55" s="8" t="s">
        <v>253</v>
      </c>
      <c r="P55" s="8" t="s">
        <v>254</v>
      </c>
      <c r="Q55" s="8" t="s">
        <v>227</v>
      </c>
      <c r="R55" s="8" t="s">
        <v>275</v>
      </c>
      <c r="S55" s="8" t="s">
        <v>275</v>
      </c>
      <c r="T55" s="8" t="s">
        <v>269</v>
      </c>
      <c r="U55" s="8" t="s">
        <v>270</v>
      </c>
      <c r="V55" s="8" t="s">
        <v>271</v>
      </c>
      <c r="W55" s="8" t="s">
        <v>272</v>
      </c>
      <c r="X55" s="8" t="s">
        <v>273</v>
      </c>
      <c r="Y55" s="8" t="s">
        <v>274</v>
      </c>
    </row>
    <row r="56" spans="1:25" x14ac:dyDescent="0.2">
      <c r="A56" s="6" t="s">
        <v>242</v>
      </c>
      <c r="B56">
        <f>(E19-E15)/(A19-A15)</f>
        <v>1.4668662045875498</v>
      </c>
      <c r="C56" s="8">
        <f>(H19-H15)/(A19-A15)</f>
        <v>1.8059251167826698</v>
      </c>
      <c r="D56">
        <f>(K19-K15)/(A19-A15)</f>
        <v>1.3614515570088572</v>
      </c>
      <c r="E56">
        <f>(N19-N15)/(A19-A15)</f>
        <v>1.5667382225772419</v>
      </c>
      <c r="F56" s="8">
        <f>(Q19-Q15)/(A19-A15)</f>
        <v>1.5011633885207862</v>
      </c>
      <c r="G56">
        <f>(T19-T15)/(A19-A15)</f>
        <v>1.3486341248278022</v>
      </c>
      <c r="H56">
        <f>(W19-W15)/(A19-A15)</f>
        <v>1.4867690559595286</v>
      </c>
      <c r="I56" s="8">
        <f>(Z19-Z15)/(A19-A15)</f>
        <v>1.4622812775225427</v>
      </c>
      <c r="J56">
        <f>(AC19-AC15)/(A19-A15)</f>
        <v>1.3184406326663649</v>
      </c>
      <c r="K56">
        <f>(AF19-AF15)/(A19-A15)</f>
        <v>1.4158835501379448</v>
      </c>
      <c r="L56" s="8">
        <f>(AI19-AI15)/(A19-A15)</f>
        <v>1.3283899587981705</v>
      </c>
      <c r="M56">
        <f>(AL19-AL15)/(A19-A15)</f>
        <v>1.2868923517361273</v>
      </c>
      <c r="N56">
        <f>(AO19-AO15)/(A19-A15)</f>
        <v>1.5298452957418369</v>
      </c>
      <c r="O56" s="8">
        <f>(AR19-AR15)/(A19-A15)</f>
        <v>1.3465702222078599</v>
      </c>
      <c r="P56">
        <f>(AU19-AU15)/(A19-A15)</f>
        <v>1.3059102581094584</v>
      </c>
      <c r="Q56">
        <f>(AX19-AX15)/(A19-A15)</f>
        <v>1.1282557581554302</v>
      </c>
      <c r="R56" s="8">
        <f>(BA19-BA15)/(A19-A15)</f>
        <v>1.195541023106736</v>
      </c>
      <c r="S56">
        <f>(BD19-BD15)/(A19-A15)</f>
        <v>1.1781384171755014</v>
      </c>
      <c r="T56">
        <f>(BG19-BG15)/(A19-A15)</f>
        <v>1.2242677130516462</v>
      </c>
      <c r="U56" s="8">
        <f>BJ19-BJ15/(A19-A15)</f>
        <v>1.256890469398535</v>
      </c>
      <c r="V56">
        <f>(BM19-BM15)/(A19-A15)</f>
        <v>1.0587291362641287</v>
      </c>
      <c r="W56">
        <f>(BP19-BP15)/(A19-A15)</f>
        <v>1.604561194572667</v>
      </c>
      <c r="X56" s="8">
        <f>(BS19-BS15)/(A19-A15)</f>
        <v>1.3031125837136348</v>
      </c>
      <c r="Y56">
        <f>(BV19-BV15)/(A19-A15)</f>
        <v>1.2897300603923902</v>
      </c>
    </row>
    <row r="57" spans="1:25" x14ac:dyDescent="0.2">
      <c r="A57" s="6" t="s">
        <v>243</v>
      </c>
      <c r="B57">
        <f>LN(2)/B56</f>
        <v>0.47253606252033253</v>
      </c>
      <c r="C57">
        <f>LN(2)/C56</f>
        <v>0.38381834003993237</v>
      </c>
      <c r="D57">
        <f t="shared" ref="D57:G57" si="32">LN(2)/D56</f>
        <v>0.50912364600236437</v>
      </c>
      <c r="E57">
        <f t="shared" si="32"/>
        <v>0.44241416375208931</v>
      </c>
      <c r="F57">
        <f t="shared" si="32"/>
        <v>0.46173999836417368</v>
      </c>
      <c r="G57">
        <f t="shared" si="32"/>
        <v>0.51396236221476932</v>
      </c>
      <c r="H57">
        <f t="shared" ref="H57" si="33">LN(2)/H56</f>
        <v>0.4662103894223189</v>
      </c>
      <c r="I57">
        <f t="shared" ref="I57" si="34">LN(2)/I56</f>
        <v>0.47401768128653321</v>
      </c>
      <c r="J57">
        <f t="shared" ref="J57" si="35">LN(2)/J56</f>
        <v>0.5257325687529445</v>
      </c>
      <c r="K57">
        <f t="shared" ref="K57" si="36">LN(2)/K56</f>
        <v>0.48955098072324826</v>
      </c>
      <c r="L57">
        <f t="shared" ref="L57" si="37">LN(2)/L56</f>
        <v>0.52179495634478745</v>
      </c>
      <c r="M57">
        <f t="shared" ref="M57" si="38">LN(2)/M56</f>
        <v>0.53862094962708484</v>
      </c>
      <c r="N57">
        <f t="shared" ref="N57" si="39">LN(2)/N56</f>
        <v>0.45308318592033286</v>
      </c>
      <c r="O57">
        <f t="shared" ref="O57" si="40">LN(2)/O56</f>
        <v>0.51475011783897107</v>
      </c>
      <c r="P57">
        <f t="shared" ref="P57" si="41">LN(2)/P56</f>
        <v>0.5307770394294945</v>
      </c>
      <c r="Q57">
        <f t="shared" ref="Q57" si="42">LN(2)/Q56</f>
        <v>0.61435288546026301</v>
      </c>
      <c r="R57">
        <f t="shared" ref="R57" si="43">LN(2)/R56</f>
        <v>0.57977699398280047</v>
      </c>
      <c r="S57">
        <f t="shared" ref="S57" si="44">LN(2)/S56</f>
        <v>0.588341039095995</v>
      </c>
      <c r="T57">
        <f t="shared" ref="T57" si="45">LN(2)/T56</f>
        <v>0.56617288291642187</v>
      </c>
      <c r="U57">
        <f t="shared" ref="U57" si="46">LN(2)/U56</f>
        <v>0.55147779176942913</v>
      </c>
      <c r="V57">
        <f t="shared" ref="V57" si="47">LN(2)/V56</f>
        <v>0.65469736953288205</v>
      </c>
      <c r="W57">
        <f t="shared" ref="W57" si="48">LN(2)/W56</f>
        <v>0.43198550663226465</v>
      </c>
      <c r="X57">
        <f t="shared" ref="X57" si="49">LN(2)/X56</f>
        <v>0.53191657361223643</v>
      </c>
      <c r="Y57">
        <f t="shared" ref="Y57" si="50">LN(2)/Y56</f>
        <v>0.53743585719717246</v>
      </c>
    </row>
    <row r="58" spans="1:25" x14ac:dyDescent="0.2">
      <c r="A58" s="6" t="s">
        <v>255</v>
      </c>
      <c r="B58">
        <f>60*B57</f>
        <v>28.352163751219951</v>
      </c>
      <c r="C58">
        <f t="shared" ref="C58:N58" si="51">60*C57</f>
        <v>23.029100402395944</v>
      </c>
      <c r="D58">
        <f t="shared" si="51"/>
        <v>30.547418760141863</v>
      </c>
      <c r="E58">
        <f t="shared" si="51"/>
        <v>26.544849825125358</v>
      </c>
      <c r="F58">
        <f t="shared" si="51"/>
        <v>27.704399901850422</v>
      </c>
      <c r="G58">
        <f t="shared" si="51"/>
        <v>30.837741732886158</v>
      </c>
      <c r="H58">
        <f t="shared" si="51"/>
        <v>27.972623365339135</v>
      </c>
      <c r="I58">
        <f t="shared" si="51"/>
        <v>28.441060877191994</v>
      </c>
      <c r="J58">
        <f t="shared" si="51"/>
        <v>31.543954125176668</v>
      </c>
      <c r="K58">
        <f t="shared" si="51"/>
        <v>29.373058843394897</v>
      </c>
      <c r="L58">
        <f t="shared" si="51"/>
        <v>31.307697380687248</v>
      </c>
      <c r="M58">
        <f t="shared" si="51"/>
        <v>32.317256977625092</v>
      </c>
      <c r="N58">
        <f t="shared" si="51"/>
        <v>27.184991155219972</v>
      </c>
      <c r="O58">
        <f>60*O57</f>
        <v>30.885007070338265</v>
      </c>
      <c r="P58">
        <f t="shared" ref="P58" si="52">60*P57</f>
        <v>31.846622365769669</v>
      </c>
      <c r="Q58">
        <f t="shared" ref="Q58" si="53">60*Q57</f>
        <v>36.861173127615778</v>
      </c>
      <c r="R58">
        <f t="shared" ref="R58" si="54">60*R57</f>
        <v>34.786619638968027</v>
      </c>
      <c r="S58">
        <f t="shared" ref="S58" si="55">60*S57</f>
        <v>35.300462345759698</v>
      </c>
      <c r="T58">
        <f t="shared" ref="T58" si="56">60*T57</f>
        <v>33.97037297498531</v>
      </c>
      <c r="U58">
        <f t="shared" ref="U58" si="57">60*U57</f>
        <v>33.088667506165748</v>
      </c>
      <c r="V58">
        <f t="shared" ref="V58" si="58">60*V57</f>
        <v>39.281842171972926</v>
      </c>
      <c r="W58">
        <f t="shared" ref="W58" si="59">60*W57</f>
        <v>25.919130397935881</v>
      </c>
      <c r="X58">
        <f t="shared" ref="X58" si="60">60*X57</f>
        <v>31.914994416734185</v>
      </c>
      <c r="Y58">
        <f t="shared" ref="Y58" si="61">60*Y57</f>
        <v>32.246151431830349</v>
      </c>
    </row>
    <row r="60" spans="1:25" x14ac:dyDescent="0.2">
      <c r="B60" s="6"/>
    </row>
    <row r="61" spans="1:25" x14ac:dyDescent="0.2">
      <c r="A61" s="86"/>
      <c r="B61" s="87"/>
      <c r="C61" s="87"/>
      <c r="D61" s="87"/>
      <c r="E61" s="87"/>
      <c r="F61" s="87"/>
      <c r="G61" s="87"/>
      <c r="H61" s="87" t="s">
        <v>279</v>
      </c>
      <c r="I61" s="87" t="s">
        <v>280</v>
      </c>
    </row>
    <row r="62" spans="1:25" x14ac:dyDescent="0.2">
      <c r="A62" s="86"/>
      <c r="B62" s="87" t="s">
        <v>221</v>
      </c>
      <c r="C62" s="87" t="s">
        <v>223</v>
      </c>
      <c r="D62" s="87" t="s">
        <v>224</v>
      </c>
      <c r="E62" s="87" t="s">
        <v>225</v>
      </c>
      <c r="F62" s="87" t="s">
        <v>226</v>
      </c>
      <c r="G62" s="87" t="s">
        <v>227</v>
      </c>
      <c r="H62" s="87" t="s">
        <v>238</v>
      </c>
      <c r="I62" s="87" t="s">
        <v>268</v>
      </c>
    </row>
    <row r="63" spans="1:25" x14ac:dyDescent="0.2">
      <c r="A63" s="88" t="s">
        <v>242</v>
      </c>
      <c r="B63" s="89">
        <f>AVERAGE(B56:D56)</f>
        <v>1.5447476261263589</v>
      </c>
      <c r="C63" s="89">
        <f>AVERAGE(E56:G56)</f>
        <v>1.4721785786419435</v>
      </c>
      <c r="D63" s="89">
        <f>AVERAGE(H56:J56)</f>
        <v>1.4224969887161454</v>
      </c>
      <c r="E63" s="89">
        <f>AVERAGE(K56:M56)</f>
        <v>1.3437219535574141</v>
      </c>
      <c r="F63" s="89">
        <f>AVERAGE(N56:P56)</f>
        <v>1.3941085920197185</v>
      </c>
      <c r="G63" s="89">
        <f>AVERAGE(Q56:S56)</f>
        <v>1.167311732812556</v>
      </c>
      <c r="H63" s="89">
        <f>AVERAGE(T56:V56)</f>
        <v>1.1799624395714365</v>
      </c>
      <c r="I63" s="89">
        <f>AVERAGE(W56:Y56)</f>
        <v>1.3991346128928974</v>
      </c>
    </row>
    <row r="64" spans="1:25" x14ac:dyDescent="0.2">
      <c r="A64" s="88" t="s">
        <v>243</v>
      </c>
      <c r="B64" s="89">
        <f>LN(2)/B63</f>
        <v>0.44871224841956581</v>
      </c>
      <c r="C64" s="89">
        <f t="shared" ref="C64:E64" si="62">LN(2)/C63</f>
        <v>0.47083091047239684</v>
      </c>
      <c r="D64" s="89">
        <f t="shared" si="62"/>
        <v>0.48727497214987814</v>
      </c>
      <c r="E64" s="89">
        <f t="shared" si="62"/>
        <v>0.51584122647165542</v>
      </c>
      <c r="F64" s="89">
        <f t="shared" ref="F64" si="63">LN(2)/F63</f>
        <v>0.49719740953303104</v>
      </c>
      <c r="G64" s="89">
        <f t="shared" ref="G64" si="64">LN(2)/G63</f>
        <v>0.59379783572452893</v>
      </c>
      <c r="H64" s="89">
        <f t="shared" ref="H64" si="65">LN(2)/H63</f>
        <v>0.58743156334001356</v>
      </c>
      <c r="I64" s="89">
        <f t="shared" ref="I64" si="66">LN(2)/I63</f>
        <v>0.49541135940220293</v>
      </c>
    </row>
    <row r="65" spans="1:22" x14ac:dyDescent="0.2">
      <c r="A65" s="88" t="s">
        <v>255</v>
      </c>
      <c r="B65" s="89">
        <f>60*B64</f>
        <v>26.922734905173947</v>
      </c>
      <c r="C65" s="89">
        <f t="shared" ref="C65:E65" si="67">60*C64</f>
        <v>28.249854628343812</v>
      </c>
      <c r="D65" s="89">
        <f t="shared" si="67"/>
        <v>29.236498328992688</v>
      </c>
      <c r="E65" s="89">
        <f t="shared" si="67"/>
        <v>30.950473588299324</v>
      </c>
      <c r="F65" s="89">
        <f t="shared" ref="F65" si="68">60*F64</f>
        <v>29.831844571981861</v>
      </c>
      <c r="G65" s="89">
        <f t="shared" ref="G65" si="69">60*G64</f>
        <v>35.627870143471739</v>
      </c>
      <c r="H65" s="89">
        <f t="shared" ref="H65:I65" si="70">60*H64</f>
        <v>35.245893800400815</v>
      </c>
      <c r="I65" s="89">
        <f t="shared" si="70"/>
        <v>29.724681564132176</v>
      </c>
    </row>
    <row r="66" spans="1:22" x14ac:dyDescent="0.2">
      <c r="A66" s="88" t="s">
        <v>304</v>
      </c>
      <c r="B66" s="89">
        <f>STDEV(B56:D56)</f>
        <v>0.23224625551379915</v>
      </c>
      <c r="C66" s="89">
        <f>STDEV(E56:G56)</f>
        <v>0.11190370309582603</v>
      </c>
      <c r="D66" s="89">
        <f>STDEV(H56:J56)</f>
        <v>9.0943426089870508E-2</v>
      </c>
      <c r="E66" s="89">
        <f>STDEV(K56:M56)</f>
        <v>6.5848195599859591E-2</v>
      </c>
      <c r="F66" s="89">
        <f>STDEV(N56:P56)</f>
        <v>0.11929646986868665</v>
      </c>
      <c r="G66" s="89">
        <f>STDEV(Q56:S56)</f>
        <v>3.4924769728847067E-2</v>
      </c>
      <c r="H66" s="89">
        <f>STDEV(T56:V56)</f>
        <v>0.10625063026174673</v>
      </c>
      <c r="I66" s="89">
        <f>STDEV(W56:Y56)</f>
        <v>0.17803042809611877</v>
      </c>
    </row>
    <row r="67" spans="1:22" x14ac:dyDescent="0.2">
      <c r="A67" s="88" t="s">
        <v>305</v>
      </c>
      <c r="B67" s="89">
        <f>STDEV(B58:D58)</f>
        <v>3.8660759368773023</v>
      </c>
      <c r="C67" s="89">
        <f>STDEV(E58:G58)</f>
        <v>2.2207847089962609</v>
      </c>
      <c r="D67" s="89">
        <f>STDEV(H58:J58)</f>
        <v>1.9408667997856659</v>
      </c>
      <c r="E67" s="89">
        <f>STDEV(K58:M58)</f>
        <v>1.4961249671150776</v>
      </c>
      <c r="F67" s="89">
        <f>STDEV(N58:P58)</f>
        <v>2.4612201341241069</v>
      </c>
      <c r="G67" s="89">
        <f>STDEV(Q58:S58)</f>
        <v>1.0804030612989894</v>
      </c>
      <c r="H67" s="89">
        <f>STDEV(T58:V58)</f>
        <v>3.35023685743487</v>
      </c>
      <c r="I67" s="89">
        <f>STDEV(W58:Y58)</f>
        <v>3.5611619233032772</v>
      </c>
    </row>
    <row r="79" spans="1:22" x14ac:dyDescent="0.2">
      <c r="C79" s="6" t="s">
        <v>237</v>
      </c>
      <c r="D79" s="8"/>
      <c r="F79"/>
      <c r="G79" s="8"/>
      <c r="I79"/>
      <c r="J79" s="8"/>
      <c r="L79"/>
      <c r="M79" s="8"/>
      <c r="O79"/>
      <c r="P79" s="8"/>
      <c r="R79"/>
      <c r="S79" s="8"/>
      <c r="U79"/>
      <c r="V79" s="8"/>
    </row>
    <row r="80" spans="1:22" x14ac:dyDescent="0.2">
      <c r="B80" s="4" t="s">
        <v>146</v>
      </c>
      <c r="C80" s="4" t="s">
        <v>147</v>
      </c>
      <c r="D80" s="9" t="s">
        <v>148</v>
      </c>
      <c r="E80" s="4" t="s">
        <v>149</v>
      </c>
      <c r="F80" s="4" t="s">
        <v>150</v>
      </c>
      <c r="G80" s="9" t="s">
        <v>151</v>
      </c>
      <c r="H80" s="4" t="s">
        <v>152</v>
      </c>
      <c r="I80" s="4" t="s">
        <v>153</v>
      </c>
      <c r="J80" s="9" t="s">
        <v>154</v>
      </c>
      <c r="L80"/>
      <c r="M80" s="8" t="s">
        <v>157</v>
      </c>
      <c r="N80" t="s">
        <v>158</v>
      </c>
      <c r="O80" t="s">
        <v>159</v>
      </c>
      <c r="P80" s="8" t="s">
        <v>160</v>
      </c>
      <c r="Q80" t="s">
        <v>161</v>
      </c>
      <c r="R80" t="s">
        <v>162</v>
      </c>
      <c r="S80" s="8" t="s">
        <v>163</v>
      </c>
      <c r="T80" t="s">
        <v>164</v>
      </c>
      <c r="U80" t="s">
        <v>165</v>
      </c>
      <c r="V80" s="8" t="s">
        <v>166</v>
      </c>
    </row>
    <row r="81" spans="2:22" x14ac:dyDescent="0.2">
      <c r="B81" s="1">
        <v>0.1028</v>
      </c>
      <c r="C81" s="1">
        <v>0.1108</v>
      </c>
      <c r="D81" s="8">
        <v>0.1031</v>
      </c>
      <c r="E81" s="1">
        <v>0.10390000000000001</v>
      </c>
      <c r="F81" s="1">
        <v>0.105</v>
      </c>
      <c r="G81" s="8">
        <v>0.10730000000000001</v>
      </c>
      <c r="H81" s="1">
        <v>0.1079</v>
      </c>
      <c r="I81" s="1">
        <v>0.108</v>
      </c>
      <c r="J81" s="8">
        <v>0.1043</v>
      </c>
      <c r="L81"/>
      <c r="M81" s="8"/>
      <c r="N81">
        <v>0.1047</v>
      </c>
      <c r="O81">
        <v>0.1038</v>
      </c>
      <c r="P81" s="8">
        <v>0.104</v>
      </c>
      <c r="Q81">
        <v>0.10349999999999999</v>
      </c>
      <c r="R81">
        <v>0.1057</v>
      </c>
      <c r="S81" s="8">
        <v>0.1198</v>
      </c>
      <c r="T81">
        <v>0.10580000000000001</v>
      </c>
      <c r="U81">
        <v>0.1051</v>
      </c>
      <c r="V81" s="8">
        <v>0.10489999999999999</v>
      </c>
    </row>
    <row r="82" spans="2:22" x14ac:dyDescent="0.2">
      <c r="B82" s="1">
        <v>0.1013</v>
      </c>
      <c r="C82" s="1">
        <v>0.1047</v>
      </c>
      <c r="D82" s="8">
        <v>0.1047</v>
      </c>
      <c r="E82" s="1">
        <v>0.105</v>
      </c>
      <c r="F82" s="1">
        <v>0.10539999999999999</v>
      </c>
      <c r="G82" s="8">
        <v>0.1069</v>
      </c>
      <c r="H82" s="1">
        <v>0.1087</v>
      </c>
      <c r="I82" s="1">
        <v>0.106</v>
      </c>
      <c r="J82" s="8">
        <v>0.1053</v>
      </c>
      <c r="L82"/>
      <c r="M82" s="8"/>
      <c r="N82">
        <v>0.1071</v>
      </c>
      <c r="O82">
        <v>0.106</v>
      </c>
      <c r="P82" s="8">
        <v>0.1053</v>
      </c>
      <c r="Q82">
        <v>0.1055</v>
      </c>
      <c r="R82">
        <v>0.1075</v>
      </c>
      <c r="S82" s="8">
        <v>0.12189999999999999</v>
      </c>
      <c r="T82">
        <v>0.1084</v>
      </c>
      <c r="U82">
        <v>0.10589999999999999</v>
      </c>
      <c r="V82" s="8">
        <v>0.10879999999999999</v>
      </c>
    </row>
    <row r="83" spans="2:22" x14ac:dyDescent="0.2">
      <c r="B83" s="1">
        <v>0.1008</v>
      </c>
      <c r="C83" s="1">
        <v>0.1048</v>
      </c>
      <c r="D83" s="8">
        <v>0.1046</v>
      </c>
      <c r="E83" s="1">
        <v>0.1055</v>
      </c>
      <c r="F83" s="1">
        <v>0.1061</v>
      </c>
      <c r="G83" s="8">
        <v>0.1071</v>
      </c>
      <c r="H83" s="1">
        <v>0.1096</v>
      </c>
      <c r="I83" s="1">
        <v>0.1052</v>
      </c>
      <c r="J83" s="8">
        <v>0.10580000000000001</v>
      </c>
      <c r="L83"/>
      <c r="M83" s="8"/>
      <c r="N83">
        <v>0.1072</v>
      </c>
      <c r="O83">
        <v>0.106</v>
      </c>
      <c r="P83" s="8">
        <v>0.10539999999999999</v>
      </c>
      <c r="Q83">
        <v>0.10589999999999999</v>
      </c>
      <c r="R83">
        <v>0.1087</v>
      </c>
      <c r="S83" s="8">
        <v>0.12230000000000001</v>
      </c>
      <c r="T83">
        <v>0.1085</v>
      </c>
      <c r="U83">
        <v>0.10580000000000001</v>
      </c>
      <c r="V83" s="8">
        <v>0.10879999999999999</v>
      </c>
    </row>
    <row r="84" spans="2:22" x14ac:dyDescent="0.2">
      <c r="B84" s="1">
        <v>0.1009</v>
      </c>
      <c r="C84" s="1">
        <v>0.1066</v>
      </c>
      <c r="D84" s="8">
        <v>0.10639999999999999</v>
      </c>
      <c r="E84" s="1">
        <v>0.10780000000000001</v>
      </c>
      <c r="F84" s="1">
        <v>0.1084</v>
      </c>
      <c r="G84" s="8">
        <v>0.10979999999999999</v>
      </c>
      <c r="H84" s="1">
        <v>0.1114</v>
      </c>
      <c r="I84" s="1">
        <v>0.10730000000000001</v>
      </c>
      <c r="J84" s="8">
        <v>0.1075</v>
      </c>
      <c r="L84"/>
      <c r="M84" s="8"/>
      <c r="N84">
        <v>0.11070000000000001</v>
      </c>
      <c r="O84">
        <v>0.1087</v>
      </c>
      <c r="P84" s="8">
        <v>0.10780000000000001</v>
      </c>
      <c r="Q84">
        <v>0.1085</v>
      </c>
      <c r="R84">
        <v>0.1115</v>
      </c>
      <c r="S84" s="8">
        <v>0.12429999999999999</v>
      </c>
      <c r="T84">
        <v>0.11219999999999999</v>
      </c>
      <c r="U84">
        <v>0.1087</v>
      </c>
      <c r="V84" s="8">
        <v>0.1109</v>
      </c>
    </row>
    <row r="85" spans="2:22" x14ac:dyDescent="0.2">
      <c r="B85" s="1">
        <v>0.1014</v>
      </c>
      <c r="C85" s="1">
        <v>0.11070000000000001</v>
      </c>
      <c r="D85" s="8">
        <v>0.111</v>
      </c>
      <c r="E85" s="1">
        <v>0.1124</v>
      </c>
      <c r="F85" s="1">
        <v>0.11269999999999999</v>
      </c>
      <c r="G85" s="8">
        <v>0.1154</v>
      </c>
      <c r="H85" s="1">
        <v>0.11650000000000001</v>
      </c>
      <c r="I85" s="1">
        <v>0.1116</v>
      </c>
      <c r="J85" s="8">
        <v>0.1114</v>
      </c>
      <c r="L85"/>
      <c r="M85" s="8"/>
      <c r="N85">
        <v>0.1168</v>
      </c>
      <c r="O85">
        <v>0.1139</v>
      </c>
      <c r="P85" s="8">
        <v>0.113</v>
      </c>
      <c r="Q85">
        <v>0.1135</v>
      </c>
      <c r="R85">
        <v>0.11650000000000001</v>
      </c>
      <c r="S85" s="8">
        <v>0.12920000000000001</v>
      </c>
      <c r="T85">
        <v>0.1178</v>
      </c>
      <c r="U85">
        <v>0.11360000000000001</v>
      </c>
      <c r="V85" s="8">
        <v>0.1154</v>
      </c>
    </row>
    <row r="86" spans="2:22" x14ac:dyDescent="0.2">
      <c r="B86" s="1">
        <v>0.1023</v>
      </c>
      <c r="C86" s="1">
        <v>0.11559999999999999</v>
      </c>
      <c r="D86" s="8">
        <v>0.11609999999999999</v>
      </c>
      <c r="E86" s="1">
        <v>0.1192</v>
      </c>
      <c r="F86" s="1">
        <v>0.1188</v>
      </c>
      <c r="G86" s="8">
        <v>0.1231</v>
      </c>
      <c r="H86" s="1">
        <v>0.1242</v>
      </c>
      <c r="I86" s="1">
        <v>0.12</v>
      </c>
      <c r="J86" s="8">
        <v>0.1181</v>
      </c>
      <c r="L86"/>
      <c r="M86" s="8"/>
      <c r="N86">
        <v>0.12189999999999999</v>
      </c>
      <c r="O86">
        <v>0.1208</v>
      </c>
      <c r="P86" s="8">
        <v>0.1193</v>
      </c>
      <c r="Q86">
        <v>0.1203</v>
      </c>
      <c r="R86">
        <v>0.1235</v>
      </c>
      <c r="S86" s="8">
        <v>0.13689999999999999</v>
      </c>
      <c r="T86">
        <v>0.12709999999999999</v>
      </c>
      <c r="U86">
        <v>0.1226</v>
      </c>
      <c r="V86" s="8">
        <v>0.123</v>
      </c>
    </row>
    <row r="87" spans="2:22" x14ac:dyDescent="0.2">
      <c r="B87" s="1">
        <v>0.1031</v>
      </c>
      <c r="C87" s="1">
        <v>0.1198</v>
      </c>
      <c r="D87" s="8">
        <v>0.1202</v>
      </c>
      <c r="E87" s="1">
        <v>0.1239</v>
      </c>
      <c r="F87" s="1">
        <v>0.1235</v>
      </c>
      <c r="G87" s="8">
        <v>0.13</v>
      </c>
      <c r="H87" s="1">
        <v>0.1331</v>
      </c>
      <c r="I87" s="1">
        <v>0.127</v>
      </c>
      <c r="J87" s="8">
        <v>0.1255</v>
      </c>
      <c r="L87"/>
      <c r="M87" s="8"/>
      <c r="N87">
        <v>0.12859999999999999</v>
      </c>
      <c r="O87">
        <v>0.1258</v>
      </c>
      <c r="P87" s="8">
        <v>0.12529999999999999</v>
      </c>
      <c r="Q87">
        <v>0.1265</v>
      </c>
      <c r="R87">
        <v>0.1288</v>
      </c>
      <c r="S87" s="8">
        <v>0.14269999999999999</v>
      </c>
      <c r="T87">
        <v>0.1371</v>
      </c>
      <c r="U87">
        <v>0.13189999999999999</v>
      </c>
      <c r="V87" s="8">
        <v>0.13100000000000001</v>
      </c>
    </row>
    <row r="88" spans="2:22" x14ac:dyDescent="0.2">
      <c r="B88" s="1">
        <v>0.1036</v>
      </c>
      <c r="C88" s="1">
        <v>0.1229</v>
      </c>
      <c r="D88" s="8">
        <v>0.12379999999999999</v>
      </c>
      <c r="E88" s="1">
        <v>0.1285</v>
      </c>
      <c r="F88" s="1">
        <v>0.1268</v>
      </c>
      <c r="G88" s="8">
        <v>0.13420000000000001</v>
      </c>
      <c r="H88" s="1">
        <v>0.1394</v>
      </c>
      <c r="I88" s="1">
        <v>0.13320000000000001</v>
      </c>
      <c r="J88" s="8">
        <v>0.13150000000000001</v>
      </c>
      <c r="L88"/>
      <c r="M88" s="8"/>
      <c r="N88">
        <v>0.13489999999999999</v>
      </c>
      <c r="O88">
        <v>0.13009999999999999</v>
      </c>
      <c r="P88" s="8">
        <v>0.13170000000000001</v>
      </c>
      <c r="Q88">
        <v>0.13150000000000001</v>
      </c>
      <c r="R88">
        <v>0.13389999999999999</v>
      </c>
      <c r="S88" s="8">
        <v>0.14960000000000001</v>
      </c>
      <c r="T88">
        <v>0.14729999999999999</v>
      </c>
      <c r="U88">
        <v>0.14219999999999999</v>
      </c>
      <c r="V88" s="8">
        <v>0.13789999999999999</v>
      </c>
    </row>
    <row r="89" spans="2:22" x14ac:dyDescent="0.2">
      <c r="B89" s="1">
        <v>0.1048</v>
      </c>
      <c r="C89" s="1">
        <v>0.13220000000000001</v>
      </c>
      <c r="D89" s="8">
        <v>0.1343</v>
      </c>
      <c r="E89" s="1">
        <v>0.1404</v>
      </c>
      <c r="F89" s="1">
        <v>0.1404</v>
      </c>
      <c r="G89" s="8">
        <v>0.15140000000000001</v>
      </c>
      <c r="H89" s="1">
        <v>0.159</v>
      </c>
      <c r="I89" s="1">
        <v>0.15409999999999999</v>
      </c>
      <c r="J89" s="8">
        <v>0.15110000000000001</v>
      </c>
      <c r="L89"/>
      <c r="M89" s="8"/>
      <c r="N89">
        <v>0.1517</v>
      </c>
      <c r="O89">
        <v>0.14319999999999999</v>
      </c>
      <c r="P89" s="8">
        <v>0.14480000000000001</v>
      </c>
      <c r="Q89">
        <v>0.1462</v>
      </c>
      <c r="R89">
        <v>0.1474</v>
      </c>
      <c r="S89" s="8">
        <v>0.17119999999999999</v>
      </c>
      <c r="T89">
        <v>0.17169999999999999</v>
      </c>
      <c r="U89">
        <v>0.16850000000000001</v>
      </c>
      <c r="V89" s="8">
        <v>0.16009999999999999</v>
      </c>
    </row>
    <row r="90" spans="2:22" x14ac:dyDescent="0.2">
      <c r="B90" s="1">
        <v>0.107</v>
      </c>
      <c r="C90" s="1">
        <v>0.1462</v>
      </c>
      <c r="D90" s="8">
        <v>0.14810000000000001</v>
      </c>
      <c r="E90" s="1">
        <v>0.15659999999999999</v>
      </c>
      <c r="F90" s="1">
        <v>0.15459999999999999</v>
      </c>
      <c r="G90" s="8">
        <v>0.16889999999999999</v>
      </c>
      <c r="H90" s="1">
        <v>0.1817</v>
      </c>
      <c r="I90" s="1">
        <v>0.18079999999999999</v>
      </c>
      <c r="J90" s="8">
        <v>0.1769</v>
      </c>
      <c r="L90"/>
      <c r="M90" s="8"/>
      <c r="N90">
        <v>0.16930000000000001</v>
      </c>
      <c r="O90">
        <v>0.16439999999999999</v>
      </c>
      <c r="P90" s="8">
        <v>0.16650000000000001</v>
      </c>
      <c r="Q90">
        <v>0.16919999999999999</v>
      </c>
      <c r="R90">
        <v>0.16950000000000001</v>
      </c>
      <c r="S90" s="8">
        <v>0.2044</v>
      </c>
      <c r="T90">
        <v>0.20619999999999999</v>
      </c>
      <c r="U90">
        <v>0.20760000000000001</v>
      </c>
      <c r="V90" s="8">
        <v>0.19320000000000001</v>
      </c>
    </row>
    <row r="91" spans="2:22" x14ac:dyDescent="0.2">
      <c r="B91" s="1">
        <v>0.10920000000000001</v>
      </c>
      <c r="C91" s="1">
        <v>0.1585</v>
      </c>
      <c r="D91" s="8">
        <v>0.15989999999999999</v>
      </c>
      <c r="E91" s="1">
        <v>0.1706</v>
      </c>
      <c r="F91" s="1">
        <v>0.16650000000000001</v>
      </c>
      <c r="G91" s="8">
        <v>0.18440000000000001</v>
      </c>
      <c r="H91" s="1">
        <v>0.1988</v>
      </c>
      <c r="I91" s="1">
        <v>0.2044</v>
      </c>
      <c r="J91" s="8">
        <v>0.20169999999999999</v>
      </c>
      <c r="L91"/>
      <c r="M91" s="8"/>
      <c r="N91">
        <v>0.1925</v>
      </c>
      <c r="O91">
        <v>0.184</v>
      </c>
      <c r="P91" s="8">
        <v>0.1865</v>
      </c>
      <c r="Q91">
        <v>0.1885</v>
      </c>
      <c r="R91">
        <v>0.188</v>
      </c>
      <c r="S91" s="8">
        <v>0.23050000000000001</v>
      </c>
      <c r="T91">
        <v>0.2384</v>
      </c>
      <c r="U91">
        <v>0.24970000000000001</v>
      </c>
      <c r="V91" s="8">
        <v>0.2298</v>
      </c>
    </row>
    <row r="92" spans="2:22" x14ac:dyDescent="0.2">
      <c r="B92" s="1">
        <v>0.1138</v>
      </c>
      <c r="C92" s="1">
        <v>0.18820000000000001</v>
      </c>
      <c r="D92" s="8">
        <v>0.18970000000000001</v>
      </c>
      <c r="E92" s="1">
        <v>0.20469999999999999</v>
      </c>
      <c r="F92" s="1">
        <v>0.19839999999999999</v>
      </c>
      <c r="G92" s="8">
        <v>0.22370000000000001</v>
      </c>
      <c r="H92" s="1">
        <v>0.24640000000000001</v>
      </c>
      <c r="I92" s="1">
        <v>0.26229999999999998</v>
      </c>
      <c r="J92" s="8">
        <v>0.26100000000000001</v>
      </c>
      <c r="L92"/>
      <c r="M92" s="8"/>
      <c r="N92">
        <v>0.24579999999999999</v>
      </c>
      <c r="O92">
        <v>0.22700000000000001</v>
      </c>
      <c r="P92" s="8">
        <v>0.2321</v>
      </c>
      <c r="Q92">
        <v>0.23430000000000001</v>
      </c>
      <c r="R92">
        <v>0.23350000000000001</v>
      </c>
      <c r="S92" s="8">
        <v>0.29470000000000002</v>
      </c>
      <c r="T92">
        <v>0.30680000000000002</v>
      </c>
      <c r="U92">
        <v>0.31950000000000001</v>
      </c>
      <c r="V92" s="8">
        <v>0.29930000000000001</v>
      </c>
    </row>
    <row r="93" spans="2:22" x14ac:dyDescent="0.2">
      <c r="B93" s="1">
        <v>0.12180000000000001</v>
      </c>
      <c r="C93" s="1">
        <v>0.23350000000000001</v>
      </c>
      <c r="D93" s="8">
        <v>0.23230000000000001</v>
      </c>
      <c r="E93" s="1">
        <v>0.24990000000000001</v>
      </c>
      <c r="F93" s="1">
        <v>0.23630000000000001</v>
      </c>
      <c r="G93" s="8">
        <v>0.2702</v>
      </c>
      <c r="H93" s="1">
        <v>0.29620000000000002</v>
      </c>
      <c r="I93" s="1">
        <v>0.3039</v>
      </c>
      <c r="J93" s="8">
        <v>0.30499999999999999</v>
      </c>
      <c r="L93"/>
      <c r="M93" s="8"/>
      <c r="N93">
        <v>0.2984</v>
      </c>
      <c r="O93">
        <v>0.29089999999999999</v>
      </c>
      <c r="P93" s="8">
        <v>0.29360000000000003</v>
      </c>
      <c r="Q93">
        <v>0.29659999999999997</v>
      </c>
      <c r="R93">
        <v>0.29260000000000003</v>
      </c>
      <c r="S93" s="8">
        <v>0.3301</v>
      </c>
      <c r="T93">
        <v>0.33679999999999999</v>
      </c>
      <c r="U93">
        <v>0.35189999999999999</v>
      </c>
      <c r="V93" s="8">
        <v>0.35270000000000001</v>
      </c>
    </row>
    <row r="94" spans="2:22" x14ac:dyDescent="0.2">
      <c r="B94" s="1">
        <v>0.13450000000000001</v>
      </c>
      <c r="C94" s="1">
        <v>0.30299999999999999</v>
      </c>
      <c r="D94" s="8">
        <v>0.30280000000000001</v>
      </c>
      <c r="E94" s="1">
        <v>0.31540000000000001</v>
      </c>
      <c r="F94" s="1">
        <v>0.30530000000000002</v>
      </c>
      <c r="G94" s="8">
        <v>0.32219999999999999</v>
      </c>
      <c r="H94" s="1">
        <v>0.33900000000000002</v>
      </c>
      <c r="I94" s="1">
        <v>0.35820000000000002</v>
      </c>
      <c r="J94" s="8">
        <v>0.3715</v>
      </c>
      <c r="L94"/>
      <c r="M94" s="8"/>
      <c r="N94">
        <v>0.36659999999999998</v>
      </c>
      <c r="O94">
        <v>0.34699999999999998</v>
      </c>
      <c r="P94" s="8">
        <v>0.3422</v>
      </c>
      <c r="Q94">
        <v>0.34179999999999999</v>
      </c>
      <c r="R94">
        <v>0.33739999999999998</v>
      </c>
      <c r="S94" s="8">
        <v>0.39450000000000002</v>
      </c>
      <c r="T94">
        <v>0.40799999999999997</v>
      </c>
      <c r="U94">
        <v>0.4279</v>
      </c>
      <c r="V94" s="8">
        <v>0.43640000000000001</v>
      </c>
    </row>
    <row r="95" spans="2:22" x14ac:dyDescent="0.2">
      <c r="B95" s="1">
        <v>0.14760000000000001</v>
      </c>
      <c r="C95" s="1">
        <v>0.32869999999999999</v>
      </c>
      <c r="D95" s="8">
        <v>0.32679999999999998</v>
      </c>
      <c r="E95" s="1">
        <v>0.33579999999999999</v>
      </c>
      <c r="F95" s="1">
        <v>0.32350000000000001</v>
      </c>
      <c r="G95" s="8">
        <v>0.34810000000000002</v>
      </c>
      <c r="H95" s="1">
        <v>0.38800000000000001</v>
      </c>
      <c r="I95" s="1">
        <v>0.4148</v>
      </c>
      <c r="J95" s="8">
        <v>0.437</v>
      </c>
      <c r="L95"/>
      <c r="M95" s="8"/>
      <c r="N95">
        <v>0.41860000000000003</v>
      </c>
      <c r="O95">
        <v>0.38729999999999998</v>
      </c>
      <c r="P95" s="8">
        <v>0.3896</v>
      </c>
      <c r="Q95">
        <v>0.38679999999999998</v>
      </c>
      <c r="R95">
        <v>0.38329999999999997</v>
      </c>
      <c r="S95" s="8">
        <v>0.4541</v>
      </c>
      <c r="T95">
        <v>0.46589999999999998</v>
      </c>
      <c r="U95">
        <v>0.49969999999999998</v>
      </c>
      <c r="V95" s="8">
        <v>0.52139999999999997</v>
      </c>
    </row>
    <row r="96" spans="2:22" x14ac:dyDescent="0.2">
      <c r="B96" s="1">
        <v>0.16250000000000001</v>
      </c>
      <c r="C96" s="1">
        <v>0.34970000000000001</v>
      </c>
      <c r="D96" s="8">
        <v>0.34520000000000001</v>
      </c>
      <c r="E96" s="1">
        <v>0.35320000000000001</v>
      </c>
      <c r="F96" s="1">
        <v>0.33829999999999999</v>
      </c>
      <c r="G96" s="8">
        <v>0.36509999999999998</v>
      </c>
      <c r="H96" s="1">
        <v>0.4143</v>
      </c>
      <c r="I96" s="1">
        <v>0.44379999999999997</v>
      </c>
      <c r="J96" s="8">
        <v>0.47089999999999999</v>
      </c>
      <c r="L96"/>
      <c r="M96" s="8"/>
      <c r="N96">
        <v>0.4304</v>
      </c>
      <c r="O96">
        <v>0.42020000000000002</v>
      </c>
      <c r="P96" s="8">
        <v>0.41299999999999998</v>
      </c>
      <c r="Q96">
        <v>0.41399999999999998</v>
      </c>
      <c r="R96">
        <v>0.41049999999999998</v>
      </c>
      <c r="S96" s="8">
        <v>0.48920000000000002</v>
      </c>
      <c r="T96">
        <v>0.49109999999999998</v>
      </c>
      <c r="U96">
        <v>0.53979999999999995</v>
      </c>
      <c r="V96" s="8">
        <v>0.58450000000000002</v>
      </c>
    </row>
    <row r="97" spans="2:22" x14ac:dyDescent="0.2">
      <c r="B97" s="1">
        <v>0.19109999999999999</v>
      </c>
      <c r="C97" s="1">
        <v>0.39129999999999998</v>
      </c>
      <c r="D97" s="8">
        <v>0.38159999999999999</v>
      </c>
      <c r="E97" s="1">
        <v>0.39240000000000003</v>
      </c>
      <c r="F97" s="1">
        <v>0.37469999999999998</v>
      </c>
      <c r="G97" s="8">
        <v>0.40360000000000001</v>
      </c>
      <c r="H97" s="1">
        <v>0.43669999999999998</v>
      </c>
      <c r="I97" s="1">
        <v>0.47689999999999999</v>
      </c>
      <c r="J97" s="8">
        <v>0.50360000000000005</v>
      </c>
      <c r="L97"/>
      <c r="M97" s="8"/>
      <c r="N97">
        <v>0.51419999999999999</v>
      </c>
      <c r="O97">
        <v>0.47010000000000002</v>
      </c>
      <c r="P97" s="8">
        <v>0.47</v>
      </c>
      <c r="Q97">
        <v>0.46260000000000001</v>
      </c>
      <c r="R97">
        <v>0.45939999999999998</v>
      </c>
      <c r="S97" s="8">
        <v>0.52210000000000001</v>
      </c>
      <c r="T97">
        <v>0.50929999999999997</v>
      </c>
      <c r="U97">
        <v>0.56910000000000005</v>
      </c>
      <c r="V97" s="8">
        <v>0.60109999999999997</v>
      </c>
    </row>
    <row r="98" spans="2:22" x14ac:dyDescent="0.2">
      <c r="B98" s="1">
        <v>0.2266</v>
      </c>
      <c r="C98" s="1">
        <v>0.4481</v>
      </c>
      <c r="D98" s="8">
        <v>0.43419999999999997</v>
      </c>
      <c r="E98" s="1">
        <v>0.43859999999999999</v>
      </c>
      <c r="F98" s="1">
        <v>0.42120000000000002</v>
      </c>
      <c r="G98" s="8">
        <v>0.44829999999999998</v>
      </c>
      <c r="H98" s="1">
        <v>0.46250000000000002</v>
      </c>
      <c r="I98" s="1">
        <v>0.52200000000000002</v>
      </c>
      <c r="J98" s="8">
        <v>0.55130000000000001</v>
      </c>
      <c r="L98"/>
      <c r="M98" s="8"/>
      <c r="N98">
        <v>0.58819999999999995</v>
      </c>
      <c r="O98">
        <v>0.52900000000000003</v>
      </c>
      <c r="P98" s="8">
        <v>0.52100000000000002</v>
      </c>
      <c r="Q98">
        <v>0.51419999999999999</v>
      </c>
      <c r="R98">
        <v>0.51570000000000005</v>
      </c>
      <c r="S98" s="8">
        <v>0.56369999999999998</v>
      </c>
      <c r="T98">
        <v>0.53080000000000005</v>
      </c>
      <c r="U98">
        <v>0.60560000000000003</v>
      </c>
      <c r="V98" s="8">
        <v>0.65529999999999999</v>
      </c>
    </row>
    <row r="99" spans="2:22" x14ac:dyDescent="0.2">
      <c r="B99" s="1">
        <v>0.26219999999999999</v>
      </c>
      <c r="C99" s="1">
        <v>0.48349999999999999</v>
      </c>
      <c r="D99" s="8">
        <v>0.4627</v>
      </c>
      <c r="E99" s="1">
        <v>0.46560000000000001</v>
      </c>
      <c r="F99" s="1">
        <v>0.4456</v>
      </c>
      <c r="G99" s="8">
        <v>0.4713</v>
      </c>
      <c r="H99" s="1">
        <v>0.47399999999999998</v>
      </c>
      <c r="I99" s="1">
        <v>0.54200000000000004</v>
      </c>
      <c r="J99" s="8">
        <v>0.58220000000000005</v>
      </c>
      <c r="L99"/>
      <c r="M99" s="8"/>
      <c r="N99">
        <v>0.57050000000000001</v>
      </c>
      <c r="O99">
        <v>0.55479999999999996</v>
      </c>
      <c r="P99" s="8">
        <v>0.54800000000000004</v>
      </c>
      <c r="Q99">
        <v>0.5413</v>
      </c>
      <c r="R99">
        <v>0.54259999999999997</v>
      </c>
      <c r="S99" s="8">
        <v>0.59099999999999997</v>
      </c>
      <c r="T99">
        <v>0.54139999999999999</v>
      </c>
      <c r="U99">
        <v>0.62219999999999998</v>
      </c>
      <c r="V99" s="8">
        <v>0.6734</v>
      </c>
    </row>
    <row r="100" spans="2:22" x14ac:dyDescent="0.2">
      <c r="B100" s="1">
        <v>0.29389999999999999</v>
      </c>
      <c r="C100" s="1">
        <v>0.49959999999999999</v>
      </c>
      <c r="D100" s="8">
        <v>0.48220000000000002</v>
      </c>
      <c r="E100" s="1">
        <v>0.48470000000000002</v>
      </c>
      <c r="F100" s="1">
        <v>0.47020000000000001</v>
      </c>
      <c r="G100" s="8">
        <v>0.49130000000000001</v>
      </c>
      <c r="H100" s="1">
        <v>0.47549999999999998</v>
      </c>
      <c r="I100" s="1">
        <v>0.55910000000000004</v>
      </c>
      <c r="J100" s="8">
        <v>0.59589999999999999</v>
      </c>
      <c r="L100"/>
      <c r="M100" s="8"/>
      <c r="N100">
        <v>0.64659999999999995</v>
      </c>
      <c r="O100">
        <v>0.57479999999999998</v>
      </c>
      <c r="P100" s="8">
        <v>0.57250000000000001</v>
      </c>
      <c r="Q100">
        <v>0.56040000000000001</v>
      </c>
      <c r="R100">
        <v>0.5615</v>
      </c>
      <c r="S100" s="8">
        <v>0.60099999999999998</v>
      </c>
      <c r="T100">
        <v>0.54249999999999998</v>
      </c>
      <c r="U100">
        <v>0.62629999999999997</v>
      </c>
      <c r="V100" s="8">
        <v>0.67910000000000004</v>
      </c>
    </row>
    <row r="101" spans="2:22" x14ac:dyDescent="0.2">
      <c r="B101" s="1">
        <v>0.34189999999999998</v>
      </c>
      <c r="C101" s="1">
        <v>0.53959999999999997</v>
      </c>
      <c r="D101" s="8">
        <v>0.51939999999999997</v>
      </c>
      <c r="E101" s="1">
        <v>0.52139999999999997</v>
      </c>
      <c r="F101" s="1">
        <v>0.50590000000000002</v>
      </c>
      <c r="G101" s="8">
        <v>0.52569999999999995</v>
      </c>
      <c r="H101" s="1">
        <v>0.4884</v>
      </c>
      <c r="I101" s="1">
        <v>0.58799999999999997</v>
      </c>
      <c r="J101" s="8">
        <v>0.6129</v>
      </c>
      <c r="L101"/>
      <c r="M101" s="8"/>
      <c r="N101">
        <v>0.68110000000000004</v>
      </c>
      <c r="O101">
        <v>0.60419999999999996</v>
      </c>
      <c r="P101" s="8">
        <v>0.59919999999999995</v>
      </c>
      <c r="Q101">
        <v>0.58789999999999998</v>
      </c>
      <c r="R101">
        <v>0.59519999999999995</v>
      </c>
      <c r="S101" s="8">
        <v>0.62090000000000001</v>
      </c>
      <c r="T101">
        <v>0.54549999999999998</v>
      </c>
      <c r="U101">
        <v>0.63639999999999997</v>
      </c>
      <c r="V101" s="8">
        <v>0.68979999999999997</v>
      </c>
    </row>
    <row r="102" spans="2:22" x14ac:dyDescent="0.2">
      <c r="B102" s="1">
        <v>0.37080000000000002</v>
      </c>
      <c r="C102" s="1">
        <v>0.56020000000000003</v>
      </c>
      <c r="D102" s="8">
        <v>0.54069999999999996</v>
      </c>
      <c r="E102" s="1">
        <v>0.54059999999999997</v>
      </c>
      <c r="F102" s="1">
        <v>0.5252</v>
      </c>
      <c r="G102" s="8">
        <v>0.54169999999999996</v>
      </c>
      <c r="H102" s="1">
        <v>0.49180000000000001</v>
      </c>
      <c r="I102" s="1">
        <v>0.58799999999999997</v>
      </c>
      <c r="J102" s="8">
        <v>0.61929999999999996</v>
      </c>
      <c r="L102"/>
      <c r="M102" s="8"/>
      <c r="N102">
        <v>0.62670000000000003</v>
      </c>
      <c r="O102">
        <v>0.61799999999999999</v>
      </c>
      <c r="P102" s="8">
        <v>0.61180000000000001</v>
      </c>
      <c r="Q102">
        <v>0.6028</v>
      </c>
      <c r="R102">
        <v>0.60560000000000003</v>
      </c>
      <c r="S102" s="8">
        <v>0.63290000000000002</v>
      </c>
      <c r="T102">
        <v>0.53749999999999998</v>
      </c>
      <c r="U102">
        <v>0.64990000000000003</v>
      </c>
      <c r="V102" s="8">
        <v>0.68830000000000002</v>
      </c>
    </row>
    <row r="103" spans="2:22" x14ac:dyDescent="0.2">
      <c r="B103" s="1">
        <v>0.40839999999999999</v>
      </c>
      <c r="C103" s="1">
        <v>0.55930000000000002</v>
      </c>
      <c r="D103" s="8">
        <v>0.54300000000000004</v>
      </c>
      <c r="E103" s="1">
        <v>0.54349999999999998</v>
      </c>
      <c r="F103" s="1">
        <v>0.53100000000000003</v>
      </c>
      <c r="G103" s="8">
        <v>0.54869999999999997</v>
      </c>
      <c r="H103" s="1">
        <v>0.4859</v>
      </c>
      <c r="I103" s="1">
        <v>0.60060000000000002</v>
      </c>
      <c r="J103" s="8">
        <v>0.627</v>
      </c>
      <c r="L103"/>
      <c r="M103" s="8"/>
      <c r="N103">
        <v>0.71750000000000003</v>
      </c>
      <c r="O103">
        <v>0.62419999999999998</v>
      </c>
      <c r="P103" s="8">
        <v>0.62409999999999999</v>
      </c>
      <c r="Q103">
        <v>0.61480000000000001</v>
      </c>
      <c r="R103">
        <v>0.61990000000000001</v>
      </c>
      <c r="S103" s="8">
        <v>0.64190000000000003</v>
      </c>
      <c r="T103">
        <v>0.53920000000000001</v>
      </c>
      <c r="U103">
        <v>0.65169999999999995</v>
      </c>
      <c r="V103" s="8">
        <v>0.68740000000000001</v>
      </c>
    </row>
    <row r="104" spans="2:22" x14ac:dyDescent="0.2">
      <c r="B104" s="1">
        <v>0.4491</v>
      </c>
      <c r="C104" s="1">
        <v>0.57679999999999998</v>
      </c>
      <c r="D104" s="8">
        <v>0.55989999999999995</v>
      </c>
      <c r="E104" s="1">
        <v>0.56140000000000001</v>
      </c>
      <c r="F104" s="1">
        <v>0.55000000000000004</v>
      </c>
      <c r="G104" s="8">
        <v>0.56359999999999999</v>
      </c>
      <c r="H104" s="1">
        <v>0.4869</v>
      </c>
      <c r="I104" s="1">
        <v>0.59699999999999998</v>
      </c>
      <c r="J104" s="8">
        <v>0.62470000000000003</v>
      </c>
      <c r="L104"/>
      <c r="M104" s="8"/>
      <c r="N104">
        <v>0.71819999999999995</v>
      </c>
      <c r="O104">
        <v>0.62880000000000003</v>
      </c>
      <c r="P104" s="8">
        <v>0.63060000000000005</v>
      </c>
      <c r="Q104">
        <v>0.61450000000000005</v>
      </c>
      <c r="R104">
        <v>0.61950000000000005</v>
      </c>
      <c r="S104" s="8">
        <v>0.63460000000000005</v>
      </c>
      <c r="T104">
        <v>0.5171</v>
      </c>
      <c r="U104">
        <v>0.64559999999999995</v>
      </c>
      <c r="V104" s="8">
        <v>0.67600000000000005</v>
      </c>
    </row>
    <row r="105" spans="2:22" x14ac:dyDescent="0.2">
      <c r="B105" s="1">
        <v>0.49280000000000002</v>
      </c>
      <c r="C105" s="1">
        <v>0.58699999999999997</v>
      </c>
      <c r="D105" s="8">
        <v>0.57410000000000005</v>
      </c>
      <c r="E105" s="1">
        <v>0.57089999999999996</v>
      </c>
      <c r="F105" s="1">
        <v>0.5595</v>
      </c>
      <c r="G105" s="8">
        <v>0.57410000000000005</v>
      </c>
      <c r="H105" s="1">
        <v>0.48470000000000002</v>
      </c>
      <c r="I105" s="1">
        <v>0.60799999999999998</v>
      </c>
      <c r="J105" s="8">
        <v>0.64290000000000003</v>
      </c>
      <c r="L105"/>
      <c r="M105" s="8"/>
      <c r="N105">
        <v>0.70279999999999998</v>
      </c>
      <c r="O105">
        <v>0.64400000000000002</v>
      </c>
      <c r="P105" s="8">
        <v>0.63500000000000001</v>
      </c>
      <c r="Q105">
        <v>0.62109999999999999</v>
      </c>
      <c r="R105">
        <v>0.62770000000000004</v>
      </c>
      <c r="S105" s="8">
        <v>0.63700000000000001</v>
      </c>
      <c r="T105">
        <v>0.51119999999999999</v>
      </c>
      <c r="U105">
        <v>0.65</v>
      </c>
      <c r="V105" s="8">
        <v>0.67579999999999996</v>
      </c>
    </row>
    <row r="106" spans="2:22" x14ac:dyDescent="0.2">
      <c r="B106" s="1">
        <v>0.52710000000000001</v>
      </c>
      <c r="C106" s="1">
        <v>0.59279999999999999</v>
      </c>
      <c r="D106" s="8">
        <v>0.58309999999999995</v>
      </c>
      <c r="E106" s="1">
        <v>0.58220000000000005</v>
      </c>
      <c r="F106" s="1">
        <v>0.57489999999999997</v>
      </c>
      <c r="G106" s="8">
        <v>0.58930000000000005</v>
      </c>
      <c r="H106" s="1">
        <v>0.47839999999999999</v>
      </c>
      <c r="I106" s="1">
        <v>0.60529999999999995</v>
      </c>
      <c r="J106" s="8">
        <v>0.6331</v>
      </c>
      <c r="L106"/>
      <c r="M106" s="8"/>
      <c r="N106">
        <v>0.73099999999999998</v>
      </c>
      <c r="O106">
        <v>0.63660000000000005</v>
      </c>
      <c r="P106" s="8">
        <v>0.63590000000000002</v>
      </c>
      <c r="Q106">
        <v>0.61750000000000005</v>
      </c>
      <c r="R106">
        <v>0.63170000000000004</v>
      </c>
      <c r="S106" s="8">
        <v>0.6351</v>
      </c>
      <c r="T106">
        <v>0.50790000000000002</v>
      </c>
      <c r="U106">
        <v>0.6472</v>
      </c>
      <c r="V106" s="8">
        <v>0.66969999999999996</v>
      </c>
    </row>
    <row r="107" spans="2:22" x14ac:dyDescent="0.2">
      <c r="B107" s="1">
        <v>0.54810000000000003</v>
      </c>
      <c r="C107" s="1">
        <v>0.59589999999999999</v>
      </c>
      <c r="D107" s="8">
        <v>0.58250000000000002</v>
      </c>
      <c r="E107" s="1">
        <v>0.58069999999999999</v>
      </c>
      <c r="F107" s="1">
        <v>0.57650000000000001</v>
      </c>
      <c r="G107" s="8">
        <v>0.58630000000000004</v>
      </c>
      <c r="H107" s="1">
        <v>0.4647</v>
      </c>
      <c r="I107" s="1">
        <v>0.59809999999999997</v>
      </c>
      <c r="J107" s="8">
        <v>0.61880000000000002</v>
      </c>
      <c r="L107"/>
      <c r="M107" s="8"/>
      <c r="N107">
        <v>0.64390000000000003</v>
      </c>
      <c r="O107">
        <v>0.65029999999999999</v>
      </c>
      <c r="P107" s="8">
        <v>0.62549999999999994</v>
      </c>
      <c r="Q107">
        <v>0.63090000000000002</v>
      </c>
      <c r="R107">
        <v>0.62739999999999996</v>
      </c>
      <c r="S107" s="8">
        <v>0.63700000000000001</v>
      </c>
      <c r="T107">
        <v>0.48659999999999998</v>
      </c>
      <c r="U107">
        <v>0.64680000000000004</v>
      </c>
      <c r="V107" s="8">
        <v>0.65880000000000005</v>
      </c>
    </row>
    <row r="108" spans="2:22" x14ac:dyDescent="0.2">
      <c r="B108" s="1">
        <v>0.56510000000000005</v>
      </c>
      <c r="C108" s="1">
        <v>0.59930000000000005</v>
      </c>
      <c r="D108" s="8">
        <v>0.59130000000000005</v>
      </c>
      <c r="E108" s="1">
        <v>0.58160000000000001</v>
      </c>
      <c r="F108" s="1">
        <v>0.58009999999999995</v>
      </c>
      <c r="G108" s="8">
        <v>0.59289999999999998</v>
      </c>
      <c r="H108" s="1">
        <v>0.46389999999999998</v>
      </c>
      <c r="I108" s="1">
        <v>0.60229999999999995</v>
      </c>
      <c r="J108" s="8">
        <v>0.64180000000000004</v>
      </c>
      <c r="L108"/>
      <c r="M108" s="8"/>
      <c r="N108">
        <v>0.68940000000000001</v>
      </c>
      <c r="O108">
        <v>0.63819999999999999</v>
      </c>
      <c r="P108" s="8">
        <v>0.629</v>
      </c>
      <c r="Q108">
        <v>0.61819999999999997</v>
      </c>
      <c r="R108">
        <v>0.63329999999999997</v>
      </c>
      <c r="S108" s="8">
        <v>0.63049999999999995</v>
      </c>
      <c r="T108">
        <v>0.4899</v>
      </c>
      <c r="U108">
        <v>0.65239999999999998</v>
      </c>
      <c r="V108" s="8">
        <v>0.65759999999999996</v>
      </c>
    </row>
    <row r="109" spans="2:22" x14ac:dyDescent="0.2">
      <c r="B109" s="1">
        <v>0.57750000000000001</v>
      </c>
      <c r="C109" s="1">
        <v>0.59540000000000004</v>
      </c>
      <c r="D109" s="8">
        <v>0.58760000000000001</v>
      </c>
      <c r="E109" s="1">
        <v>0.58089999999999997</v>
      </c>
      <c r="F109" s="1">
        <v>0.58450000000000002</v>
      </c>
      <c r="G109" s="8">
        <v>0.59599999999999997</v>
      </c>
      <c r="H109" s="1">
        <v>0.45240000000000002</v>
      </c>
      <c r="I109" s="1">
        <v>0.60650000000000004</v>
      </c>
      <c r="J109" s="8">
        <v>0.63419999999999999</v>
      </c>
      <c r="L109"/>
      <c r="M109" s="8"/>
      <c r="N109">
        <v>0.72919999999999996</v>
      </c>
      <c r="O109">
        <v>0.62109999999999999</v>
      </c>
      <c r="P109" s="8">
        <v>0.62860000000000005</v>
      </c>
      <c r="Q109">
        <v>0.60829999999999995</v>
      </c>
      <c r="R109">
        <v>0.629</v>
      </c>
      <c r="S109" s="8">
        <v>0.62460000000000004</v>
      </c>
      <c r="T109">
        <v>0.48139999999999999</v>
      </c>
      <c r="U109">
        <v>0.64859999999999995</v>
      </c>
      <c r="V109" s="8">
        <v>0.65139999999999998</v>
      </c>
    </row>
    <row r="110" spans="2:22" x14ac:dyDescent="0.2">
      <c r="B110" s="1">
        <v>0.58919999999999995</v>
      </c>
      <c r="C110" s="1">
        <v>0.59119999999999995</v>
      </c>
      <c r="D110" s="8">
        <v>0.57830000000000004</v>
      </c>
      <c r="E110" s="1">
        <v>0.57330000000000003</v>
      </c>
      <c r="F110" s="1">
        <v>0.57499999999999996</v>
      </c>
      <c r="G110" s="8">
        <v>0.58099999999999996</v>
      </c>
      <c r="H110" s="1">
        <v>0.439</v>
      </c>
      <c r="I110" s="1">
        <v>0.59109999999999996</v>
      </c>
      <c r="J110" s="8">
        <v>0.62360000000000004</v>
      </c>
      <c r="L110"/>
      <c r="M110" s="8"/>
      <c r="N110">
        <v>0.69440000000000002</v>
      </c>
      <c r="O110">
        <v>0.61460000000000004</v>
      </c>
      <c r="P110" s="8">
        <v>0.61660000000000004</v>
      </c>
      <c r="Q110">
        <v>0.60509999999999997</v>
      </c>
      <c r="R110">
        <v>0.61870000000000003</v>
      </c>
      <c r="S110" s="8">
        <v>0.62050000000000005</v>
      </c>
      <c r="T110">
        <v>0.47070000000000001</v>
      </c>
      <c r="U110">
        <v>0.6482</v>
      </c>
      <c r="V110" s="8">
        <v>0.64659999999999995</v>
      </c>
    </row>
    <row r="111" spans="2:22" x14ac:dyDescent="0.2">
      <c r="B111" s="1">
        <v>0.60629999999999995</v>
      </c>
      <c r="C111" s="1">
        <v>0.59240000000000004</v>
      </c>
      <c r="D111" s="8">
        <v>0.57999999999999996</v>
      </c>
      <c r="E111" s="1">
        <v>0.57330000000000003</v>
      </c>
      <c r="F111" s="1">
        <v>0.57620000000000005</v>
      </c>
      <c r="G111" s="8">
        <v>0.58220000000000005</v>
      </c>
      <c r="H111" s="1">
        <v>0.43240000000000001</v>
      </c>
      <c r="I111" s="1">
        <v>0.58889999999999998</v>
      </c>
      <c r="J111" s="8">
        <v>0.63119999999999998</v>
      </c>
      <c r="L111"/>
      <c r="M111" s="8"/>
      <c r="N111">
        <v>0.66659999999999997</v>
      </c>
      <c r="O111">
        <v>0.621</v>
      </c>
      <c r="P111" s="8">
        <v>0.61419999999999997</v>
      </c>
      <c r="Q111">
        <v>0.5978</v>
      </c>
      <c r="R111">
        <v>0.61329999999999996</v>
      </c>
      <c r="S111" s="8">
        <v>0.61280000000000001</v>
      </c>
      <c r="T111">
        <v>0.4551</v>
      </c>
      <c r="U111">
        <v>0.64319999999999999</v>
      </c>
      <c r="V111" s="8">
        <v>0.63239999999999996</v>
      </c>
    </row>
    <row r="112" spans="2:22" x14ac:dyDescent="0.2">
      <c r="B112" s="1">
        <v>0.59609999999999996</v>
      </c>
      <c r="C112" s="1">
        <v>0.5776</v>
      </c>
      <c r="D112" s="8">
        <v>0.56999999999999995</v>
      </c>
      <c r="E112" s="1">
        <v>0.57040000000000002</v>
      </c>
      <c r="F112" s="1">
        <v>0.57330000000000003</v>
      </c>
      <c r="G112" s="8">
        <v>0.57909999999999995</v>
      </c>
      <c r="H112" s="1">
        <v>0.4264</v>
      </c>
      <c r="I112" s="1">
        <v>0.59</v>
      </c>
      <c r="J112" s="8">
        <v>0.63549999999999995</v>
      </c>
      <c r="L112"/>
      <c r="M112" s="8"/>
      <c r="N112">
        <v>0.69299999999999995</v>
      </c>
      <c r="O112">
        <v>0.60109999999999997</v>
      </c>
      <c r="P112" s="8">
        <v>0.61029999999999995</v>
      </c>
      <c r="Q112">
        <v>0.58919999999999995</v>
      </c>
      <c r="R112">
        <v>0.60940000000000005</v>
      </c>
      <c r="S112" s="8">
        <v>0.60460000000000003</v>
      </c>
      <c r="T112">
        <v>0.45660000000000001</v>
      </c>
      <c r="U112">
        <v>0.64929999999999999</v>
      </c>
      <c r="V112" s="8">
        <v>0.63229999999999997</v>
      </c>
    </row>
    <row r="113" spans="2:22" x14ac:dyDescent="0.2">
      <c r="B113" s="1">
        <v>0.60589999999999999</v>
      </c>
      <c r="C113" s="1">
        <v>0.5827</v>
      </c>
      <c r="D113" s="8">
        <v>0.57089999999999996</v>
      </c>
      <c r="E113" s="1">
        <v>0.56689999999999996</v>
      </c>
      <c r="F113" s="1">
        <v>0.56789999999999996</v>
      </c>
      <c r="G113" s="8">
        <v>0.57640000000000002</v>
      </c>
      <c r="H113" s="1">
        <v>0.41660000000000003</v>
      </c>
      <c r="I113" s="1">
        <v>0.58479999999999999</v>
      </c>
      <c r="J113" s="8">
        <v>0.65259999999999996</v>
      </c>
      <c r="L113"/>
      <c r="M113" s="8"/>
      <c r="N113">
        <v>0.67159999999999997</v>
      </c>
      <c r="O113">
        <v>0.61009999999999998</v>
      </c>
      <c r="P113" s="8">
        <v>0.60009999999999997</v>
      </c>
      <c r="Q113">
        <v>0.5857</v>
      </c>
      <c r="R113">
        <v>0.59850000000000003</v>
      </c>
      <c r="S113" s="8">
        <v>0.61150000000000004</v>
      </c>
      <c r="T113">
        <v>0.4395</v>
      </c>
      <c r="U113">
        <v>0.64980000000000004</v>
      </c>
      <c r="V113" s="8">
        <v>0.6341</v>
      </c>
    </row>
    <row r="114" spans="2:22" x14ac:dyDescent="0.2">
      <c r="B114" s="1">
        <v>0.60940000000000005</v>
      </c>
      <c r="C114" s="1">
        <v>0.58130000000000004</v>
      </c>
      <c r="D114" s="8">
        <v>0.56679999999999997</v>
      </c>
      <c r="E114" s="1">
        <v>0.56189999999999996</v>
      </c>
      <c r="F114" s="1">
        <v>0.56369999999999998</v>
      </c>
      <c r="G114" s="8">
        <v>0.56899999999999995</v>
      </c>
      <c r="H114" s="1">
        <v>0.40810000000000002</v>
      </c>
      <c r="I114" s="1">
        <v>0.57889999999999997</v>
      </c>
      <c r="J114" s="8">
        <v>0.62509999999999999</v>
      </c>
      <c r="L114"/>
      <c r="M114" s="8"/>
      <c r="N114">
        <v>0.66720000000000002</v>
      </c>
      <c r="O114">
        <v>0.60680000000000001</v>
      </c>
      <c r="P114" s="8">
        <v>0.5978</v>
      </c>
      <c r="Q114">
        <v>0.58289999999999997</v>
      </c>
      <c r="R114">
        <v>0.59909999999999997</v>
      </c>
      <c r="S114" s="8">
        <v>0.60350000000000004</v>
      </c>
      <c r="T114">
        <v>0.44040000000000001</v>
      </c>
      <c r="U114">
        <v>0.65069999999999995</v>
      </c>
      <c r="V114" s="8">
        <v>0.62380000000000002</v>
      </c>
    </row>
    <row r="115" spans="2:22" x14ac:dyDescent="0.2">
      <c r="B115" s="1">
        <v>0.59560000000000002</v>
      </c>
      <c r="C115" s="1">
        <v>0.57020000000000004</v>
      </c>
      <c r="D115" s="8">
        <v>0.56120000000000003</v>
      </c>
      <c r="E115" s="1">
        <v>0.55710000000000004</v>
      </c>
      <c r="F115" s="1">
        <v>0.55989999999999995</v>
      </c>
      <c r="G115" s="8">
        <v>0.56810000000000005</v>
      </c>
      <c r="H115" s="1">
        <v>0.40550000000000003</v>
      </c>
      <c r="I115" s="1">
        <v>0.59330000000000005</v>
      </c>
      <c r="J115" s="8">
        <v>0.65559999999999996</v>
      </c>
      <c r="L115"/>
      <c r="M115" s="8"/>
      <c r="N115">
        <v>0.58960000000000001</v>
      </c>
      <c r="O115">
        <v>0.59970000000000001</v>
      </c>
      <c r="P115" s="8">
        <v>0.58550000000000002</v>
      </c>
      <c r="Q115">
        <v>0.58109999999999995</v>
      </c>
      <c r="R115">
        <v>0.59619999999999995</v>
      </c>
      <c r="S115" s="8">
        <v>0.6008</v>
      </c>
      <c r="T115">
        <v>0.44309999999999999</v>
      </c>
      <c r="U115">
        <v>0.67069999999999996</v>
      </c>
      <c r="V115" s="8">
        <v>0.625</v>
      </c>
    </row>
    <row r="116" spans="2:22" x14ac:dyDescent="0.2">
      <c r="C116"/>
      <c r="D116" s="8"/>
      <c r="F116"/>
      <c r="G116" s="8"/>
      <c r="I116"/>
      <c r="J116" s="8"/>
      <c r="L116"/>
      <c r="M116" s="8"/>
      <c r="O116"/>
      <c r="P116" s="8"/>
      <c r="R116"/>
      <c r="S116" s="8"/>
      <c r="U116"/>
      <c r="V116" s="8"/>
    </row>
    <row r="117" spans="2:22" x14ac:dyDescent="0.2">
      <c r="C117"/>
      <c r="D117" s="8"/>
      <c r="F117"/>
      <c r="G117" s="8"/>
      <c r="I117"/>
      <c r="J117" s="8"/>
      <c r="L117"/>
      <c r="M117" s="8"/>
      <c r="O117"/>
      <c r="P117" s="8"/>
      <c r="R117"/>
      <c r="S117" s="8"/>
      <c r="U117"/>
      <c r="V117" s="8"/>
    </row>
    <row r="118" spans="2:22" x14ac:dyDescent="0.2">
      <c r="C118"/>
      <c r="D118" s="8"/>
      <c r="F118"/>
      <c r="G118" s="8"/>
      <c r="I118"/>
      <c r="J118" s="8"/>
      <c r="L118"/>
      <c r="M118" s="8"/>
      <c r="O118"/>
      <c r="P118" s="8"/>
      <c r="R118"/>
      <c r="S118" s="8"/>
      <c r="U118"/>
      <c r="V118" s="8"/>
    </row>
  </sheetData>
  <mergeCells count="24">
    <mergeCell ref="AM1:AO1"/>
    <mergeCell ref="AV1:AX1"/>
    <mergeCell ref="AJ1:AL1"/>
    <mergeCell ref="AP1:AR1"/>
    <mergeCell ref="AS1:AU1"/>
    <mergeCell ref="AA1:AC1"/>
    <mergeCell ref="AG1:AI1"/>
    <mergeCell ref="C1:E1"/>
    <mergeCell ref="L1:N1"/>
    <mergeCell ref="U1:W1"/>
    <mergeCell ref="AD1:AF1"/>
    <mergeCell ref="F1:H1"/>
    <mergeCell ref="I1:K1"/>
    <mergeCell ref="O1:Q1"/>
    <mergeCell ref="R1:T1"/>
    <mergeCell ref="X1:Z1"/>
    <mergeCell ref="BT1:BV1"/>
    <mergeCell ref="BH1:BJ1"/>
    <mergeCell ref="BK1:BM1"/>
    <mergeCell ref="AY1:BA1"/>
    <mergeCell ref="BB1:BD1"/>
    <mergeCell ref="BQ1:BS1"/>
    <mergeCell ref="BE1:BG1"/>
    <mergeCell ref="BN1:BP1"/>
  </mergeCells>
  <phoneticPr fontId="6" type="noConversion"/>
  <conditionalFormatting sqref="B80:J115">
    <cfRule type="expression" dxfId="13" priority="18">
      <formula>XCV54=MIN(INDEX($A$2:$Z$100,0,COLUMN(XCV54)-COLUMN($A$2)+1))</formula>
    </cfRule>
  </conditionalFormatting>
  <conditionalFormatting sqref="G2 P2 Y2 AH2 AQ2 AZ2 F4:F39 O4:O39 X4:X39 AG4:AG39 AP4:AP39 AY4:AY39">
    <cfRule type="expression" dxfId="12" priority="17">
      <formula>XDA2=MIN(INDEX($A$2:$Z$100,0,COLUMN(XDA2)-COLUMN($A$2)+1))</formula>
    </cfRule>
  </conditionalFormatting>
  <conditionalFormatting sqref="BI2 BR2 BH4:BH39 BQ4:BQ39">
    <cfRule type="expression" dxfId="11" priority="10">
      <formula>E2=MIN(INDEX($A$2:$Z$100,0,COLUMN(E2)-COLUMN($A$2)+1))</formula>
    </cfRule>
  </conditionalFormatting>
  <pageMargins left="0.7" right="0.7" top="0.75" bottom="0.75" header="0.3" footer="0.3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71EAE-6819-094D-8138-E6450C2925E4}">
  <dimension ref="D1:EG181"/>
  <sheetViews>
    <sheetView zoomScale="65" zoomScaleNormal="114" workbookViewId="0">
      <selection activeCell="I6" sqref="I6"/>
    </sheetView>
  </sheetViews>
  <sheetFormatPr baseColWidth="10" defaultRowHeight="15" x14ac:dyDescent="0.2"/>
  <cols>
    <col min="6" max="6" width="16" customWidth="1"/>
    <col min="7" max="7" width="12" customWidth="1"/>
  </cols>
  <sheetData>
    <row r="1" spans="4:137" ht="16" thickBot="1" x14ac:dyDescent="0.25">
      <c r="E1" s="4" t="s">
        <v>134</v>
      </c>
      <c r="J1" s="4" t="s">
        <v>135</v>
      </c>
      <c r="O1" s="4" t="s">
        <v>136</v>
      </c>
      <c r="T1" s="4" t="s">
        <v>137</v>
      </c>
      <c r="Y1" s="4" t="s">
        <v>138</v>
      </c>
      <c r="AD1" s="4" t="s">
        <v>139</v>
      </c>
      <c r="AI1" s="4" t="s">
        <v>140</v>
      </c>
      <c r="AN1" s="12" t="s">
        <v>141</v>
      </c>
      <c r="AS1" s="4" t="s">
        <v>142</v>
      </c>
      <c r="AT1" s="4" t="s">
        <v>143</v>
      </c>
      <c r="AU1" s="4" t="s">
        <v>144</v>
      </c>
      <c r="AV1" s="4" t="s">
        <v>145</v>
      </c>
      <c r="AW1" s="4" t="s">
        <v>146</v>
      </c>
      <c r="AX1" s="47"/>
      <c r="BB1" s="4" t="s">
        <v>147</v>
      </c>
      <c r="BG1" s="4" t="s">
        <v>148</v>
      </c>
      <c r="BL1" s="4" t="s">
        <v>149</v>
      </c>
      <c r="BQ1" s="4" t="s">
        <v>150</v>
      </c>
      <c r="BV1" s="4" t="s">
        <v>151</v>
      </c>
      <c r="CA1" s="4" t="s">
        <v>152</v>
      </c>
      <c r="CF1" s="12" t="s">
        <v>153</v>
      </c>
      <c r="CK1" s="4" t="s">
        <v>154</v>
      </c>
      <c r="CL1" s="12" t="s">
        <v>155</v>
      </c>
      <c r="CM1" s="12" t="s">
        <v>156</v>
      </c>
      <c r="CN1" s="12" t="s">
        <v>157</v>
      </c>
      <c r="CO1" s="4" t="s">
        <v>158</v>
      </c>
      <c r="CT1" s="4" t="s">
        <v>159</v>
      </c>
      <c r="CY1" s="4" t="s">
        <v>160</v>
      </c>
      <c r="DD1" s="4" t="s">
        <v>161</v>
      </c>
      <c r="DI1" s="4" t="s">
        <v>162</v>
      </c>
      <c r="DN1" s="4" t="s">
        <v>163</v>
      </c>
      <c r="DS1" s="4" t="s">
        <v>164</v>
      </c>
      <c r="DT1" s="6" t="s">
        <v>256</v>
      </c>
      <c r="DX1" s="12" t="s">
        <v>165</v>
      </c>
      <c r="EC1" s="4" t="s">
        <v>166</v>
      </c>
    </row>
    <row r="2" spans="4:137" ht="16" thickBot="1" x14ac:dyDescent="0.25">
      <c r="AV2" s="17" t="s">
        <v>263</v>
      </c>
      <c r="AX2" s="47"/>
    </row>
    <row r="3" spans="4:137" x14ac:dyDescent="0.2">
      <c r="AV3" s="15"/>
      <c r="AX3" s="47"/>
      <c r="CA3" s="7"/>
      <c r="CB3" s="7"/>
      <c r="CC3" s="7"/>
      <c r="CD3" s="7"/>
      <c r="CN3" s="14"/>
    </row>
    <row r="4" spans="4:137" x14ac:dyDescent="0.2">
      <c r="E4" s="169" t="s">
        <v>221</v>
      </c>
      <c r="F4" s="160"/>
      <c r="G4" s="160"/>
      <c r="H4" s="160"/>
      <c r="I4" s="160"/>
      <c r="J4" s="161" t="s">
        <v>223</v>
      </c>
      <c r="K4" s="162"/>
      <c r="L4" s="162"/>
      <c r="M4" s="162"/>
      <c r="N4" s="162"/>
      <c r="O4" s="159" t="s">
        <v>224</v>
      </c>
      <c r="P4" s="160"/>
      <c r="Q4" s="160"/>
      <c r="R4" s="160"/>
      <c r="S4" s="160"/>
      <c r="T4" s="161" t="s">
        <v>225</v>
      </c>
      <c r="U4" s="162"/>
      <c r="V4" s="162"/>
      <c r="W4" s="162"/>
      <c r="X4" s="162"/>
      <c r="Y4" s="159" t="s">
        <v>226</v>
      </c>
      <c r="Z4" s="160"/>
      <c r="AA4" s="160"/>
      <c r="AB4" s="160"/>
      <c r="AC4" s="160"/>
      <c r="AD4" s="161" t="s">
        <v>227</v>
      </c>
      <c r="AE4" s="162"/>
      <c r="AF4" s="162"/>
      <c r="AG4" s="162"/>
      <c r="AH4" s="162"/>
      <c r="AI4" s="170" t="s">
        <v>228</v>
      </c>
      <c r="AJ4" s="171"/>
      <c r="AK4" s="171"/>
      <c r="AL4" s="171"/>
      <c r="AM4" s="171"/>
      <c r="AN4" s="159" t="s">
        <v>262</v>
      </c>
      <c r="AO4" s="160"/>
      <c r="AP4" s="160"/>
      <c r="AQ4" s="160"/>
      <c r="AR4" s="160"/>
      <c r="AS4" s="161" t="s">
        <v>261</v>
      </c>
      <c r="AT4" s="162"/>
      <c r="AU4" s="162"/>
      <c r="AV4" s="163"/>
      <c r="AW4" s="62"/>
      <c r="AX4" s="150" t="s">
        <v>235</v>
      </c>
      <c r="AY4" s="151"/>
      <c r="AZ4" s="151"/>
      <c r="BA4" s="151"/>
      <c r="BB4" s="156" t="s">
        <v>281</v>
      </c>
      <c r="BC4" s="156"/>
      <c r="BD4" s="156"/>
      <c r="BE4" s="156"/>
      <c r="BF4" s="156"/>
      <c r="BG4" s="152" t="s">
        <v>249</v>
      </c>
      <c r="BH4" s="153"/>
      <c r="BI4" s="153"/>
      <c r="BJ4" s="153"/>
      <c r="BK4" s="153"/>
      <c r="BL4" s="146" t="s">
        <v>251</v>
      </c>
      <c r="BM4" s="147"/>
      <c r="BN4" s="147"/>
      <c r="BO4" s="147"/>
      <c r="BP4" s="147"/>
      <c r="BQ4" s="152" t="s">
        <v>293</v>
      </c>
      <c r="BR4" s="153"/>
      <c r="BS4" s="153"/>
      <c r="BT4" s="153"/>
      <c r="BU4" s="153"/>
      <c r="BV4" s="146" t="s">
        <v>294</v>
      </c>
      <c r="BW4" s="147"/>
      <c r="BX4" s="147"/>
      <c r="BY4" s="147"/>
      <c r="BZ4" s="147"/>
      <c r="CA4" s="158" t="s">
        <v>295</v>
      </c>
      <c r="CB4" s="158"/>
      <c r="CC4" s="158"/>
      <c r="CD4" s="158"/>
      <c r="CE4" s="158"/>
      <c r="CF4" s="152" t="s">
        <v>296</v>
      </c>
      <c r="CG4" s="153"/>
      <c r="CH4" s="153"/>
      <c r="CI4" s="153"/>
      <c r="CJ4" s="153"/>
      <c r="CK4" s="154" t="s">
        <v>297</v>
      </c>
      <c r="CL4" s="154"/>
      <c r="CM4" s="154"/>
      <c r="CN4" s="154"/>
      <c r="CO4" s="146" t="s">
        <v>244</v>
      </c>
      <c r="CP4" s="147"/>
      <c r="CQ4" s="147"/>
      <c r="CR4" s="147"/>
      <c r="CS4" s="147"/>
      <c r="CT4" s="152" t="s">
        <v>247</v>
      </c>
      <c r="CU4" s="153"/>
      <c r="CV4" s="153"/>
      <c r="CW4" s="153"/>
      <c r="CX4" s="153"/>
      <c r="CY4" s="154" t="s">
        <v>298</v>
      </c>
      <c r="CZ4" s="155"/>
      <c r="DA4" s="155"/>
      <c r="DB4" s="155"/>
      <c r="DC4" s="155"/>
      <c r="DD4" s="146" t="s">
        <v>252</v>
      </c>
      <c r="DE4" s="147"/>
      <c r="DF4" s="147"/>
      <c r="DG4" s="147"/>
      <c r="DH4" s="147"/>
      <c r="DI4" s="156" t="s">
        <v>299</v>
      </c>
      <c r="DJ4" s="157"/>
      <c r="DK4" s="157"/>
      <c r="DL4" s="157"/>
      <c r="DM4" s="157"/>
      <c r="DN4" s="154" t="s">
        <v>300</v>
      </c>
      <c r="DO4" s="155"/>
      <c r="DP4" s="155"/>
      <c r="DQ4" s="155"/>
      <c r="DR4" s="155"/>
      <c r="DS4" s="158" t="s">
        <v>301</v>
      </c>
      <c r="DT4" s="158"/>
      <c r="DU4" s="158"/>
      <c r="DV4" s="158"/>
      <c r="DW4" s="158"/>
      <c r="DX4" s="146" t="s">
        <v>302</v>
      </c>
      <c r="DY4" s="147"/>
      <c r="DZ4" s="147"/>
      <c r="EA4" s="147"/>
      <c r="EB4" s="147"/>
      <c r="EC4" s="148" t="s">
        <v>260</v>
      </c>
      <c r="ED4" s="149"/>
      <c r="EE4" s="149"/>
      <c r="EF4" s="149"/>
      <c r="EG4" s="149"/>
    </row>
    <row r="5" spans="4:137" x14ac:dyDescent="0.2">
      <c r="D5" s="6"/>
      <c r="E5" s="32" t="s">
        <v>31</v>
      </c>
      <c r="F5" s="32" t="s">
        <v>258</v>
      </c>
      <c r="G5" s="32" t="s">
        <v>259</v>
      </c>
      <c r="H5" s="32" t="s">
        <v>219</v>
      </c>
      <c r="I5" s="32" t="s">
        <v>265</v>
      </c>
      <c r="J5" s="54" t="s">
        <v>31</v>
      </c>
      <c r="K5" s="54" t="s">
        <v>258</v>
      </c>
      <c r="L5" s="54" t="s">
        <v>264</v>
      </c>
      <c r="M5" s="54" t="s">
        <v>257</v>
      </c>
      <c r="N5" s="54" t="s">
        <v>265</v>
      </c>
      <c r="O5" s="60" t="s">
        <v>31</v>
      </c>
      <c r="P5" s="60" t="s">
        <v>258</v>
      </c>
      <c r="Q5" s="60" t="s">
        <v>264</v>
      </c>
      <c r="R5" s="60" t="s">
        <v>266</v>
      </c>
      <c r="S5" s="60" t="s">
        <v>265</v>
      </c>
      <c r="T5" s="61" t="s">
        <v>31</v>
      </c>
      <c r="U5" s="61" t="s">
        <v>258</v>
      </c>
      <c r="V5" s="61" t="s">
        <v>264</v>
      </c>
      <c r="W5" s="61" t="s">
        <v>266</v>
      </c>
      <c r="X5" s="61" t="s">
        <v>265</v>
      </c>
      <c r="Y5" s="60" t="s">
        <v>31</v>
      </c>
      <c r="Z5" s="60" t="s">
        <v>258</v>
      </c>
      <c r="AA5" s="60" t="s">
        <v>264</v>
      </c>
      <c r="AB5" s="60" t="s">
        <v>266</v>
      </c>
      <c r="AC5" s="60" t="s">
        <v>265</v>
      </c>
      <c r="AD5" s="61" t="s">
        <v>31</v>
      </c>
      <c r="AE5" s="61" t="s">
        <v>258</v>
      </c>
      <c r="AF5" s="61" t="s">
        <v>264</v>
      </c>
      <c r="AG5" s="61" t="s">
        <v>266</v>
      </c>
      <c r="AH5" s="61" t="s">
        <v>265</v>
      </c>
      <c r="AI5" s="13" t="s">
        <v>31</v>
      </c>
      <c r="AJ5" s="13" t="s">
        <v>258</v>
      </c>
      <c r="AK5" s="13" t="s">
        <v>264</v>
      </c>
      <c r="AL5" s="13" t="s">
        <v>266</v>
      </c>
      <c r="AM5" s="13" t="s">
        <v>265</v>
      </c>
      <c r="AN5" s="60" t="s">
        <v>31</v>
      </c>
      <c r="AO5" s="60" t="s">
        <v>258</v>
      </c>
      <c r="AP5" s="60" t="s">
        <v>219</v>
      </c>
      <c r="AQ5" s="60" t="s">
        <v>266</v>
      </c>
      <c r="AR5" s="60" t="s">
        <v>265</v>
      </c>
      <c r="AS5" s="61" t="s">
        <v>31</v>
      </c>
      <c r="AT5" s="61" t="s">
        <v>258</v>
      </c>
      <c r="AU5" s="61" t="s">
        <v>264</v>
      </c>
      <c r="AV5" s="61" t="s">
        <v>266</v>
      </c>
      <c r="AW5" s="61" t="s">
        <v>265</v>
      </c>
      <c r="AX5" s="50" t="s">
        <v>31</v>
      </c>
      <c r="AY5" s="61" t="s">
        <v>303</v>
      </c>
      <c r="AZ5" s="6" t="s">
        <v>257</v>
      </c>
      <c r="BA5" s="61" t="s">
        <v>265</v>
      </c>
      <c r="BB5" s="63" t="s">
        <v>292</v>
      </c>
      <c r="BC5" s="63" t="s">
        <v>258</v>
      </c>
      <c r="BD5" s="63" t="s">
        <v>257</v>
      </c>
      <c r="BE5" s="64"/>
      <c r="BF5" s="64"/>
      <c r="BG5" s="28"/>
      <c r="BH5" s="30" t="s">
        <v>258</v>
      </c>
      <c r="BI5" s="30" t="s">
        <v>257</v>
      </c>
      <c r="BJ5" s="28"/>
      <c r="BK5" s="28"/>
      <c r="BL5" s="34"/>
      <c r="BM5" s="69" t="s">
        <v>258</v>
      </c>
      <c r="BN5" s="69" t="s">
        <v>257</v>
      </c>
      <c r="BO5" s="34"/>
      <c r="BP5" s="34"/>
      <c r="BQ5" s="28"/>
      <c r="BR5" s="30" t="s">
        <v>258</v>
      </c>
      <c r="BS5" s="30" t="s">
        <v>257</v>
      </c>
      <c r="BT5" s="28"/>
      <c r="BU5" s="28"/>
      <c r="BV5" s="34"/>
      <c r="BW5" s="69" t="s">
        <v>258</v>
      </c>
      <c r="BX5" s="69" t="s">
        <v>257</v>
      </c>
      <c r="BY5" s="34"/>
      <c r="BZ5" s="34"/>
      <c r="CA5" s="7"/>
      <c r="CB5" s="7" t="s">
        <v>258</v>
      </c>
      <c r="CC5" s="7" t="s">
        <v>257</v>
      </c>
      <c r="CD5" s="7"/>
      <c r="CF5" s="28"/>
      <c r="CG5" s="28"/>
      <c r="CH5" s="28"/>
      <c r="CI5" s="28"/>
      <c r="CJ5" s="28"/>
      <c r="CK5" s="56"/>
      <c r="CL5" s="56"/>
      <c r="CM5" s="56"/>
      <c r="CN5" s="70"/>
      <c r="CO5" s="34"/>
      <c r="CP5" s="69" t="s">
        <v>258</v>
      </c>
      <c r="CQ5" s="69" t="s">
        <v>257</v>
      </c>
      <c r="CR5" s="34"/>
      <c r="CS5" s="34"/>
      <c r="CT5" s="28"/>
      <c r="CU5" s="30" t="s">
        <v>258</v>
      </c>
      <c r="CV5" s="30" t="s">
        <v>264</v>
      </c>
      <c r="CW5" s="28"/>
      <c r="CX5" s="28"/>
      <c r="CY5" s="56"/>
      <c r="CZ5" s="72" t="s">
        <v>258</v>
      </c>
      <c r="DA5" s="72" t="s">
        <v>257</v>
      </c>
      <c r="DB5" s="56"/>
      <c r="DC5" s="56"/>
      <c r="DD5" s="34"/>
      <c r="DE5" s="69" t="s">
        <v>258</v>
      </c>
      <c r="DF5" s="69" t="s">
        <v>257</v>
      </c>
      <c r="DG5" s="34"/>
      <c r="DH5" s="34"/>
      <c r="DI5" s="64"/>
      <c r="DJ5" s="63" t="s">
        <v>258</v>
      </c>
      <c r="DK5" s="63" t="s">
        <v>257</v>
      </c>
      <c r="DL5" s="64"/>
      <c r="DM5" s="64"/>
      <c r="DN5" s="56"/>
      <c r="DO5" s="72" t="s">
        <v>258</v>
      </c>
      <c r="DP5" s="72" t="s">
        <v>257</v>
      </c>
      <c r="DQ5" s="56"/>
      <c r="DR5" s="56"/>
      <c r="DX5" s="34"/>
      <c r="DY5" s="34"/>
      <c r="DZ5" s="34"/>
      <c r="EA5" s="34"/>
      <c r="EB5" s="34"/>
      <c r="EC5" s="73"/>
      <c r="ED5" s="73"/>
      <c r="EE5" s="73"/>
      <c r="EF5" s="73"/>
      <c r="EG5" s="73"/>
    </row>
    <row r="6" spans="4:137" x14ac:dyDescent="0.2">
      <c r="E6" s="29">
        <v>1644</v>
      </c>
      <c r="F6" s="28">
        <f>E6-AN6</f>
        <v>-187</v>
      </c>
      <c r="G6" s="27">
        <v>0.1104</v>
      </c>
      <c r="H6" s="28">
        <v>5.1999999999999963E-3</v>
      </c>
      <c r="I6" s="28">
        <f>F6/H6</f>
        <v>-35961.53846153849</v>
      </c>
      <c r="J6" s="55">
        <v>1804</v>
      </c>
      <c r="K6" s="56">
        <f>J6-AN6</f>
        <v>-27</v>
      </c>
      <c r="L6" s="57">
        <v>0.1072</v>
      </c>
      <c r="M6" s="56"/>
      <c r="N6" s="56">
        <f>K6-M6</f>
        <v>-27</v>
      </c>
      <c r="O6" s="29">
        <v>1807</v>
      </c>
      <c r="P6" s="28">
        <f>O6-AN6</f>
        <v>-24</v>
      </c>
      <c r="Q6" s="27">
        <v>0.1067</v>
      </c>
      <c r="R6" s="28">
        <v>1.3999999999999985E-3</v>
      </c>
      <c r="S6" s="28">
        <f>P6/R6</f>
        <v>-17142.857142857163</v>
      </c>
      <c r="T6" s="55">
        <v>1813</v>
      </c>
      <c r="U6" s="56">
        <f>T6--AN6</f>
        <v>3644</v>
      </c>
      <c r="V6" s="57">
        <v>0.1051</v>
      </c>
      <c r="W6" s="56">
        <v>1.0000000000000286E-4</v>
      </c>
      <c r="X6" s="56">
        <f>U6/W6</f>
        <v>36439999.999998957</v>
      </c>
      <c r="Y6" s="29">
        <v>2017</v>
      </c>
      <c r="Z6" s="28">
        <f>Y6-AN6</f>
        <v>186</v>
      </c>
      <c r="AA6" s="27">
        <v>0.10979999999999999</v>
      </c>
      <c r="AB6" s="28">
        <v>3.9999999999999758E-4</v>
      </c>
      <c r="AC6" s="28">
        <f>Z6/AB6</f>
        <v>465000.00000000279</v>
      </c>
      <c r="AD6" s="55">
        <v>1843</v>
      </c>
      <c r="AE6" s="56">
        <f>AD6-AN6</f>
        <v>12</v>
      </c>
      <c r="AF6" s="57">
        <v>0.10920000000000001</v>
      </c>
      <c r="AG6" s="56">
        <v>9.000000000000119E-4</v>
      </c>
      <c r="AH6" s="56">
        <f>AE6/AG6</f>
        <v>13333.333333333157</v>
      </c>
      <c r="AI6" s="7">
        <v>2198</v>
      </c>
      <c r="AJ6" s="7">
        <f>AI6-AN6</f>
        <v>367</v>
      </c>
      <c r="AK6" s="7">
        <v>0.10390000000000001</v>
      </c>
      <c r="AL6" s="7">
        <v>-1.1999999999999927E-3</v>
      </c>
      <c r="AM6" s="7" t="e">
        <v>#NUM!</v>
      </c>
      <c r="AN6" s="32">
        <v>1831</v>
      </c>
      <c r="AO6" s="32"/>
      <c r="AP6" s="27">
        <v>0.10390000000000001</v>
      </c>
      <c r="AQ6" s="28">
        <v>-1.1999999999999927E-3</v>
      </c>
      <c r="AR6" s="28">
        <f>AN6/AQ6</f>
        <v>-1525833.3333333426</v>
      </c>
      <c r="AS6" s="55">
        <v>2695</v>
      </c>
      <c r="AT6" s="56">
        <f>AS6-AP6</f>
        <v>2694.8960999999999</v>
      </c>
      <c r="AU6" s="57">
        <v>0.1085</v>
      </c>
      <c r="AV6" s="56">
        <v>6.999999999999923E-4</v>
      </c>
      <c r="AW6" s="55">
        <f>AT6/AV6</f>
        <v>3849851.5714286137</v>
      </c>
      <c r="AX6" s="1">
        <v>1795</v>
      </c>
      <c r="AY6">
        <f>AX6-CF6</f>
        <v>120</v>
      </c>
      <c r="AZ6" s="8">
        <v>0.1028</v>
      </c>
      <c r="BA6">
        <f>AY6/AZ6</f>
        <v>1167.3151750972763</v>
      </c>
      <c r="BB6" s="65">
        <v>1723</v>
      </c>
      <c r="BC6" s="64">
        <f>BB6-CF6</f>
        <v>48</v>
      </c>
      <c r="BD6" s="66">
        <v>0.1108</v>
      </c>
      <c r="BE6" s="64"/>
      <c r="BF6" s="64"/>
      <c r="BG6" s="29">
        <v>1779</v>
      </c>
      <c r="BH6" s="28">
        <f>BG6-CF6</f>
        <v>104</v>
      </c>
      <c r="BI6" s="27">
        <v>0.1031</v>
      </c>
      <c r="BJ6" s="28"/>
      <c r="BK6" s="28"/>
      <c r="BL6" s="35">
        <v>1883</v>
      </c>
      <c r="BM6" s="34">
        <f>BL6-CF6</f>
        <v>208</v>
      </c>
      <c r="BN6" s="33">
        <v>0.10390000000000001</v>
      </c>
      <c r="BO6" s="34"/>
      <c r="BP6" s="34"/>
      <c r="BQ6" s="29">
        <v>2115</v>
      </c>
      <c r="BR6" s="28">
        <f>BQ6-CF6</f>
        <v>440</v>
      </c>
      <c r="BS6" s="27">
        <v>0.105</v>
      </c>
      <c r="BT6" s="28"/>
      <c r="BU6" s="28"/>
      <c r="BV6" s="35">
        <v>2021</v>
      </c>
      <c r="BW6" s="34">
        <f>BV6-CF6</f>
        <v>346</v>
      </c>
      <c r="BX6" s="33">
        <v>0.10730000000000001</v>
      </c>
      <c r="BY6" s="34"/>
      <c r="BZ6" s="34"/>
      <c r="CA6" s="7">
        <v>2354</v>
      </c>
      <c r="CB6" s="7">
        <f>CA6-CF6</f>
        <v>679</v>
      </c>
      <c r="CC6" s="7"/>
      <c r="CD6" s="7"/>
      <c r="CF6" s="32">
        <v>1675</v>
      </c>
      <c r="CG6" s="27">
        <v>0.108</v>
      </c>
      <c r="CH6" s="28"/>
      <c r="CI6" s="28"/>
      <c r="CJ6" s="28"/>
      <c r="CK6" s="55">
        <v>2190</v>
      </c>
      <c r="CL6" s="57">
        <v>0.1043</v>
      </c>
      <c r="CM6" s="56"/>
      <c r="CN6" s="71"/>
      <c r="CO6" s="35">
        <v>1822</v>
      </c>
      <c r="CP6" s="34">
        <f>CO6-DX6</f>
        <v>176</v>
      </c>
      <c r="CQ6" s="33">
        <v>0.1047</v>
      </c>
      <c r="CR6" s="34"/>
      <c r="CS6" s="34"/>
      <c r="CT6" s="29">
        <v>1668</v>
      </c>
      <c r="CU6" s="28">
        <f>CT6-DX6</f>
        <v>22</v>
      </c>
      <c r="CV6" s="27">
        <v>0.1038</v>
      </c>
      <c r="CW6" s="28"/>
      <c r="CX6" s="28"/>
      <c r="CY6" s="55">
        <v>1600</v>
      </c>
      <c r="CZ6" s="56">
        <f>CY6-DX6</f>
        <v>-46</v>
      </c>
      <c r="DA6" s="56"/>
      <c r="DB6" s="56"/>
      <c r="DC6" s="56"/>
      <c r="DD6" s="35">
        <v>1793</v>
      </c>
      <c r="DE6" s="34">
        <f>DD6-DX6</f>
        <v>147</v>
      </c>
      <c r="DF6" s="34"/>
      <c r="DG6" s="34"/>
      <c r="DH6" s="34"/>
      <c r="DI6" s="65">
        <v>2049</v>
      </c>
      <c r="DJ6" s="64">
        <f>DI6-DX6</f>
        <v>403</v>
      </c>
      <c r="DK6" s="64"/>
      <c r="DL6" s="64"/>
      <c r="DM6" s="64"/>
      <c r="DN6" s="55">
        <v>1980</v>
      </c>
      <c r="DO6" s="56">
        <f>DN6-DX6</f>
        <v>334</v>
      </c>
      <c r="DP6" s="56"/>
      <c r="DQ6" s="56"/>
      <c r="DR6" s="56"/>
      <c r="DS6" s="1">
        <v>2064</v>
      </c>
      <c r="DT6">
        <f>DS6-DX6</f>
        <v>418</v>
      </c>
      <c r="DX6" s="37">
        <v>1646</v>
      </c>
      <c r="DY6" s="34"/>
      <c r="DZ6" s="34"/>
      <c r="EA6" s="34"/>
      <c r="EB6" s="34"/>
      <c r="EC6" s="74">
        <v>2555</v>
      </c>
      <c r="ED6" s="73"/>
      <c r="EE6" s="73"/>
      <c r="EF6" s="73"/>
      <c r="EG6" s="73"/>
    </row>
    <row r="7" spans="4:137" x14ac:dyDescent="0.2">
      <c r="E7" s="29">
        <v>1591</v>
      </c>
      <c r="F7" s="28">
        <f t="shared" ref="F7:F40" si="0">E7-AN7</f>
        <v>-204</v>
      </c>
      <c r="G7" s="27">
        <v>0.10539999999999999</v>
      </c>
      <c r="H7" s="28">
        <v>1.9999999999999185E-4</v>
      </c>
      <c r="I7" s="28">
        <f t="shared" ref="I7:I40" si="1">F7/H7</f>
        <v>-1020000.0000000416</v>
      </c>
      <c r="J7" s="55">
        <v>1785</v>
      </c>
      <c r="K7" s="56">
        <f t="shared" ref="K7:K39" si="2">J7-AN7</f>
        <v>-10</v>
      </c>
      <c r="L7" s="57">
        <v>0.1056</v>
      </c>
      <c r="M7" s="56">
        <v>0</v>
      </c>
      <c r="N7" s="56">
        <f t="shared" ref="N7:N40" si="3">K7-M7</f>
        <v>-10</v>
      </c>
      <c r="O7" s="29">
        <v>1791</v>
      </c>
      <c r="P7" s="28">
        <f t="shared" ref="P7:P40" si="4">O7-AN7</f>
        <v>-4</v>
      </c>
      <c r="Q7" s="27">
        <v>0.1053</v>
      </c>
      <c r="R7" s="28">
        <v>0</v>
      </c>
      <c r="S7" s="28" t="e">
        <f t="shared" ref="S7:S40" si="5">P7/R7</f>
        <v>#DIV/0!</v>
      </c>
      <c r="T7" s="55">
        <v>1834</v>
      </c>
      <c r="U7" s="56">
        <f t="shared" ref="U7:U40" si="6">T7--AN7</f>
        <v>3629</v>
      </c>
      <c r="V7" s="57">
        <v>0.105</v>
      </c>
      <c r="W7" s="56">
        <v>0</v>
      </c>
      <c r="X7" s="56" t="e">
        <f t="shared" ref="X7:X40" si="7">U7/W7</f>
        <v>#DIV/0!</v>
      </c>
      <c r="Y7" s="29">
        <v>1968</v>
      </c>
      <c r="Z7" s="28">
        <f t="shared" ref="Z7:Z40" si="8">Y7-AN7</f>
        <v>173</v>
      </c>
      <c r="AA7" s="27">
        <v>0.1094</v>
      </c>
      <c r="AB7" s="28">
        <v>0</v>
      </c>
      <c r="AC7" s="28" t="e">
        <f t="shared" ref="AC7:AC40" si="9">Z7/AB7</f>
        <v>#DIV/0!</v>
      </c>
      <c r="AD7" s="55">
        <v>1809</v>
      </c>
      <c r="AE7" s="56">
        <f t="shared" ref="AE7:AE40" si="10">AD7-AN7</f>
        <v>14</v>
      </c>
      <c r="AF7" s="57">
        <v>0.10829999999999999</v>
      </c>
      <c r="AG7" s="56">
        <v>0</v>
      </c>
      <c r="AH7" s="56" t="e">
        <f t="shared" ref="AH7:AH40" si="11">AE7/AG7</f>
        <v>#DIV/0!</v>
      </c>
      <c r="AI7" s="7">
        <v>2154</v>
      </c>
      <c r="AJ7" s="7">
        <f t="shared" ref="AJ7:AJ40" si="12">AI7-AN7</f>
        <v>359</v>
      </c>
      <c r="AK7" s="7">
        <v>0.1051</v>
      </c>
      <c r="AL7" s="7">
        <v>0</v>
      </c>
      <c r="AM7" s="7" t="e">
        <v>#NUM!</v>
      </c>
      <c r="AN7" s="32">
        <v>1795</v>
      </c>
      <c r="AO7" s="28"/>
      <c r="AP7" s="27">
        <v>0.1051</v>
      </c>
      <c r="AQ7" s="28">
        <v>0</v>
      </c>
      <c r="AR7" s="28" t="e">
        <f t="shared" ref="AR7:AR40" si="13">AN7/AQ7</f>
        <v>#DIV/0!</v>
      </c>
      <c r="AS7" s="55">
        <v>2704</v>
      </c>
      <c r="AT7" s="56">
        <f t="shared" ref="AT7:AT40" si="14">AS7-AP7</f>
        <v>2703.8948999999998</v>
      </c>
      <c r="AU7" s="57">
        <v>0.1081</v>
      </c>
      <c r="AV7" s="56">
        <v>2.9999999999999472E-4</v>
      </c>
      <c r="AW7" s="55">
        <f t="shared" ref="AW7:AW40" si="15">AT7/AV7</f>
        <v>9012983.0000001583</v>
      </c>
      <c r="AX7" s="1">
        <v>1824</v>
      </c>
      <c r="AY7">
        <f t="shared" ref="AY7:AY40" si="16">AX7-CF7</f>
        <v>227</v>
      </c>
      <c r="AZ7" s="8">
        <v>0.1013</v>
      </c>
      <c r="BA7">
        <f t="shared" ref="BA7:BA40" si="17">AY7/AZ7</f>
        <v>2240.8687068114509</v>
      </c>
      <c r="BB7" s="65">
        <v>1710</v>
      </c>
      <c r="BC7" s="64">
        <f t="shared" ref="BC7:BC40" si="18">BB7-CF7</f>
        <v>113</v>
      </c>
      <c r="BD7" s="66">
        <v>0.1047</v>
      </c>
      <c r="BE7" s="64"/>
      <c r="BF7" s="64"/>
      <c r="BG7" s="29">
        <v>1785</v>
      </c>
      <c r="BH7" s="28">
        <f t="shared" ref="BH7:BH41" si="19">BG7-CF7</f>
        <v>188</v>
      </c>
      <c r="BI7" s="27">
        <v>0.1047</v>
      </c>
      <c r="BJ7" s="28"/>
      <c r="BK7" s="28"/>
      <c r="BL7" s="35">
        <v>1904</v>
      </c>
      <c r="BM7" s="34">
        <f t="shared" ref="BM7:BM41" si="20">BL7-CF7</f>
        <v>307</v>
      </c>
      <c r="BN7" s="33">
        <v>0.105</v>
      </c>
      <c r="BO7" s="34"/>
      <c r="BP7" s="34"/>
      <c r="BQ7" s="29">
        <v>2090</v>
      </c>
      <c r="BR7" s="28">
        <f t="shared" ref="BR7:BR40" si="21">BQ7-CF7</f>
        <v>493</v>
      </c>
      <c r="BS7" s="27">
        <v>0.10539999999999999</v>
      </c>
      <c r="BT7" s="28"/>
      <c r="BU7" s="28"/>
      <c r="BV7" s="35">
        <v>2067</v>
      </c>
      <c r="BW7" s="34">
        <f t="shared" ref="BW7:BW40" si="22">BV7-CF7</f>
        <v>470</v>
      </c>
      <c r="BX7" s="33">
        <v>0.1069</v>
      </c>
      <c r="BY7" s="34"/>
      <c r="BZ7" s="34"/>
      <c r="CA7" s="7">
        <v>2332</v>
      </c>
      <c r="CB7" s="7">
        <f t="shared" ref="CB7:CB40" si="23">CA7-CF7</f>
        <v>735</v>
      </c>
      <c r="CC7" s="7"/>
      <c r="CD7" s="7"/>
      <c r="CF7" s="32">
        <v>1597</v>
      </c>
      <c r="CG7" s="27">
        <v>0.106</v>
      </c>
      <c r="CH7" s="28"/>
      <c r="CI7" s="28"/>
      <c r="CJ7" s="28"/>
      <c r="CK7" s="55">
        <v>2212</v>
      </c>
      <c r="CL7" s="57">
        <v>0.1053</v>
      </c>
      <c r="CM7" s="56"/>
      <c r="CN7" s="71"/>
      <c r="CO7" s="35">
        <v>1841</v>
      </c>
      <c r="CP7" s="34">
        <f t="shared" ref="CP7:CP40" si="24">CO7-DX7</f>
        <v>232</v>
      </c>
      <c r="CQ7" s="33">
        <v>0.1071</v>
      </c>
      <c r="CR7" s="34"/>
      <c r="CS7" s="34"/>
      <c r="CT7" s="29">
        <v>1684</v>
      </c>
      <c r="CU7" s="28">
        <f t="shared" ref="CU7:CU40" si="25">CT7-DX7</f>
        <v>75</v>
      </c>
      <c r="CV7" s="27">
        <v>0.106</v>
      </c>
      <c r="CW7" s="28"/>
      <c r="CX7" s="28"/>
      <c r="CY7" s="55">
        <v>1624</v>
      </c>
      <c r="CZ7" s="56">
        <f t="shared" ref="CZ7:CZ40" si="26">CY7-DX7</f>
        <v>15</v>
      </c>
      <c r="DA7" s="56"/>
      <c r="DB7" s="56"/>
      <c r="DC7" s="56"/>
      <c r="DD7" s="35">
        <v>1813</v>
      </c>
      <c r="DE7" s="34">
        <f t="shared" ref="DE7:DE40" si="27">DD7-DX7</f>
        <v>204</v>
      </c>
      <c r="DF7" s="34"/>
      <c r="DG7" s="34"/>
      <c r="DH7" s="34"/>
      <c r="DI7" s="65">
        <v>2021</v>
      </c>
      <c r="DJ7" s="64">
        <f t="shared" ref="DJ7:DJ40" si="28">DI7-DX7</f>
        <v>412</v>
      </c>
      <c r="DK7" s="64"/>
      <c r="DL7" s="64"/>
      <c r="DM7" s="64"/>
      <c r="DN7" s="55">
        <v>1945</v>
      </c>
      <c r="DO7" s="56">
        <f t="shared" ref="DO7:DO40" si="29">DN7-DX7</f>
        <v>336</v>
      </c>
      <c r="DP7" s="56"/>
      <c r="DQ7" s="56"/>
      <c r="DR7" s="56"/>
      <c r="DS7" s="1">
        <v>2034</v>
      </c>
      <c r="DT7">
        <f t="shared" ref="DT7:DT40" si="30">DS7-DX7</f>
        <v>425</v>
      </c>
      <c r="DX7" s="37">
        <v>1609</v>
      </c>
      <c r="DY7" s="34"/>
      <c r="DZ7" s="34"/>
      <c r="EA7" s="34"/>
      <c r="EB7" s="34"/>
      <c r="EC7" s="74">
        <v>2633</v>
      </c>
      <c r="ED7" s="73"/>
      <c r="EE7" s="73"/>
      <c r="EF7" s="73"/>
      <c r="EG7" s="73"/>
    </row>
    <row r="8" spans="4:137" x14ac:dyDescent="0.2">
      <c r="E8" s="29">
        <v>1563</v>
      </c>
      <c r="F8" s="28">
        <f t="shared" si="0"/>
        <v>-193</v>
      </c>
      <c r="G8" s="27">
        <v>0.1052</v>
      </c>
      <c r="H8" s="28">
        <v>0</v>
      </c>
      <c r="I8" s="28" t="e">
        <f t="shared" si="1"/>
        <v>#DIV/0!</v>
      </c>
      <c r="J8" s="55">
        <v>1749</v>
      </c>
      <c r="K8" s="56">
        <f t="shared" si="2"/>
        <v>-7</v>
      </c>
      <c r="L8" s="57">
        <v>0.106</v>
      </c>
      <c r="M8" s="56">
        <v>3.9999999999999758E-4</v>
      </c>
      <c r="N8" s="56">
        <f t="shared" si="3"/>
        <v>-7.0004</v>
      </c>
      <c r="O8" s="29">
        <v>1749</v>
      </c>
      <c r="P8" s="28">
        <f t="shared" si="4"/>
        <v>-7</v>
      </c>
      <c r="Q8" s="27">
        <v>0.1057</v>
      </c>
      <c r="R8" s="28">
        <v>3.9999999999999758E-4</v>
      </c>
      <c r="S8" s="28">
        <f t="shared" si="5"/>
        <v>-17500.000000000106</v>
      </c>
      <c r="T8" s="55">
        <v>1775</v>
      </c>
      <c r="U8" s="56">
        <f t="shared" si="6"/>
        <v>3531</v>
      </c>
      <c r="V8" s="57">
        <v>0.1051</v>
      </c>
      <c r="W8" s="56">
        <v>1.0000000000000286E-4</v>
      </c>
      <c r="X8" s="56">
        <f t="shared" si="7"/>
        <v>35309999.999998987</v>
      </c>
      <c r="Y8" s="29">
        <v>1902</v>
      </c>
      <c r="Z8" s="28">
        <f t="shared" si="8"/>
        <v>146</v>
      </c>
      <c r="AA8" s="27">
        <v>0.11020000000000001</v>
      </c>
      <c r="AB8" s="28">
        <v>8.0000000000000904E-4</v>
      </c>
      <c r="AC8" s="28">
        <f t="shared" si="9"/>
        <v>182499.99999999793</v>
      </c>
      <c r="AD8" s="55">
        <v>1745</v>
      </c>
      <c r="AE8" s="56">
        <f t="shared" si="10"/>
        <v>-11</v>
      </c>
      <c r="AF8" s="57">
        <v>0.1089</v>
      </c>
      <c r="AG8" s="56">
        <v>6.0000000000000331E-4</v>
      </c>
      <c r="AH8" s="56">
        <f t="shared" si="11"/>
        <v>-18333.333333333234</v>
      </c>
      <c r="AI8" s="7">
        <v>2124</v>
      </c>
      <c r="AJ8" s="7">
        <f t="shared" si="12"/>
        <v>368</v>
      </c>
      <c r="AK8" s="7">
        <v>0.1057</v>
      </c>
      <c r="AL8" s="7">
        <v>6.0000000000000331E-4</v>
      </c>
      <c r="AM8" s="7">
        <v>-7.418580902748122</v>
      </c>
      <c r="AN8" s="32">
        <v>1756</v>
      </c>
      <c r="AO8" s="28"/>
      <c r="AP8" s="27">
        <v>0.1057</v>
      </c>
      <c r="AQ8" s="28">
        <v>6.0000000000000331E-4</v>
      </c>
      <c r="AR8" s="28">
        <f t="shared" si="13"/>
        <v>2926666.6666666507</v>
      </c>
      <c r="AS8" s="55">
        <v>2572</v>
      </c>
      <c r="AT8" s="56">
        <f t="shared" si="14"/>
        <v>2571.8942999999999</v>
      </c>
      <c r="AU8" s="57">
        <v>0.10780000000000001</v>
      </c>
      <c r="AV8" s="56">
        <v>0</v>
      </c>
      <c r="AW8" s="55" t="e">
        <f t="shared" si="15"/>
        <v>#DIV/0!</v>
      </c>
      <c r="AX8" s="1">
        <v>1711</v>
      </c>
      <c r="AY8">
        <f t="shared" si="16"/>
        <v>153</v>
      </c>
      <c r="AZ8" s="8">
        <v>0.1008</v>
      </c>
      <c r="BA8">
        <f t="shared" si="17"/>
        <v>1517.8571428571429</v>
      </c>
      <c r="BB8" s="65">
        <v>1632</v>
      </c>
      <c r="BC8" s="64">
        <f t="shared" si="18"/>
        <v>74</v>
      </c>
      <c r="BD8" s="66">
        <v>0.1048</v>
      </c>
      <c r="BE8" s="64">
        <f t="shared" ref="BE8:BE40" si="31">BD8-$P$2</f>
        <v>0.1048</v>
      </c>
      <c r="BF8" s="64"/>
      <c r="BG8" s="29">
        <v>1703</v>
      </c>
      <c r="BH8" s="28">
        <f t="shared" si="19"/>
        <v>145</v>
      </c>
      <c r="BI8" s="27">
        <v>0.1046</v>
      </c>
      <c r="BJ8" s="28">
        <f>BI8-$Y$2</f>
        <v>0.1046</v>
      </c>
      <c r="BK8" s="28"/>
      <c r="BL8" s="35">
        <v>1820</v>
      </c>
      <c r="BM8" s="34">
        <f t="shared" si="20"/>
        <v>262</v>
      </c>
      <c r="BN8" s="33">
        <v>0.1055</v>
      </c>
      <c r="BO8" s="34">
        <f>BN8-$AH$2</f>
        <v>0.1055</v>
      </c>
      <c r="BP8" s="34"/>
      <c r="BQ8" s="29">
        <v>1992</v>
      </c>
      <c r="BR8" s="28">
        <f t="shared" si="21"/>
        <v>434</v>
      </c>
      <c r="BS8" s="27">
        <v>0.1061</v>
      </c>
      <c r="BT8" s="28">
        <f>BS8-$AQ$2</f>
        <v>0.1061</v>
      </c>
      <c r="BU8" s="28"/>
      <c r="BV8" s="35">
        <v>1945</v>
      </c>
      <c r="BW8" s="34">
        <f t="shared" si="22"/>
        <v>387</v>
      </c>
      <c r="BX8" s="33">
        <v>0.1071</v>
      </c>
      <c r="BY8" s="34">
        <f>BX8-$AZ$2</f>
        <v>0.1071</v>
      </c>
      <c r="BZ8" s="34"/>
      <c r="CA8" s="7">
        <v>2220</v>
      </c>
      <c r="CB8" s="7">
        <f t="shared" si="23"/>
        <v>662</v>
      </c>
      <c r="CC8" s="7"/>
      <c r="CD8" s="7"/>
      <c r="CF8" s="32">
        <v>1558</v>
      </c>
      <c r="CG8" s="27">
        <v>0.1052</v>
      </c>
      <c r="CH8" s="28">
        <f>CG8-$BI$2</f>
        <v>0.1052</v>
      </c>
      <c r="CI8" s="28"/>
      <c r="CJ8" s="28"/>
      <c r="CK8" s="55">
        <v>2096</v>
      </c>
      <c r="CL8" s="57">
        <v>0.10580000000000001</v>
      </c>
      <c r="CM8" s="56">
        <f>CL8-$BR$2</f>
        <v>0.10580000000000001</v>
      </c>
      <c r="CN8" s="71"/>
      <c r="CO8" s="35">
        <v>1754</v>
      </c>
      <c r="CP8" s="34">
        <f t="shared" si="24"/>
        <v>198</v>
      </c>
      <c r="CQ8" s="33">
        <v>0.1072</v>
      </c>
      <c r="CR8" s="34">
        <f>CQ8-$J$2</f>
        <v>0.1072</v>
      </c>
      <c r="CS8" s="34"/>
      <c r="CT8" s="29">
        <v>1640</v>
      </c>
      <c r="CU8" s="28">
        <f t="shared" si="25"/>
        <v>84</v>
      </c>
      <c r="CV8" s="27">
        <v>0.106</v>
      </c>
      <c r="CW8" s="28">
        <f>CV8-$S$2</f>
        <v>0.106</v>
      </c>
      <c r="CX8" s="28"/>
      <c r="CY8" s="55">
        <v>1585</v>
      </c>
      <c r="CZ8" s="56">
        <f t="shared" si="26"/>
        <v>29</v>
      </c>
      <c r="DA8" s="56">
        <f>CZ8-$AB$2</f>
        <v>29</v>
      </c>
      <c r="DB8" s="56"/>
      <c r="DC8" s="56"/>
      <c r="DD8" s="35">
        <v>1754</v>
      </c>
      <c r="DE8" s="34">
        <f t="shared" si="27"/>
        <v>198</v>
      </c>
      <c r="DF8" s="34"/>
      <c r="DG8" s="34"/>
      <c r="DH8" s="34"/>
      <c r="DI8" s="65">
        <v>1970</v>
      </c>
      <c r="DJ8" s="64">
        <f t="shared" si="28"/>
        <v>414</v>
      </c>
      <c r="DK8" s="64"/>
      <c r="DL8" s="64"/>
      <c r="DM8" s="64"/>
      <c r="DN8" s="55">
        <v>1890</v>
      </c>
      <c r="DO8" s="56">
        <f t="shared" si="29"/>
        <v>334</v>
      </c>
      <c r="DP8" s="56"/>
      <c r="DQ8" s="56"/>
      <c r="DR8" s="56"/>
      <c r="DS8" s="1">
        <v>1998</v>
      </c>
      <c r="DT8">
        <f t="shared" si="30"/>
        <v>442</v>
      </c>
      <c r="DX8" s="37">
        <v>1556</v>
      </c>
      <c r="DY8" s="34"/>
      <c r="DZ8" s="34"/>
      <c r="EA8" s="34"/>
      <c r="EB8" s="34"/>
      <c r="EC8" s="74">
        <v>2583</v>
      </c>
      <c r="ED8" s="73"/>
      <c r="EE8" s="73"/>
      <c r="EF8" s="73"/>
      <c r="EG8" s="73"/>
    </row>
    <row r="9" spans="4:137" x14ac:dyDescent="0.2">
      <c r="E9" s="29">
        <v>1525</v>
      </c>
      <c r="F9" s="28">
        <f t="shared" si="0"/>
        <v>-136</v>
      </c>
      <c r="G9" s="27">
        <v>0.1077</v>
      </c>
      <c r="H9" s="28">
        <v>2.5000000000000022E-3</v>
      </c>
      <c r="I9" s="28">
        <f t="shared" si="1"/>
        <v>-54399.999999999949</v>
      </c>
      <c r="J9" s="55">
        <v>1713</v>
      </c>
      <c r="K9" s="56">
        <f t="shared" si="2"/>
        <v>52</v>
      </c>
      <c r="L9" s="57">
        <v>0.1077</v>
      </c>
      <c r="M9" s="56">
        <v>2.1000000000000046E-3</v>
      </c>
      <c r="N9" s="56">
        <f t="shared" si="3"/>
        <v>51.997900000000001</v>
      </c>
      <c r="O9" s="29">
        <v>1745</v>
      </c>
      <c r="P9" s="28">
        <f t="shared" si="4"/>
        <v>84</v>
      </c>
      <c r="Q9" s="27">
        <v>0.10780000000000001</v>
      </c>
      <c r="R9" s="28">
        <v>2.5000000000000022E-3</v>
      </c>
      <c r="S9" s="28">
        <f t="shared" si="5"/>
        <v>33599.999999999971</v>
      </c>
      <c r="T9" s="55">
        <v>1731</v>
      </c>
      <c r="U9" s="56">
        <f t="shared" si="6"/>
        <v>3392</v>
      </c>
      <c r="V9" s="57">
        <v>0.1077</v>
      </c>
      <c r="W9" s="56">
        <v>2.7000000000000079E-3</v>
      </c>
      <c r="X9" s="56">
        <f t="shared" si="7"/>
        <v>1256296.2962962927</v>
      </c>
      <c r="Y9" s="29">
        <v>1883</v>
      </c>
      <c r="Z9" s="28">
        <f t="shared" si="8"/>
        <v>222</v>
      </c>
      <c r="AA9" s="27">
        <v>0.1115</v>
      </c>
      <c r="AB9" s="28">
        <v>2.1000000000000046E-3</v>
      </c>
      <c r="AC9" s="28">
        <f t="shared" si="9"/>
        <v>105714.28571428548</v>
      </c>
      <c r="AD9" s="55">
        <v>1703</v>
      </c>
      <c r="AE9" s="56">
        <f t="shared" si="10"/>
        <v>42</v>
      </c>
      <c r="AF9" s="57">
        <v>0.1125</v>
      </c>
      <c r="AG9" s="56">
        <v>4.2000000000000093E-3</v>
      </c>
      <c r="AH9" s="56">
        <f t="shared" si="11"/>
        <v>9999.9999999999782</v>
      </c>
      <c r="AI9" s="7">
        <v>2027</v>
      </c>
      <c r="AJ9" s="7">
        <f t="shared" si="12"/>
        <v>366</v>
      </c>
      <c r="AK9" s="7">
        <v>0.1086</v>
      </c>
      <c r="AL9" s="7">
        <v>3.5000000000000031E-3</v>
      </c>
      <c r="AM9" s="7">
        <v>-5.6549923104867679</v>
      </c>
      <c r="AN9" s="32">
        <v>1661</v>
      </c>
      <c r="AO9" s="28"/>
      <c r="AP9" s="27">
        <v>0.1086</v>
      </c>
      <c r="AQ9" s="28">
        <v>3.5000000000000031E-3</v>
      </c>
      <c r="AR9" s="28">
        <f t="shared" si="13"/>
        <v>474571.42857142817</v>
      </c>
      <c r="AS9" s="55">
        <v>2489</v>
      </c>
      <c r="AT9" s="56">
        <f t="shared" si="14"/>
        <v>2488.8914</v>
      </c>
      <c r="AU9" s="57">
        <v>0.10879999999999999</v>
      </c>
      <c r="AV9" s="56">
        <v>9.9999999999998701E-4</v>
      </c>
      <c r="AW9" s="55">
        <f t="shared" si="15"/>
        <v>2488891.4000000325</v>
      </c>
      <c r="AX9" s="1">
        <v>1690</v>
      </c>
      <c r="AY9">
        <f t="shared" si="16"/>
        <v>142</v>
      </c>
      <c r="AZ9" s="8">
        <v>0.1009</v>
      </c>
      <c r="BA9">
        <f t="shared" si="17"/>
        <v>1407.3339940535184</v>
      </c>
      <c r="BB9" s="65">
        <v>1589</v>
      </c>
      <c r="BC9" s="64">
        <f t="shared" si="18"/>
        <v>41</v>
      </c>
      <c r="BD9" s="66">
        <v>0.1066</v>
      </c>
      <c r="BE9" s="64">
        <f t="shared" si="31"/>
        <v>0.1066</v>
      </c>
      <c r="BF9" s="64"/>
      <c r="BG9" s="29">
        <v>1686</v>
      </c>
      <c r="BH9" s="28">
        <f t="shared" si="19"/>
        <v>138</v>
      </c>
      <c r="BI9" s="27">
        <v>0.10639999999999999</v>
      </c>
      <c r="BJ9" s="28">
        <f t="shared" ref="BJ9:BJ40" si="32">BI9-$Y$2</f>
        <v>0.10639999999999999</v>
      </c>
      <c r="BK9" s="28"/>
      <c r="BL9" s="35">
        <v>1769</v>
      </c>
      <c r="BM9" s="34">
        <f t="shared" si="20"/>
        <v>221</v>
      </c>
      <c r="BN9" s="33">
        <v>0.10780000000000001</v>
      </c>
      <c r="BO9" s="34">
        <f t="shared" ref="BO9:BO40" si="33">BN9-$AH$2</f>
        <v>0.10780000000000001</v>
      </c>
      <c r="BP9" s="34"/>
      <c r="BQ9" s="29">
        <v>1988</v>
      </c>
      <c r="BR9" s="28">
        <f t="shared" si="21"/>
        <v>440</v>
      </c>
      <c r="BS9" s="27">
        <v>0.1084</v>
      </c>
      <c r="BT9" s="28">
        <f t="shared" ref="BT9:BT40" si="34">BS9-$AQ$2</f>
        <v>0.1084</v>
      </c>
      <c r="BU9" s="28"/>
      <c r="BV9" s="35">
        <v>1937</v>
      </c>
      <c r="BW9" s="34">
        <f t="shared" si="22"/>
        <v>389</v>
      </c>
      <c r="BX9" s="33">
        <v>0.10979999999999999</v>
      </c>
      <c r="BY9" s="34">
        <f t="shared" ref="BY9:BY40" si="35">BX9-$AZ$2</f>
        <v>0.10979999999999999</v>
      </c>
      <c r="BZ9" s="34"/>
      <c r="CA9" s="7">
        <v>2196</v>
      </c>
      <c r="CB9" s="7">
        <f t="shared" si="23"/>
        <v>648</v>
      </c>
      <c r="CC9" s="7"/>
      <c r="CD9" s="7"/>
      <c r="CF9" s="32">
        <v>1548</v>
      </c>
      <c r="CG9" s="27">
        <v>0.10730000000000001</v>
      </c>
      <c r="CH9" s="28">
        <f t="shared" ref="CH9:CH40" si="36">CG9-$BI$2</f>
        <v>0.10730000000000001</v>
      </c>
      <c r="CI9" s="28"/>
      <c r="CJ9" s="28"/>
      <c r="CK9" s="55">
        <v>2053</v>
      </c>
      <c r="CL9" s="57">
        <v>0.1075</v>
      </c>
      <c r="CM9" s="56">
        <f t="shared" ref="CM9:CM40" si="37">CL9-$BR$2</f>
        <v>0.1075</v>
      </c>
      <c r="CN9" s="71"/>
      <c r="CO9" s="35">
        <v>1728</v>
      </c>
      <c r="CP9" s="34">
        <f t="shared" si="24"/>
        <v>206</v>
      </c>
      <c r="CQ9" s="33">
        <v>0.11070000000000001</v>
      </c>
      <c r="CR9" s="34">
        <f t="shared" ref="CR9:CR40" si="38">CQ9-$J$2</f>
        <v>0.11070000000000001</v>
      </c>
      <c r="CS9" s="34"/>
      <c r="CT9" s="29">
        <v>1563</v>
      </c>
      <c r="CU9" s="28">
        <f t="shared" si="25"/>
        <v>41</v>
      </c>
      <c r="CV9" s="27">
        <v>0.1087</v>
      </c>
      <c r="CW9" s="28">
        <f t="shared" ref="CW9:CW40" si="39">CV9-$S$2</f>
        <v>0.1087</v>
      </c>
      <c r="CX9" s="28"/>
      <c r="CY9" s="55">
        <v>1546</v>
      </c>
      <c r="CZ9" s="56">
        <f t="shared" si="26"/>
        <v>24</v>
      </c>
      <c r="DA9" s="56">
        <f t="shared" ref="DA9:DA40" si="40">CZ9-$AB$2</f>
        <v>24</v>
      </c>
      <c r="DB9" s="56"/>
      <c r="DC9" s="56"/>
      <c r="DD9" s="35">
        <v>1696</v>
      </c>
      <c r="DE9" s="34">
        <f t="shared" si="27"/>
        <v>174</v>
      </c>
      <c r="DF9" s="34"/>
      <c r="DG9" s="34"/>
      <c r="DH9" s="34"/>
      <c r="DI9" s="65">
        <v>1910</v>
      </c>
      <c r="DJ9" s="64">
        <f t="shared" si="28"/>
        <v>388</v>
      </c>
      <c r="DK9" s="64"/>
      <c r="DL9" s="64"/>
      <c r="DM9" s="64"/>
      <c r="DN9" s="55">
        <v>1847</v>
      </c>
      <c r="DO9" s="56">
        <f t="shared" si="29"/>
        <v>325</v>
      </c>
      <c r="DP9" s="56"/>
      <c r="DQ9" s="56"/>
      <c r="DR9" s="56"/>
      <c r="DS9" s="1">
        <v>1940</v>
      </c>
      <c r="DT9">
        <f t="shared" si="30"/>
        <v>418</v>
      </c>
      <c r="DX9" s="37">
        <v>1522</v>
      </c>
      <c r="DY9" s="34"/>
      <c r="DZ9" s="34"/>
      <c r="EA9" s="34"/>
      <c r="EB9" s="34"/>
      <c r="EC9" s="74">
        <v>2479</v>
      </c>
      <c r="ED9" s="73"/>
      <c r="EE9" s="73"/>
      <c r="EF9" s="73"/>
      <c r="EG9" s="73"/>
    </row>
    <row r="10" spans="4:137" x14ac:dyDescent="0.2">
      <c r="E10" s="29">
        <v>1518</v>
      </c>
      <c r="F10" s="28">
        <f t="shared" si="0"/>
        <v>-123</v>
      </c>
      <c r="G10" s="27">
        <v>0.1119</v>
      </c>
      <c r="H10" s="28">
        <v>6.6999999999999976E-3</v>
      </c>
      <c r="I10" s="28">
        <f t="shared" si="1"/>
        <v>-18358.208955223887</v>
      </c>
      <c r="J10" s="55">
        <v>1695</v>
      </c>
      <c r="K10" s="56">
        <f t="shared" si="2"/>
        <v>54</v>
      </c>
      <c r="L10" s="57">
        <v>0.1124</v>
      </c>
      <c r="M10" s="56">
        <v>6.8000000000000005E-3</v>
      </c>
      <c r="N10" s="56">
        <f t="shared" si="3"/>
        <v>53.993200000000002</v>
      </c>
      <c r="O10" s="29">
        <v>1699</v>
      </c>
      <c r="P10" s="28">
        <f t="shared" si="4"/>
        <v>58</v>
      </c>
      <c r="Q10" s="27">
        <v>0.1125</v>
      </c>
      <c r="R10" s="28">
        <v>7.1999999999999981E-3</v>
      </c>
      <c r="S10" s="28">
        <f t="shared" si="5"/>
        <v>8055.5555555555575</v>
      </c>
      <c r="T10" s="55">
        <v>1725</v>
      </c>
      <c r="U10" s="56">
        <f t="shared" si="6"/>
        <v>3366</v>
      </c>
      <c r="V10" s="57">
        <v>0.11260000000000001</v>
      </c>
      <c r="W10" s="56">
        <v>7.6000000000000095E-3</v>
      </c>
      <c r="X10" s="56">
        <f t="shared" si="7"/>
        <v>442894.7368421047</v>
      </c>
      <c r="Y10" s="29">
        <v>1900</v>
      </c>
      <c r="Z10" s="28">
        <f t="shared" si="8"/>
        <v>259</v>
      </c>
      <c r="AA10" s="27">
        <v>0.1158</v>
      </c>
      <c r="AB10" s="28">
        <v>6.4000000000000029E-3</v>
      </c>
      <c r="AC10" s="28">
        <f t="shared" si="9"/>
        <v>40468.749999999978</v>
      </c>
      <c r="AD10" s="55">
        <v>1679</v>
      </c>
      <c r="AE10" s="56">
        <f t="shared" si="10"/>
        <v>38</v>
      </c>
      <c r="AF10" s="57">
        <v>0.11899999999999999</v>
      </c>
      <c r="AG10" s="56">
        <v>1.0700000000000001E-2</v>
      </c>
      <c r="AH10" s="56">
        <f t="shared" si="11"/>
        <v>3551.4018691588781</v>
      </c>
      <c r="AI10" s="7">
        <v>2063</v>
      </c>
      <c r="AJ10" s="7">
        <f t="shared" si="12"/>
        <v>422</v>
      </c>
      <c r="AK10" s="7">
        <v>0.1135</v>
      </c>
      <c r="AL10" s="7">
        <v>8.4000000000000047E-3</v>
      </c>
      <c r="AM10" s="7">
        <v>-4.7795235731328685</v>
      </c>
      <c r="AN10" s="32">
        <v>1641</v>
      </c>
      <c r="AO10" s="28"/>
      <c r="AP10" s="27">
        <v>0.1135</v>
      </c>
      <c r="AQ10" s="28">
        <v>8.4000000000000047E-3</v>
      </c>
      <c r="AR10" s="28">
        <f t="shared" si="13"/>
        <v>195357.14285714275</v>
      </c>
      <c r="AS10" s="55">
        <v>2516</v>
      </c>
      <c r="AT10" s="56">
        <f t="shared" si="14"/>
        <v>2515.8865000000001</v>
      </c>
      <c r="AU10" s="57">
        <v>0.1113</v>
      </c>
      <c r="AV10" s="56">
        <v>3.4999999999999892E-3</v>
      </c>
      <c r="AW10" s="55">
        <f t="shared" si="15"/>
        <v>718824.71428571653</v>
      </c>
      <c r="AX10" s="1">
        <v>1698</v>
      </c>
      <c r="AY10">
        <f t="shared" si="16"/>
        <v>178</v>
      </c>
      <c r="AZ10" s="8">
        <v>0.1014</v>
      </c>
      <c r="BA10">
        <f t="shared" si="17"/>
        <v>1755.4240631163707</v>
      </c>
      <c r="BB10" s="65">
        <v>1583</v>
      </c>
      <c r="BC10" s="64">
        <f t="shared" si="18"/>
        <v>63</v>
      </c>
      <c r="BD10" s="66">
        <v>0.11070000000000001</v>
      </c>
      <c r="BE10" s="64">
        <f t="shared" si="31"/>
        <v>0.11070000000000001</v>
      </c>
      <c r="BF10" s="64"/>
      <c r="BG10" s="29">
        <v>1688</v>
      </c>
      <c r="BH10" s="28">
        <f t="shared" si="19"/>
        <v>168</v>
      </c>
      <c r="BI10" s="27">
        <v>0.111</v>
      </c>
      <c r="BJ10" s="28">
        <f t="shared" si="32"/>
        <v>0.111</v>
      </c>
      <c r="BK10" s="28"/>
      <c r="BL10" s="35">
        <v>1759</v>
      </c>
      <c r="BM10" s="34">
        <f t="shared" si="20"/>
        <v>239</v>
      </c>
      <c r="BN10" s="33">
        <v>0.1124</v>
      </c>
      <c r="BO10" s="34">
        <f t="shared" si="33"/>
        <v>0.1124</v>
      </c>
      <c r="BP10" s="34"/>
      <c r="BQ10" s="29">
        <v>2035</v>
      </c>
      <c r="BR10" s="28">
        <f t="shared" si="21"/>
        <v>515</v>
      </c>
      <c r="BS10" s="27">
        <v>0.11269999999999999</v>
      </c>
      <c r="BT10" s="28">
        <f t="shared" si="34"/>
        <v>0.11269999999999999</v>
      </c>
      <c r="BU10" s="28"/>
      <c r="BV10" s="35">
        <v>1960</v>
      </c>
      <c r="BW10" s="34">
        <f t="shared" si="22"/>
        <v>440</v>
      </c>
      <c r="BX10" s="33">
        <v>0.1154</v>
      </c>
      <c r="BY10" s="34">
        <f t="shared" si="35"/>
        <v>0.1154</v>
      </c>
      <c r="BZ10" s="34"/>
      <c r="CA10" s="7">
        <v>2235</v>
      </c>
      <c r="CB10" s="7">
        <f t="shared" si="23"/>
        <v>715</v>
      </c>
      <c r="CC10" s="7"/>
      <c r="CD10" s="7"/>
      <c r="CF10" s="32">
        <v>1520</v>
      </c>
      <c r="CG10" s="27">
        <v>0.1116</v>
      </c>
      <c r="CH10" s="28">
        <f t="shared" si="36"/>
        <v>0.1116</v>
      </c>
      <c r="CI10" s="28"/>
      <c r="CJ10" s="28"/>
      <c r="CK10" s="55">
        <v>2094</v>
      </c>
      <c r="CL10" s="57">
        <v>0.1114</v>
      </c>
      <c r="CM10" s="56">
        <f t="shared" si="37"/>
        <v>0.1114</v>
      </c>
      <c r="CN10" s="71"/>
      <c r="CO10" s="35">
        <v>1692</v>
      </c>
      <c r="CP10" s="34">
        <f t="shared" si="24"/>
        <v>180</v>
      </c>
      <c r="CQ10" s="33">
        <v>0.1168</v>
      </c>
      <c r="CR10" s="34">
        <f t="shared" si="38"/>
        <v>0.1168</v>
      </c>
      <c r="CS10" s="34"/>
      <c r="CT10" s="29">
        <v>1544</v>
      </c>
      <c r="CU10" s="28">
        <f t="shared" si="25"/>
        <v>32</v>
      </c>
      <c r="CV10" s="27">
        <v>0.1139</v>
      </c>
      <c r="CW10" s="28">
        <f t="shared" si="39"/>
        <v>0.1139</v>
      </c>
      <c r="CX10" s="28"/>
      <c r="CY10" s="55">
        <v>1508</v>
      </c>
      <c r="CZ10" s="56">
        <f t="shared" si="26"/>
        <v>-4</v>
      </c>
      <c r="DA10" s="56">
        <f t="shared" si="40"/>
        <v>-4</v>
      </c>
      <c r="DB10" s="56"/>
      <c r="DC10" s="56"/>
      <c r="DD10" s="35">
        <v>1692</v>
      </c>
      <c r="DE10" s="34">
        <f t="shared" si="27"/>
        <v>180</v>
      </c>
      <c r="DF10" s="34"/>
      <c r="DG10" s="34"/>
      <c r="DH10" s="34"/>
      <c r="DI10" s="65">
        <v>1953</v>
      </c>
      <c r="DJ10" s="64">
        <f t="shared" si="28"/>
        <v>441</v>
      </c>
      <c r="DK10" s="64"/>
      <c r="DL10" s="64"/>
      <c r="DM10" s="64"/>
      <c r="DN10" s="55">
        <v>1861</v>
      </c>
      <c r="DO10" s="56">
        <f t="shared" si="29"/>
        <v>349</v>
      </c>
      <c r="DP10" s="56"/>
      <c r="DQ10" s="56"/>
      <c r="DR10" s="56"/>
      <c r="DS10" s="1">
        <v>1949</v>
      </c>
      <c r="DT10">
        <f t="shared" si="30"/>
        <v>437</v>
      </c>
      <c r="DX10" s="37">
        <v>1512</v>
      </c>
      <c r="DY10" s="34"/>
      <c r="DZ10" s="34"/>
      <c r="EA10" s="34"/>
      <c r="EB10" s="34"/>
      <c r="EC10" s="74">
        <v>2502</v>
      </c>
      <c r="ED10" s="73"/>
      <c r="EE10" s="73"/>
      <c r="EF10" s="73"/>
      <c r="EG10" s="73"/>
    </row>
    <row r="11" spans="4:137" x14ac:dyDescent="0.2">
      <c r="E11" s="29">
        <v>1524</v>
      </c>
      <c r="F11" s="28">
        <f t="shared" si="0"/>
        <v>-94</v>
      </c>
      <c r="G11" s="27">
        <v>0.11609999999999999</v>
      </c>
      <c r="H11" s="28">
        <v>1.0899999999999993E-2</v>
      </c>
      <c r="I11" s="28">
        <f t="shared" si="1"/>
        <v>-8623.8532110091801</v>
      </c>
      <c r="J11" s="55">
        <v>1652</v>
      </c>
      <c r="K11" s="56">
        <f t="shared" si="2"/>
        <v>34</v>
      </c>
      <c r="L11" s="57">
        <v>0.1173</v>
      </c>
      <c r="M11" s="56">
        <v>1.1700000000000002E-2</v>
      </c>
      <c r="N11" s="56">
        <f t="shared" si="3"/>
        <v>33.988300000000002</v>
      </c>
      <c r="O11" s="29">
        <v>1666</v>
      </c>
      <c r="P11" s="28">
        <f t="shared" si="4"/>
        <v>48</v>
      </c>
      <c r="Q11" s="27">
        <v>0.11890000000000001</v>
      </c>
      <c r="R11" s="28">
        <v>1.3600000000000001E-2</v>
      </c>
      <c r="S11" s="28">
        <f t="shared" si="5"/>
        <v>3529.411764705882</v>
      </c>
      <c r="T11" s="55">
        <v>1712</v>
      </c>
      <c r="U11" s="56">
        <f t="shared" si="6"/>
        <v>3330</v>
      </c>
      <c r="V11" s="57">
        <v>0.1196</v>
      </c>
      <c r="W11" s="56">
        <v>1.4600000000000002E-2</v>
      </c>
      <c r="X11" s="56">
        <f t="shared" si="7"/>
        <v>228082.19178082189</v>
      </c>
      <c r="Y11" s="29">
        <v>1944</v>
      </c>
      <c r="Z11" s="28">
        <f t="shared" si="8"/>
        <v>326</v>
      </c>
      <c r="AA11" s="27">
        <v>0.1216</v>
      </c>
      <c r="AB11" s="28">
        <v>1.2200000000000003E-2</v>
      </c>
      <c r="AC11" s="28">
        <f t="shared" si="9"/>
        <v>26721.311475409831</v>
      </c>
      <c r="AD11" s="55">
        <v>1723</v>
      </c>
      <c r="AE11" s="56">
        <f t="shared" si="10"/>
        <v>105</v>
      </c>
      <c r="AF11" s="57">
        <v>0.12790000000000001</v>
      </c>
      <c r="AG11" s="56">
        <v>1.960000000000002E-2</v>
      </c>
      <c r="AH11" s="56">
        <f t="shared" si="11"/>
        <v>5357.1428571428514</v>
      </c>
      <c r="AI11" s="7">
        <v>2099</v>
      </c>
      <c r="AJ11" s="7">
        <f t="shared" si="12"/>
        <v>481</v>
      </c>
      <c r="AK11" s="7">
        <v>0.12139999999999999</v>
      </c>
      <c r="AL11" s="7">
        <v>1.6299999999999995E-2</v>
      </c>
      <c r="AM11" s="7">
        <v>-4.1165901711694204</v>
      </c>
      <c r="AN11" s="32">
        <v>1618</v>
      </c>
      <c r="AO11" s="28"/>
      <c r="AP11" s="27">
        <v>0.12139999999999999</v>
      </c>
      <c r="AQ11" s="28">
        <v>1.6299999999999995E-2</v>
      </c>
      <c r="AR11" s="28">
        <f t="shared" si="13"/>
        <v>99263.803680981626</v>
      </c>
      <c r="AS11" s="55">
        <v>2587</v>
      </c>
      <c r="AT11" s="56">
        <f t="shared" si="14"/>
        <v>2586.8786</v>
      </c>
      <c r="AU11" s="57">
        <v>0.1154</v>
      </c>
      <c r="AV11" s="56">
        <v>7.5999999999999956E-3</v>
      </c>
      <c r="AW11" s="55">
        <f t="shared" si="15"/>
        <v>340378.76315789495</v>
      </c>
      <c r="AX11" s="1">
        <v>1655</v>
      </c>
      <c r="AY11">
        <f t="shared" si="16"/>
        <v>164</v>
      </c>
      <c r="AZ11" s="8">
        <v>0.1023</v>
      </c>
      <c r="BA11">
        <f t="shared" si="17"/>
        <v>1603.1280547409579</v>
      </c>
      <c r="BB11" s="65">
        <v>1581</v>
      </c>
      <c r="BC11" s="64">
        <f t="shared" si="18"/>
        <v>90</v>
      </c>
      <c r="BD11" s="66">
        <v>0.11559999999999999</v>
      </c>
      <c r="BE11" s="64">
        <f t="shared" si="31"/>
        <v>0.11559999999999999</v>
      </c>
      <c r="BF11" s="64"/>
      <c r="BG11" s="29">
        <v>1672</v>
      </c>
      <c r="BH11" s="28">
        <f t="shared" si="19"/>
        <v>181</v>
      </c>
      <c r="BI11" s="27">
        <v>0.11609999999999999</v>
      </c>
      <c r="BJ11" s="28">
        <f t="shared" si="32"/>
        <v>0.11609999999999999</v>
      </c>
      <c r="BK11" s="28"/>
      <c r="BL11" s="35">
        <v>1733</v>
      </c>
      <c r="BM11" s="34">
        <f t="shared" si="20"/>
        <v>242</v>
      </c>
      <c r="BN11" s="33">
        <v>0.1192</v>
      </c>
      <c r="BO11" s="34">
        <f t="shared" si="33"/>
        <v>0.1192</v>
      </c>
      <c r="BP11" s="34"/>
      <c r="BQ11" s="29">
        <v>2088</v>
      </c>
      <c r="BR11" s="28">
        <f t="shared" si="21"/>
        <v>597</v>
      </c>
      <c r="BS11" s="27">
        <v>0.1188</v>
      </c>
      <c r="BT11" s="28">
        <f t="shared" si="34"/>
        <v>0.1188</v>
      </c>
      <c r="BU11" s="28"/>
      <c r="BV11" s="35">
        <v>1933</v>
      </c>
      <c r="BW11" s="34">
        <f t="shared" si="22"/>
        <v>442</v>
      </c>
      <c r="BX11" s="33">
        <v>0.1231</v>
      </c>
      <c r="BY11" s="34">
        <f t="shared" si="35"/>
        <v>0.1231</v>
      </c>
      <c r="BZ11" s="34"/>
      <c r="CA11" s="7">
        <v>2275</v>
      </c>
      <c r="CB11" s="7">
        <f t="shared" si="23"/>
        <v>784</v>
      </c>
      <c r="CC11" s="7"/>
      <c r="CD11" s="7"/>
      <c r="CF11" s="32">
        <v>1491</v>
      </c>
      <c r="CG11" s="27">
        <v>0.12</v>
      </c>
      <c r="CH11" s="28">
        <f t="shared" si="36"/>
        <v>0.12</v>
      </c>
      <c r="CI11" s="28"/>
      <c r="CJ11" s="28"/>
      <c r="CK11" s="55">
        <v>2166</v>
      </c>
      <c r="CL11" s="57">
        <v>0.1181</v>
      </c>
      <c r="CM11" s="56">
        <f t="shared" si="37"/>
        <v>0.1181</v>
      </c>
      <c r="CN11" s="71"/>
      <c r="CO11" s="35">
        <v>1674</v>
      </c>
      <c r="CP11" s="34">
        <f t="shared" si="24"/>
        <v>212</v>
      </c>
      <c r="CQ11" s="33">
        <v>0.12189999999999999</v>
      </c>
      <c r="CR11" s="34">
        <f t="shared" si="38"/>
        <v>0.12189999999999999</v>
      </c>
      <c r="CS11" s="34"/>
      <c r="CT11" s="29">
        <v>1512</v>
      </c>
      <c r="CU11" s="28">
        <f t="shared" si="25"/>
        <v>50</v>
      </c>
      <c r="CV11" s="27">
        <v>0.1208</v>
      </c>
      <c r="CW11" s="28">
        <f t="shared" si="39"/>
        <v>0.1208</v>
      </c>
      <c r="CX11" s="28"/>
      <c r="CY11" s="55">
        <v>1484</v>
      </c>
      <c r="CZ11" s="56">
        <f t="shared" si="26"/>
        <v>22</v>
      </c>
      <c r="DA11" s="56">
        <f t="shared" si="40"/>
        <v>22</v>
      </c>
      <c r="DB11" s="56"/>
      <c r="DC11" s="56"/>
      <c r="DD11" s="35">
        <v>1645</v>
      </c>
      <c r="DE11" s="34">
        <f t="shared" si="27"/>
        <v>183</v>
      </c>
      <c r="DF11" s="34"/>
      <c r="DG11" s="34"/>
      <c r="DH11" s="34"/>
      <c r="DI11" s="65">
        <v>2005</v>
      </c>
      <c r="DJ11" s="64">
        <f t="shared" si="28"/>
        <v>543</v>
      </c>
      <c r="DK11" s="64"/>
      <c r="DL11" s="64"/>
      <c r="DM11" s="64"/>
      <c r="DN11" s="55">
        <v>1864</v>
      </c>
      <c r="DO11" s="56">
        <f t="shared" si="29"/>
        <v>402</v>
      </c>
      <c r="DP11" s="56"/>
      <c r="DQ11" s="56"/>
      <c r="DR11" s="56"/>
      <c r="DS11" s="1">
        <v>2041</v>
      </c>
      <c r="DT11">
        <f t="shared" si="30"/>
        <v>579</v>
      </c>
      <c r="DX11" s="37">
        <v>1462</v>
      </c>
      <c r="DY11" s="34"/>
      <c r="DZ11" s="34"/>
      <c r="EA11" s="34"/>
      <c r="EB11" s="34"/>
      <c r="EC11" s="74">
        <v>2651</v>
      </c>
      <c r="ED11" s="73"/>
      <c r="EE11" s="73"/>
      <c r="EF11" s="73"/>
      <c r="EG11" s="73"/>
    </row>
    <row r="12" spans="4:137" x14ac:dyDescent="0.2">
      <c r="E12" s="29">
        <v>1486</v>
      </c>
      <c r="F12" s="28">
        <f t="shared" si="0"/>
        <v>-99</v>
      </c>
      <c r="G12" s="27">
        <v>0.1187</v>
      </c>
      <c r="H12" s="28">
        <v>1.3499999999999998E-2</v>
      </c>
      <c r="I12" s="28">
        <f t="shared" si="1"/>
        <v>-7333.3333333333339</v>
      </c>
      <c r="J12" s="55">
        <v>1612</v>
      </c>
      <c r="K12" s="56">
        <f t="shared" si="2"/>
        <v>27</v>
      </c>
      <c r="L12" s="57">
        <v>0.1187</v>
      </c>
      <c r="M12" s="56">
        <v>1.3100000000000001E-2</v>
      </c>
      <c r="N12" s="56">
        <f t="shared" si="3"/>
        <v>26.986899999999999</v>
      </c>
      <c r="O12" s="29">
        <v>1641</v>
      </c>
      <c r="P12" s="28">
        <f t="shared" si="4"/>
        <v>56</v>
      </c>
      <c r="Q12" s="27">
        <v>0.1205</v>
      </c>
      <c r="R12" s="28">
        <v>1.5199999999999991E-2</v>
      </c>
      <c r="S12" s="28">
        <f t="shared" si="5"/>
        <v>3684.2105263157914</v>
      </c>
      <c r="T12" s="55">
        <v>1668</v>
      </c>
      <c r="U12" s="56">
        <f t="shared" si="6"/>
        <v>3253</v>
      </c>
      <c r="V12" s="57">
        <v>0.1225</v>
      </c>
      <c r="W12" s="56">
        <v>1.7500000000000002E-2</v>
      </c>
      <c r="X12" s="56">
        <f t="shared" si="7"/>
        <v>185885.71428571426</v>
      </c>
      <c r="Y12" s="29">
        <v>1886</v>
      </c>
      <c r="Z12" s="28">
        <f t="shared" si="8"/>
        <v>301</v>
      </c>
      <c r="AA12" s="27">
        <v>0.1237</v>
      </c>
      <c r="AB12" s="28">
        <v>1.4300000000000007E-2</v>
      </c>
      <c r="AC12" s="28">
        <f t="shared" si="9"/>
        <v>21048.951048951039</v>
      </c>
      <c r="AD12" s="55">
        <v>1671</v>
      </c>
      <c r="AE12" s="56">
        <f t="shared" si="10"/>
        <v>86</v>
      </c>
      <c r="AF12" s="57">
        <v>0.13339999999999999</v>
      </c>
      <c r="AG12" s="56">
        <v>2.5099999999999997E-2</v>
      </c>
      <c r="AH12" s="56">
        <f t="shared" si="11"/>
        <v>3426.2948207171316</v>
      </c>
      <c r="AI12" s="7">
        <v>2070</v>
      </c>
      <c r="AJ12" s="7">
        <f t="shared" si="12"/>
        <v>485</v>
      </c>
      <c r="AK12" s="7">
        <v>0.12989999999999999</v>
      </c>
      <c r="AL12" s="7">
        <v>2.4799999999999989E-2</v>
      </c>
      <c r="AM12" s="7">
        <v>-3.6969116258112011</v>
      </c>
      <c r="AN12" s="32">
        <v>1585</v>
      </c>
      <c r="AO12" s="28"/>
      <c r="AP12" s="27">
        <v>0.12989999999999999</v>
      </c>
      <c r="AQ12" s="28">
        <v>2.4799999999999989E-2</v>
      </c>
      <c r="AR12" s="28">
        <f t="shared" si="13"/>
        <v>63911.290322580673</v>
      </c>
      <c r="AS12" s="55">
        <v>2560</v>
      </c>
      <c r="AT12" s="56">
        <f t="shared" si="14"/>
        <v>2559.8701000000001</v>
      </c>
      <c r="AU12" s="57">
        <v>0.1212</v>
      </c>
      <c r="AV12" s="56">
        <v>1.3399999999999995E-2</v>
      </c>
      <c r="AW12" s="55">
        <f t="shared" si="15"/>
        <v>191035.08208955231</v>
      </c>
      <c r="AX12" s="1">
        <v>1633</v>
      </c>
      <c r="AY12">
        <f t="shared" si="16"/>
        <v>143</v>
      </c>
      <c r="AZ12" s="8">
        <v>0.1031</v>
      </c>
      <c r="BA12">
        <f t="shared" si="17"/>
        <v>1387.0029097963143</v>
      </c>
      <c r="BB12" s="65">
        <v>1529</v>
      </c>
      <c r="BC12" s="64">
        <f t="shared" si="18"/>
        <v>39</v>
      </c>
      <c r="BD12" s="66">
        <v>0.1198</v>
      </c>
      <c r="BE12" s="64">
        <f t="shared" si="31"/>
        <v>0.1198</v>
      </c>
      <c r="BF12" s="64"/>
      <c r="BG12" s="29">
        <v>1634</v>
      </c>
      <c r="BH12" s="28">
        <f t="shared" si="19"/>
        <v>144</v>
      </c>
      <c r="BI12" s="27">
        <v>0.1202</v>
      </c>
      <c r="BJ12" s="28">
        <f t="shared" si="32"/>
        <v>0.1202</v>
      </c>
      <c r="BK12" s="28"/>
      <c r="BL12" s="35">
        <v>1686</v>
      </c>
      <c r="BM12" s="34">
        <f t="shared" si="20"/>
        <v>196</v>
      </c>
      <c r="BN12" s="33">
        <v>0.1239</v>
      </c>
      <c r="BO12" s="34">
        <f t="shared" si="33"/>
        <v>0.1239</v>
      </c>
      <c r="BP12" s="34"/>
      <c r="BQ12" s="29">
        <v>2011</v>
      </c>
      <c r="BR12" s="28">
        <f t="shared" si="21"/>
        <v>521</v>
      </c>
      <c r="BS12" s="27">
        <v>0.1235</v>
      </c>
      <c r="BT12" s="28">
        <f t="shared" si="34"/>
        <v>0.1235</v>
      </c>
      <c r="BU12" s="28"/>
      <c r="BV12" s="35">
        <v>1930</v>
      </c>
      <c r="BW12" s="34">
        <f t="shared" si="22"/>
        <v>440</v>
      </c>
      <c r="BX12" s="33">
        <v>0.13</v>
      </c>
      <c r="BY12" s="34">
        <f t="shared" si="35"/>
        <v>0.13</v>
      </c>
      <c r="BZ12" s="34"/>
      <c r="CA12" s="7">
        <v>2302</v>
      </c>
      <c r="CB12" s="7">
        <f t="shared" si="23"/>
        <v>812</v>
      </c>
      <c r="CC12" s="7"/>
      <c r="CD12" s="7"/>
      <c r="CF12" s="32">
        <v>1490</v>
      </c>
      <c r="CG12" s="27">
        <v>0.127</v>
      </c>
      <c r="CH12" s="28">
        <f t="shared" si="36"/>
        <v>0.127</v>
      </c>
      <c r="CI12" s="28"/>
      <c r="CJ12" s="28"/>
      <c r="CK12" s="55">
        <v>2182</v>
      </c>
      <c r="CL12" s="57">
        <v>0.1255</v>
      </c>
      <c r="CM12" s="56">
        <f t="shared" si="37"/>
        <v>0.1255</v>
      </c>
      <c r="CN12" s="71"/>
      <c r="CO12" s="35">
        <v>1627</v>
      </c>
      <c r="CP12" s="34">
        <f t="shared" si="24"/>
        <v>186</v>
      </c>
      <c r="CQ12" s="33">
        <v>0.12859999999999999</v>
      </c>
      <c r="CR12" s="34">
        <f t="shared" si="38"/>
        <v>0.12859999999999999</v>
      </c>
      <c r="CS12" s="34"/>
      <c r="CT12" s="29">
        <v>1500</v>
      </c>
      <c r="CU12" s="28">
        <f t="shared" si="25"/>
        <v>59</v>
      </c>
      <c r="CV12" s="27">
        <v>0.1258</v>
      </c>
      <c r="CW12" s="28">
        <f t="shared" si="39"/>
        <v>0.1258</v>
      </c>
      <c r="CX12" s="28"/>
      <c r="CY12" s="55">
        <v>1433</v>
      </c>
      <c r="CZ12" s="56">
        <f t="shared" si="26"/>
        <v>-8</v>
      </c>
      <c r="DA12" s="56">
        <f t="shared" si="40"/>
        <v>-8</v>
      </c>
      <c r="DB12" s="56"/>
      <c r="DC12" s="56"/>
      <c r="DD12" s="35">
        <v>1640</v>
      </c>
      <c r="DE12" s="34">
        <f t="shared" si="27"/>
        <v>199</v>
      </c>
      <c r="DF12" s="34"/>
      <c r="DG12" s="34"/>
      <c r="DH12" s="34"/>
      <c r="DI12" s="65">
        <v>2018</v>
      </c>
      <c r="DJ12" s="64">
        <f t="shared" si="28"/>
        <v>577</v>
      </c>
      <c r="DK12" s="64"/>
      <c r="DL12" s="64"/>
      <c r="DM12" s="64"/>
      <c r="DN12" s="55">
        <v>1855</v>
      </c>
      <c r="DO12" s="56">
        <f t="shared" si="29"/>
        <v>414</v>
      </c>
      <c r="DP12" s="56"/>
      <c r="DQ12" s="56"/>
      <c r="DR12" s="56"/>
      <c r="DS12" s="1">
        <v>2100</v>
      </c>
      <c r="DT12">
        <f t="shared" si="30"/>
        <v>659</v>
      </c>
      <c r="DX12" s="37">
        <v>1441</v>
      </c>
      <c r="DY12" s="34"/>
      <c r="DZ12" s="34"/>
      <c r="EA12" s="34"/>
      <c r="EB12" s="34"/>
      <c r="EC12" s="74">
        <v>2642</v>
      </c>
      <c r="ED12" s="73"/>
      <c r="EE12" s="73"/>
      <c r="EF12" s="73"/>
      <c r="EG12" s="73"/>
    </row>
    <row r="13" spans="4:137" x14ac:dyDescent="0.2">
      <c r="E13" s="29">
        <v>1525</v>
      </c>
      <c r="F13" s="28">
        <f t="shared" si="0"/>
        <v>-85</v>
      </c>
      <c r="G13" s="27">
        <v>0.12570000000000001</v>
      </c>
      <c r="H13" s="28">
        <v>2.0500000000000004E-2</v>
      </c>
      <c r="I13" s="28">
        <f t="shared" si="1"/>
        <v>-4146.3414634146329</v>
      </c>
      <c r="J13" s="55">
        <v>1635</v>
      </c>
      <c r="K13" s="56">
        <f t="shared" si="2"/>
        <v>25</v>
      </c>
      <c r="L13" s="57">
        <v>0.1205</v>
      </c>
      <c r="M13" s="56">
        <v>1.4899999999999997E-2</v>
      </c>
      <c r="N13" s="56">
        <f t="shared" si="3"/>
        <v>24.985099999999999</v>
      </c>
      <c r="O13" s="29">
        <v>1669</v>
      </c>
      <c r="P13" s="28">
        <f t="shared" si="4"/>
        <v>59</v>
      </c>
      <c r="Q13" s="27">
        <v>0.1232</v>
      </c>
      <c r="R13" s="28">
        <v>1.7899999999999999E-2</v>
      </c>
      <c r="S13" s="28">
        <f t="shared" si="5"/>
        <v>3296.0893854748606</v>
      </c>
      <c r="T13" s="55">
        <v>1667</v>
      </c>
      <c r="U13" s="56">
        <f t="shared" si="6"/>
        <v>3277</v>
      </c>
      <c r="V13" s="57">
        <v>0.1246</v>
      </c>
      <c r="W13" s="56">
        <v>1.9600000000000006E-2</v>
      </c>
      <c r="X13" s="56">
        <f t="shared" si="7"/>
        <v>167193.87755102036</v>
      </c>
      <c r="Y13" s="29">
        <v>1967</v>
      </c>
      <c r="Z13" s="28">
        <f t="shared" si="8"/>
        <v>357</v>
      </c>
      <c r="AA13" s="27">
        <v>0.1263</v>
      </c>
      <c r="AB13" s="28">
        <v>1.6899999999999998E-2</v>
      </c>
      <c r="AC13" s="28">
        <f t="shared" si="9"/>
        <v>21124.260355029586</v>
      </c>
      <c r="AD13" s="55">
        <v>1718</v>
      </c>
      <c r="AE13" s="56">
        <f t="shared" si="10"/>
        <v>108</v>
      </c>
      <c r="AF13" s="57">
        <v>0.13719999999999999</v>
      </c>
      <c r="AG13" s="56">
        <v>2.8899999999999995E-2</v>
      </c>
      <c r="AH13" s="56">
        <f t="shared" si="11"/>
        <v>3737.0242214532877</v>
      </c>
      <c r="AI13" s="7">
        <v>2151</v>
      </c>
      <c r="AJ13" s="7">
        <f t="shared" si="12"/>
        <v>541</v>
      </c>
      <c r="AK13" s="7">
        <v>0.13400000000000001</v>
      </c>
      <c r="AL13" s="7">
        <v>2.8900000000000009E-2</v>
      </c>
      <c r="AM13" s="7">
        <v>-3.5439136838637504</v>
      </c>
      <c r="AN13" s="32">
        <v>1610</v>
      </c>
      <c r="AO13" s="28"/>
      <c r="AP13" s="27">
        <v>0.13400000000000001</v>
      </c>
      <c r="AQ13" s="28">
        <v>2.8900000000000009E-2</v>
      </c>
      <c r="AR13" s="28">
        <f t="shared" si="13"/>
        <v>55709.342560553618</v>
      </c>
      <c r="AS13" s="55">
        <v>2771</v>
      </c>
      <c r="AT13" s="56">
        <f t="shared" si="14"/>
        <v>2770.866</v>
      </c>
      <c r="AU13" s="57">
        <v>0.1237</v>
      </c>
      <c r="AV13" s="56">
        <v>1.5899999999999997E-2</v>
      </c>
      <c r="AW13" s="55">
        <f t="shared" si="15"/>
        <v>174268.30188679247</v>
      </c>
      <c r="AX13" s="1">
        <v>1617</v>
      </c>
      <c r="AY13">
        <f t="shared" si="16"/>
        <v>173</v>
      </c>
      <c r="AZ13" s="8">
        <v>0.1036</v>
      </c>
      <c r="BA13">
        <f t="shared" si="17"/>
        <v>1669.88416988417</v>
      </c>
      <c r="BB13" s="65">
        <v>1537</v>
      </c>
      <c r="BC13" s="64">
        <f t="shared" si="18"/>
        <v>93</v>
      </c>
      <c r="BD13" s="66">
        <v>0.1229</v>
      </c>
      <c r="BE13" s="64">
        <f t="shared" si="31"/>
        <v>0.1229</v>
      </c>
      <c r="BF13" s="64"/>
      <c r="BG13" s="29">
        <v>1605</v>
      </c>
      <c r="BH13" s="28">
        <f t="shared" si="19"/>
        <v>161</v>
      </c>
      <c r="BI13" s="27">
        <v>0.12379999999999999</v>
      </c>
      <c r="BJ13" s="28">
        <f t="shared" si="32"/>
        <v>0.12379999999999999</v>
      </c>
      <c r="BK13" s="28"/>
      <c r="BL13" s="35">
        <v>1698</v>
      </c>
      <c r="BM13" s="34">
        <f t="shared" si="20"/>
        <v>254</v>
      </c>
      <c r="BN13" s="33">
        <v>0.1285</v>
      </c>
      <c r="BO13" s="34">
        <f t="shared" si="33"/>
        <v>0.1285</v>
      </c>
      <c r="BP13" s="34"/>
      <c r="BQ13" s="29">
        <v>2093</v>
      </c>
      <c r="BR13" s="28">
        <f t="shared" si="21"/>
        <v>649</v>
      </c>
      <c r="BS13" s="27">
        <v>0.1268</v>
      </c>
      <c r="BT13" s="28">
        <f t="shared" si="34"/>
        <v>0.1268</v>
      </c>
      <c r="BU13" s="28"/>
      <c r="BV13" s="35">
        <v>1960</v>
      </c>
      <c r="BW13" s="34">
        <f t="shared" si="22"/>
        <v>516</v>
      </c>
      <c r="BX13" s="33">
        <v>0.13420000000000001</v>
      </c>
      <c r="BY13" s="34">
        <f t="shared" si="35"/>
        <v>0.13420000000000001</v>
      </c>
      <c r="BZ13" s="34"/>
      <c r="CA13" s="7">
        <v>2429</v>
      </c>
      <c r="CB13" s="7">
        <f t="shared" si="23"/>
        <v>985</v>
      </c>
      <c r="CC13" s="7"/>
      <c r="CD13" s="7"/>
      <c r="CF13" s="32">
        <v>1444</v>
      </c>
      <c r="CG13" s="27">
        <v>0.13320000000000001</v>
      </c>
      <c r="CH13" s="28">
        <f t="shared" si="36"/>
        <v>0.13320000000000001</v>
      </c>
      <c r="CI13" s="28"/>
      <c r="CJ13" s="28"/>
      <c r="CK13" s="55">
        <v>2409</v>
      </c>
      <c r="CL13" s="57">
        <v>0.13150000000000001</v>
      </c>
      <c r="CM13" s="56">
        <f t="shared" si="37"/>
        <v>0.13150000000000001</v>
      </c>
      <c r="CN13" s="71"/>
      <c r="CO13" s="35">
        <v>1699</v>
      </c>
      <c r="CP13" s="34">
        <f t="shared" si="24"/>
        <v>258</v>
      </c>
      <c r="CQ13" s="33">
        <v>0.13489999999999999</v>
      </c>
      <c r="CR13" s="34">
        <f t="shared" si="38"/>
        <v>0.13489999999999999</v>
      </c>
      <c r="CS13" s="34"/>
      <c r="CT13" s="29">
        <v>1511</v>
      </c>
      <c r="CU13" s="28">
        <f t="shared" si="25"/>
        <v>70</v>
      </c>
      <c r="CV13" s="27">
        <v>0.13009999999999999</v>
      </c>
      <c r="CW13" s="28">
        <f t="shared" si="39"/>
        <v>0.13009999999999999</v>
      </c>
      <c r="CX13" s="28"/>
      <c r="CY13" s="55">
        <v>1473</v>
      </c>
      <c r="CZ13" s="56">
        <f t="shared" si="26"/>
        <v>32</v>
      </c>
      <c r="DA13" s="56">
        <f t="shared" si="40"/>
        <v>32</v>
      </c>
      <c r="DB13" s="56"/>
      <c r="DC13" s="56"/>
      <c r="DD13" s="35">
        <v>1643</v>
      </c>
      <c r="DE13" s="34">
        <f t="shared" si="27"/>
        <v>202</v>
      </c>
      <c r="DF13" s="34"/>
      <c r="DG13" s="34"/>
      <c r="DH13" s="34"/>
      <c r="DI13" s="65">
        <v>2072</v>
      </c>
      <c r="DJ13" s="64">
        <f t="shared" si="28"/>
        <v>631</v>
      </c>
      <c r="DK13" s="64"/>
      <c r="DL13" s="64"/>
      <c r="DM13" s="64"/>
      <c r="DN13" s="55">
        <v>1972</v>
      </c>
      <c r="DO13" s="56">
        <f t="shared" si="29"/>
        <v>531</v>
      </c>
      <c r="DP13" s="56"/>
      <c r="DQ13" s="56"/>
      <c r="DR13" s="56"/>
      <c r="DS13" s="1">
        <v>2215</v>
      </c>
      <c r="DT13">
        <f t="shared" si="30"/>
        <v>774</v>
      </c>
      <c r="DX13" s="37">
        <v>1441</v>
      </c>
      <c r="DY13" s="34"/>
      <c r="DZ13" s="34"/>
      <c r="EA13" s="34"/>
      <c r="EB13" s="34"/>
      <c r="EC13" s="74">
        <v>2920</v>
      </c>
      <c r="ED13" s="73"/>
      <c r="EE13" s="73"/>
      <c r="EF13" s="73"/>
      <c r="EG13" s="73"/>
    </row>
    <row r="14" spans="4:137" x14ac:dyDescent="0.2">
      <c r="E14" s="29">
        <v>1528</v>
      </c>
      <c r="F14" s="28">
        <f t="shared" si="0"/>
        <v>-76</v>
      </c>
      <c r="G14" s="31">
        <v>0.1328</v>
      </c>
      <c r="H14" s="31">
        <v>2.76E-2</v>
      </c>
      <c r="I14" s="28">
        <f t="shared" si="1"/>
        <v>-2753.623188405797</v>
      </c>
      <c r="J14" s="55">
        <v>1633</v>
      </c>
      <c r="K14" s="56">
        <f t="shared" si="2"/>
        <v>29</v>
      </c>
      <c r="L14" s="58">
        <v>0.1298</v>
      </c>
      <c r="M14" s="58">
        <v>2.4199999999999999E-2</v>
      </c>
      <c r="N14" s="56">
        <f t="shared" si="3"/>
        <v>28.9758</v>
      </c>
      <c r="O14" s="29">
        <v>1664</v>
      </c>
      <c r="P14" s="28">
        <f t="shared" si="4"/>
        <v>60</v>
      </c>
      <c r="Q14" s="31">
        <v>0.1321</v>
      </c>
      <c r="R14" s="31">
        <v>2.679999999999999E-2</v>
      </c>
      <c r="S14" s="28">
        <f t="shared" si="5"/>
        <v>2238.8059701492543</v>
      </c>
      <c r="T14" s="55">
        <v>1703</v>
      </c>
      <c r="U14" s="56">
        <f t="shared" si="6"/>
        <v>3307</v>
      </c>
      <c r="V14" s="57">
        <v>0.13669999999999999</v>
      </c>
      <c r="W14" s="56">
        <v>3.1699999999999992E-2</v>
      </c>
      <c r="X14" s="56">
        <f t="shared" si="7"/>
        <v>104321.76656151422</v>
      </c>
      <c r="Y14" s="29">
        <v>2026</v>
      </c>
      <c r="Z14" s="28">
        <f t="shared" si="8"/>
        <v>422</v>
      </c>
      <c r="AA14" s="27">
        <v>0.13689999999999999</v>
      </c>
      <c r="AB14" s="28">
        <v>2.7499999999999997E-2</v>
      </c>
      <c r="AC14" s="28">
        <f t="shared" si="9"/>
        <v>15345.454545454548</v>
      </c>
      <c r="AD14" s="55">
        <v>1752</v>
      </c>
      <c r="AE14" s="56">
        <f t="shared" si="10"/>
        <v>148</v>
      </c>
      <c r="AF14" s="57">
        <v>0.15240000000000001</v>
      </c>
      <c r="AG14" s="56">
        <v>4.4100000000000014E-2</v>
      </c>
      <c r="AH14" s="56">
        <f t="shared" si="11"/>
        <v>3356.0090702947837</v>
      </c>
      <c r="AI14" s="7">
        <v>2213</v>
      </c>
      <c r="AJ14" s="7">
        <f t="shared" si="12"/>
        <v>609</v>
      </c>
      <c r="AK14" s="7">
        <v>0.1517</v>
      </c>
      <c r="AL14" s="7">
        <v>4.6600000000000003E-2</v>
      </c>
      <c r="AM14" s="7">
        <v>-3.0661547378505367</v>
      </c>
      <c r="AN14" s="32">
        <v>1604</v>
      </c>
      <c r="AO14" s="28"/>
      <c r="AP14" s="27">
        <v>0.1517</v>
      </c>
      <c r="AQ14" s="28">
        <v>4.6600000000000003E-2</v>
      </c>
      <c r="AR14" s="28">
        <f t="shared" si="13"/>
        <v>34420.6008583691</v>
      </c>
      <c r="AS14" s="55">
        <v>2817</v>
      </c>
      <c r="AT14" s="56">
        <f t="shared" si="14"/>
        <v>2816.8483000000001</v>
      </c>
      <c r="AU14" s="57">
        <v>0.1406</v>
      </c>
      <c r="AV14" s="56">
        <v>3.2799999999999996E-2</v>
      </c>
      <c r="AW14" s="55">
        <f t="shared" si="15"/>
        <v>85879.521341463435</v>
      </c>
      <c r="AX14" s="1">
        <v>1578</v>
      </c>
      <c r="AY14">
        <f t="shared" si="16"/>
        <v>116</v>
      </c>
      <c r="AZ14" s="11">
        <v>0.1048</v>
      </c>
      <c r="BA14">
        <f t="shared" si="17"/>
        <v>1106.8702290076335</v>
      </c>
      <c r="BB14" s="65">
        <v>1544</v>
      </c>
      <c r="BC14" s="64">
        <f t="shared" si="18"/>
        <v>82</v>
      </c>
      <c r="BD14" s="67">
        <v>0.13220000000000001</v>
      </c>
      <c r="BE14" s="67">
        <f t="shared" si="31"/>
        <v>0.13220000000000001</v>
      </c>
      <c r="BF14" s="64"/>
      <c r="BG14" s="29">
        <v>1628</v>
      </c>
      <c r="BH14" s="28">
        <f t="shared" si="19"/>
        <v>166</v>
      </c>
      <c r="BI14" s="31">
        <v>0.1343</v>
      </c>
      <c r="BJ14" s="31">
        <f t="shared" si="32"/>
        <v>0.1343</v>
      </c>
      <c r="BK14" s="28"/>
      <c r="BL14" s="35">
        <v>1752</v>
      </c>
      <c r="BM14" s="34">
        <f t="shared" si="20"/>
        <v>290</v>
      </c>
      <c r="BN14" s="33">
        <v>0.1404</v>
      </c>
      <c r="BO14" s="34">
        <f t="shared" si="33"/>
        <v>0.1404</v>
      </c>
      <c r="BP14" s="34"/>
      <c r="BQ14" s="29">
        <v>2178</v>
      </c>
      <c r="BR14" s="28">
        <f t="shared" si="21"/>
        <v>716</v>
      </c>
      <c r="BS14" s="27">
        <v>0.1404</v>
      </c>
      <c r="BT14" s="28">
        <f t="shared" si="34"/>
        <v>0.1404</v>
      </c>
      <c r="BU14" s="28"/>
      <c r="BV14" s="35">
        <v>2023</v>
      </c>
      <c r="BW14" s="34">
        <f t="shared" si="22"/>
        <v>561</v>
      </c>
      <c r="BX14" s="33">
        <v>0.15140000000000001</v>
      </c>
      <c r="BY14" s="34">
        <f t="shared" si="35"/>
        <v>0.15140000000000001</v>
      </c>
      <c r="BZ14" s="34"/>
      <c r="CA14" s="7">
        <v>2588</v>
      </c>
      <c r="CB14" s="7">
        <f t="shared" si="23"/>
        <v>1126</v>
      </c>
      <c r="CC14" s="7"/>
      <c r="CD14" s="7"/>
      <c r="CF14" s="32">
        <v>1462</v>
      </c>
      <c r="CG14" s="27">
        <v>0.15409999999999999</v>
      </c>
      <c r="CH14" s="28">
        <f t="shared" si="36"/>
        <v>0.15409999999999999</v>
      </c>
      <c r="CI14" s="28"/>
      <c r="CJ14" s="28"/>
      <c r="CK14" s="55">
        <v>2521</v>
      </c>
      <c r="CL14" s="57">
        <v>0.15110000000000001</v>
      </c>
      <c r="CM14" s="56">
        <f t="shared" si="37"/>
        <v>0.15110000000000001</v>
      </c>
      <c r="CN14" s="71"/>
      <c r="CO14" s="35">
        <v>1668</v>
      </c>
      <c r="CP14" s="34">
        <f t="shared" si="24"/>
        <v>226</v>
      </c>
      <c r="CQ14" s="36">
        <v>0.1517</v>
      </c>
      <c r="CR14" s="36">
        <f t="shared" si="38"/>
        <v>0.1517</v>
      </c>
      <c r="CS14" s="34"/>
      <c r="CT14" s="29">
        <v>1507</v>
      </c>
      <c r="CU14" s="28">
        <f t="shared" si="25"/>
        <v>65</v>
      </c>
      <c r="CV14" s="31">
        <v>0.14319999999999999</v>
      </c>
      <c r="CW14" s="31">
        <f t="shared" si="39"/>
        <v>0.14319999999999999</v>
      </c>
      <c r="CX14" s="28"/>
      <c r="CY14" s="55">
        <v>1512</v>
      </c>
      <c r="CZ14" s="56">
        <f t="shared" si="26"/>
        <v>70</v>
      </c>
      <c r="DA14" s="56">
        <f t="shared" si="40"/>
        <v>70</v>
      </c>
      <c r="DB14" s="56"/>
      <c r="DC14" s="56"/>
      <c r="DD14" s="35">
        <v>1655</v>
      </c>
      <c r="DE14" s="34">
        <f t="shared" si="27"/>
        <v>213</v>
      </c>
      <c r="DF14" s="34"/>
      <c r="DG14" s="34"/>
      <c r="DH14" s="34"/>
      <c r="DI14" s="65">
        <v>2163</v>
      </c>
      <c r="DJ14" s="64">
        <f t="shared" si="28"/>
        <v>721</v>
      </c>
      <c r="DK14" s="64"/>
      <c r="DL14" s="64"/>
      <c r="DM14" s="64"/>
      <c r="DN14" s="55">
        <v>2009</v>
      </c>
      <c r="DO14" s="56">
        <f t="shared" si="29"/>
        <v>567</v>
      </c>
      <c r="DP14" s="56"/>
      <c r="DQ14" s="56"/>
      <c r="DR14" s="56"/>
      <c r="DS14" s="1">
        <v>2327</v>
      </c>
      <c r="DT14">
        <f t="shared" si="30"/>
        <v>885</v>
      </c>
      <c r="DX14" s="37">
        <v>1442</v>
      </c>
      <c r="DY14" s="34"/>
      <c r="DZ14" s="34"/>
      <c r="EA14" s="34"/>
      <c r="EB14" s="34"/>
      <c r="EC14" s="74">
        <v>3059</v>
      </c>
      <c r="ED14" s="73"/>
      <c r="EE14" s="73"/>
      <c r="EF14" s="73"/>
      <c r="EG14" s="73"/>
    </row>
    <row r="15" spans="4:137" x14ac:dyDescent="0.2">
      <c r="E15" s="29">
        <v>1515</v>
      </c>
      <c r="F15" s="28">
        <f t="shared" si="0"/>
        <v>-101</v>
      </c>
      <c r="G15" s="31">
        <v>0.14460000000000001</v>
      </c>
      <c r="H15" s="31">
        <v>3.9400000000000004E-2</v>
      </c>
      <c r="I15" s="28">
        <f t="shared" si="1"/>
        <v>-2563.4517766497461</v>
      </c>
      <c r="J15" s="55">
        <v>1600</v>
      </c>
      <c r="K15" s="56">
        <f t="shared" si="2"/>
        <v>-16</v>
      </c>
      <c r="L15" s="58">
        <v>0.13900000000000001</v>
      </c>
      <c r="M15" s="58">
        <v>3.3400000000000013E-2</v>
      </c>
      <c r="N15" s="56">
        <f t="shared" si="3"/>
        <v>-16.0334</v>
      </c>
      <c r="O15" s="29">
        <v>1668</v>
      </c>
      <c r="P15" s="28">
        <f t="shared" si="4"/>
        <v>52</v>
      </c>
      <c r="Q15" s="31">
        <v>0.14349999999999999</v>
      </c>
      <c r="R15" s="31">
        <v>3.8199999999999984E-2</v>
      </c>
      <c r="S15" s="28">
        <f t="shared" si="5"/>
        <v>1361.2565445026185</v>
      </c>
      <c r="T15" s="55">
        <v>1661</v>
      </c>
      <c r="U15" s="56">
        <f t="shared" si="6"/>
        <v>3277</v>
      </c>
      <c r="V15" s="57">
        <v>0.1477</v>
      </c>
      <c r="W15" s="56">
        <v>4.2700000000000002E-2</v>
      </c>
      <c r="X15" s="56">
        <f t="shared" si="7"/>
        <v>76744.730679156899</v>
      </c>
      <c r="Y15" s="29">
        <v>2055</v>
      </c>
      <c r="Z15" s="28">
        <f t="shared" si="8"/>
        <v>439</v>
      </c>
      <c r="AA15" s="27">
        <v>0.1487</v>
      </c>
      <c r="AB15" s="28">
        <v>3.9300000000000002E-2</v>
      </c>
      <c r="AC15" s="28">
        <f t="shared" si="9"/>
        <v>11170.483460559795</v>
      </c>
      <c r="AD15" s="55">
        <v>1790</v>
      </c>
      <c r="AE15" s="56">
        <f t="shared" si="10"/>
        <v>174</v>
      </c>
      <c r="AF15" s="57">
        <v>0.16839999999999999</v>
      </c>
      <c r="AG15" s="56">
        <v>6.0100000000000001E-2</v>
      </c>
      <c r="AH15" s="56">
        <f t="shared" si="11"/>
        <v>2895.1747088186357</v>
      </c>
      <c r="AI15" s="7">
        <v>2228</v>
      </c>
      <c r="AJ15" s="7">
        <f t="shared" si="12"/>
        <v>612</v>
      </c>
      <c r="AK15" s="7">
        <v>0.1731</v>
      </c>
      <c r="AL15" s="7">
        <v>6.8000000000000005E-2</v>
      </c>
      <c r="AM15" s="7">
        <v>-2.6882475738060303</v>
      </c>
      <c r="AN15" s="32">
        <v>1616</v>
      </c>
      <c r="AO15" s="28"/>
      <c r="AP15" s="27">
        <v>0.1731</v>
      </c>
      <c r="AQ15" s="28">
        <v>6.8000000000000005E-2</v>
      </c>
      <c r="AR15" s="28">
        <f t="shared" si="13"/>
        <v>23764.705882352941</v>
      </c>
      <c r="AS15" s="55">
        <v>2828</v>
      </c>
      <c r="AT15" s="56">
        <f t="shared" si="14"/>
        <v>2827.8269</v>
      </c>
      <c r="AU15" s="57">
        <v>0.16309999999999999</v>
      </c>
      <c r="AV15" s="56">
        <v>5.5299999999999988E-2</v>
      </c>
      <c r="AW15" s="55">
        <f t="shared" si="15"/>
        <v>51136.110307414114</v>
      </c>
      <c r="AX15" s="1">
        <v>1568</v>
      </c>
      <c r="AY15">
        <f t="shared" si="16"/>
        <v>139</v>
      </c>
      <c r="AZ15" s="11">
        <v>0.107</v>
      </c>
      <c r="BA15">
        <f t="shared" si="17"/>
        <v>1299.0654205607477</v>
      </c>
      <c r="BB15" s="65">
        <v>1501</v>
      </c>
      <c r="BC15" s="64">
        <f t="shared" si="18"/>
        <v>72</v>
      </c>
      <c r="BD15" s="67">
        <v>0.1462</v>
      </c>
      <c r="BE15" s="67">
        <f t="shared" si="31"/>
        <v>0.1462</v>
      </c>
      <c r="BF15" s="64"/>
      <c r="BG15" s="29">
        <v>1630</v>
      </c>
      <c r="BH15" s="28">
        <f t="shared" si="19"/>
        <v>201</v>
      </c>
      <c r="BI15" s="31">
        <v>0.14810000000000001</v>
      </c>
      <c r="BJ15" s="31">
        <f t="shared" si="32"/>
        <v>0.14810000000000001</v>
      </c>
      <c r="BK15" s="28"/>
      <c r="BL15" s="35">
        <v>1723</v>
      </c>
      <c r="BM15" s="34">
        <f t="shared" si="20"/>
        <v>294</v>
      </c>
      <c r="BN15" s="33">
        <v>0.15659999999999999</v>
      </c>
      <c r="BO15" s="34">
        <f t="shared" si="33"/>
        <v>0.15659999999999999</v>
      </c>
      <c r="BP15" s="34"/>
      <c r="BQ15" s="29">
        <v>2208</v>
      </c>
      <c r="BR15" s="28">
        <f t="shared" si="21"/>
        <v>779</v>
      </c>
      <c r="BS15" s="27">
        <v>0.15459999999999999</v>
      </c>
      <c r="BT15" s="28">
        <f t="shared" si="34"/>
        <v>0.15459999999999999</v>
      </c>
      <c r="BU15" s="28"/>
      <c r="BV15" s="35">
        <v>2009</v>
      </c>
      <c r="BW15" s="34">
        <f t="shared" si="22"/>
        <v>580</v>
      </c>
      <c r="BX15" s="33">
        <v>0.16889999999999999</v>
      </c>
      <c r="BY15" s="34">
        <f t="shared" si="35"/>
        <v>0.16889999999999999</v>
      </c>
      <c r="BZ15" s="34"/>
      <c r="CA15" s="7">
        <v>2609</v>
      </c>
      <c r="CB15" s="7">
        <f t="shared" si="23"/>
        <v>1180</v>
      </c>
      <c r="CC15" s="7"/>
      <c r="CD15" s="7"/>
      <c r="CF15" s="32">
        <v>1429</v>
      </c>
      <c r="CG15" s="27">
        <v>0.18079999999999999</v>
      </c>
      <c r="CH15" s="28">
        <f t="shared" si="36"/>
        <v>0.18079999999999999</v>
      </c>
      <c r="CI15" s="28"/>
      <c r="CJ15" s="28"/>
      <c r="CK15" s="55">
        <v>2604</v>
      </c>
      <c r="CL15" s="57">
        <v>0.1769</v>
      </c>
      <c r="CM15" s="56">
        <f t="shared" si="37"/>
        <v>0.1769</v>
      </c>
      <c r="CN15" s="71"/>
      <c r="CO15" s="35">
        <v>1686</v>
      </c>
      <c r="CP15" s="34">
        <f t="shared" si="24"/>
        <v>243</v>
      </c>
      <c r="CQ15" s="36">
        <v>0.16930000000000001</v>
      </c>
      <c r="CR15" s="36">
        <f t="shared" si="38"/>
        <v>0.16930000000000001</v>
      </c>
      <c r="CS15" s="34"/>
      <c r="CT15" s="29">
        <v>1488</v>
      </c>
      <c r="CU15" s="28">
        <f t="shared" si="25"/>
        <v>45</v>
      </c>
      <c r="CV15" s="31">
        <v>0.16439999999999999</v>
      </c>
      <c r="CW15" s="31">
        <f t="shared" si="39"/>
        <v>0.16439999999999999</v>
      </c>
      <c r="CX15" s="28"/>
      <c r="CY15" s="55">
        <v>1508</v>
      </c>
      <c r="CZ15" s="56">
        <f t="shared" si="26"/>
        <v>65</v>
      </c>
      <c r="DA15" s="56">
        <f t="shared" si="40"/>
        <v>65</v>
      </c>
      <c r="DB15" s="56"/>
      <c r="DC15" s="56"/>
      <c r="DD15" s="35">
        <v>1651</v>
      </c>
      <c r="DE15" s="34">
        <f t="shared" si="27"/>
        <v>208</v>
      </c>
      <c r="DF15" s="34"/>
      <c r="DG15" s="34"/>
      <c r="DH15" s="34"/>
      <c r="DI15" s="65">
        <v>2196</v>
      </c>
      <c r="DJ15" s="64">
        <f t="shared" si="28"/>
        <v>753</v>
      </c>
      <c r="DK15" s="64"/>
      <c r="DL15" s="64"/>
      <c r="DM15" s="64"/>
      <c r="DN15" s="55">
        <v>2027</v>
      </c>
      <c r="DO15" s="56">
        <f t="shared" si="29"/>
        <v>584</v>
      </c>
      <c r="DP15" s="56"/>
      <c r="DQ15" s="56"/>
      <c r="DR15" s="56"/>
      <c r="DS15" s="1">
        <v>2466</v>
      </c>
      <c r="DT15">
        <f t="shared" si="30"/>
        <v>1023</v>
      </c>
      <c r="DX15" s="37">
        <v>1443</v>
      </c>
      <c r="DY15" s="34"/>
      <c r="DZ15" s="34"/>
      <c r="EA15" s="34"/>
      <c r="EB15" s="34"/>
      <c r="EC15" s="74">
        <v>3264</v>
      </c>
      <c r="ED15" s="73"/>
      <c r="EE15" s="73"/>
      <c r="EF15" s="73"/>
      <c r="EG15" s="73"/>
    </row>
    <row r="16" spans="4:137" x14ac:dyDescent="0.2">
      <c r="E16" s="29">
        <v>1568</v>
      </c>
      <c r="F16" s="28">
        <f t="shared" si="0"/>
        <v>-17</v>
      </c>
      <c r="G16" s="32">
        <v>0.15570000000000001</v>
      </c>
      <c r="H16" s="32">
        <v>5.0500000000000003E-2</v>
      </c>
      <c r="I16" s="52">
        <f t="shared" si="1"/>
        <v>-336.63366336633663</v>
      </c>
      <c r="J16" s="55">
        <v>1620</v>
      </c>
      <c r="K16" s="56">
        <f t="shared" si="2"/>
        <v>35</v>
      </c>
      <c r="L16" s="59">
        <v>0.14899999999999999</v>
      </c>
      <c r="M16" s="59">
        <v>4.3399999999999994E-2</v>
      </c>
      <c r="N16" s="54">
        <f t="shared" si="3"/>
        <v>34.956600000000002</v>
      </c>
      <c r="O16" s="29">
        <v>1676</v>
      </c>
      <c r="P16" s="28">
        <f t="shared" si="4"/>
        <v>91</v>
      </c>
      <c r="Q16" s="32">
        <v>0.15229999999999999</v>
      </c>
      <c r="R16" s="32">
        <v>4.6999999999999986E-2</v>
      </c>
      <c r="S16" s="52">
        <f t="shared" si="5"/>
        <v>1936.170212765958</v>
      </c>
      <c r="T16" s="55">
        <v>1732</v>
      </c>
      <c r="U16" s="56">
        <f t="shared" si="6"/>
        <v>3317</v>
      </c>
      <c r="V16" s="59">
        <v>0.1552</v>
      </c>
      <c r="W16" s="59">
        <v>5.0200000000000009E-2</v>
      </c>
      <c r="X16" s="54">
        <f t="shared" si="7"/>
        <v>66075.697211155362</v>
      </c>
      <c r="Y16" s="29">
        <v>2144</v>
      </c>
      <c r="Z16" s="28">
        <f t="shared" si="8"/>
        <v>559</v>
      </c>
      <c r="AA16" s="32">
        <v>0.1547</v>
      </c>
      <c r="AB16" s="32">
        <v>4.5300000000000007E-2</v>
      </c>
      <c r="AC16" s="52">
        <f t="shared" si="9"/>
        <v>12339.955849889622</v>
      </c>
      <c r="AD16" s="55">
        <v>1827</v>
      </c>
      <c r="AE16" s="56">
        <f t="shared" si="10"/>
        <v>242</v>
      </c>
      <c r="AF16" s="59">
        <v>0.18110000000000001</v>
      </c>
      <c r="AG16" s="59">
        <v>7.2800000000000017E-2</v>
      </c>
      <c r="AH16" s="54">
        <f t="shared" si="11"/>
        <v>3324.1758241758234</v>
      </c>
      <c r="AI16" s="7">
        <v>2334</v>
      </c>
      <c r="AJ16" s="7">
        <f t="shared" si="12"/>
        <v>749</v>
      </c>
      <c r="AK16" s="7">
        <v>0.1835</v>
      </c>
      <c r="AL16" s="7">
        <v>7.8399999999999997E-2</v>
      </c>
      <c r="AM16" s="7">
        <v>-2.5459313516257751</v>
      </c>
      <c r="AN16" s="32">
        <v>1585</v>
      </c>
      <c r="AO16" s="28"/>
      <c r="AP16" s="32">
        <v>0.1835</v>
      </c>
      <c r="AQ16" s="32">
        <v>7.8399999999999997E-2</v>
      </c>
      <c r="AR16" s="28">
        <f t="shared" si="13"/>
        <v>20216.836734693879</v>
      </c>
      <c r="AS16" s="55">
        <v>3037</v>
      </c>
      <c r="AT16" s="56">
        <f t="shared" si="14"/>
        <v>3036.8164999999999</v>
      </c>
      <c r="AU16" s="59">
        <v>0.1666</v>
      </c>
      <c r="AV16" s="59">
        <v>5.8799999999999991E-2</v>
      </c>
      <c r="AW16" s="55">
        <f t="shared" si="15"/>
        <v>51646.539115646265</v>
      </c>
      <c r="AX16" s="1">
        <v>1598</v>
      </c>
      <c r="AY16">
        <f t="shared" si="16"/>
        <v>128</v>
      </c>
      <c r="AZ16" s="10">
        <v>0.10920000000000001</v>
      </c>
      <c r="BA16">
        <f t="shared" si="17"/>
        <v>1172.1611721611721</v>
      </c>
      <c r="BB16" s="65">
        <v>1534</v>
      </c>
      <c r="BC16" s="64">
        <f t="shared" si="18"/>
        <v>64</v>
      </c>
      <c r="BD16" s="68">
        <v>0.1585</v>
      </c>
      <c r="BE16" s="68">
        <f t="shared" si="31"/>
        <v>0.1585</v>
      </c>
      <c r="BF16" s="64"/>
      <c r="BG16" s="29">
        <v>1686</v>
      </c>
      <c r="BH16" s="28">
        <f t="shared" si="19"/>
        <v>216</v>
      </c>
      <c r="BI16" s="32">
        <v>0.15989999999999999</v>
      </c>
      <c r="BJ16" s="32">
        <f t="shared" si="32"/>
        <v>0.15989999999999999</v>
      </c>
      <c r="BK16" s="28"/>
      <c r="BL16" s="35">
        <v>1769</v>
      </c>
      <c r="BM16" s="34">
        <f t="shared" si="20"/>
        <v>299</v>
      </c>
      <c r="BN16" s="37">
        <v>0.1706</v>
      </c>
      <c r="BO16" s="37">
        <f t="shared" si="33"/>
        <v>0.1706</v>
      </c>
      <c r="BP16" s="34"/>
      <c r="BQ16" s="29">
        <v>2317</v>
      </c>
      <c r="BR16" s="28">
        <f t="shared" si="21"/>
        <v>847</v>
      </c>
      <c r="BS16" s="32">
        <v>0.16650000000000001</v>
      </c>
      <c r="BT16" s="32">
        <f t="shared" si="34"/>
        <v>0.16650000000000001</v>
      </c>
      <c r="BU16" s="28"/>
      <c r="BV16" s="35">
        <v>2091</v>
      </c>
      <c r="BW16" s="34">
        <f t="shared" si="22"/>
        <v>621</v>
      </c>
      <c r="BX16" s="37">
        <v>0.18440000000000001</v>
      </c>
      <c r="BY16" s="37">
        <f t="shared" si="35"/>
        <v>0.18440000000000001</v>
      </c>
      <c r="BZ16" s="34"/>
      <c r="CA16" s="7">
        <v>2749</v>
      </c>
      <c r="CB16" s="7">
        <f t="shared" si="23"/>
        <v>1279</v>
      </c>
      <c r="CC16" s="7"/>
      <c r="CD16" s="7"/>
      <c r="CF16" s="32">
        <v>1470</v>
      </c>
      <c r="CG16" s="32">
        <v>0.2044</v>
      </c>
      <c r="CH16" s="32">
        <f t="shared" si="36"/>
        <v>0.2044</v>
      </c>
      <c r="CI16" s="28"/>
      <c r="CJ16" s="28"/>
      <c r="CK16" s="55">
        <v>2913</v>
      </c>
      <c r="CL16" s="59">
        <v>0.20169999999999999</v>
      </c>
      <c r="CM16" s="59">
        <f t="shared" si="37"/>
        <v>0.20169999999999999</v>
      </c>
      <c r="CN16" s="71"/>
      <c r="CO16" s="35">
        <v>1739</v>
      </c>
      <c r="CP16" s="34">
        <f t="shared" si="24"/>
        <v>277</v>
      </c>
      <c r="CQ16" s="37">
        <v>0.1925</v>
      </c>
      <c r="CR16" s="37">
        <f t="shared" si="38"/>
        <v>0.1925</v>
      </c>
      <c r="CS16" s="34"/>
      <c r="CT16" s="29">
        <v>1508</v>
      </c>
      <c r="CU16" s="28">
        <f t="shared" si="25"/>
        <v>46</v>
      </c>
      <c r="CV16" s="32">
        <v>0.184</v>
      </c>
      <c r="CW16" s="32">
        <f t="shared" si="39"/>
        <v>0.184</v>
      </c>
      <c r="CX16" s="28"/>
      <c r="CY16" s="55">
        <v>1534</v>
      </c>
      <c r="CZ16" s="56">
        <f t="shared" si="26"/>
        <v>72</v>
      </c>
      <c r="DA16" s="59">
        <f t="shared" si="40"/>
        <v>72</v>
      </c>
      <c r="DB16" s="56"/>
      <c r="DC16" s="56"/>
      <c r="DD16" s="35">
        <v>1689</v>
      </c>
      <c r="DE16" s="34">
        <f t="shared" si="27"/>
        <v>227</v>
      </c>
      <c r="DF16" s="34"/>
      <c r="DG16" s="34"/>
      <c r="DH16" s="34"/>
      <c r="DI16" s="65">
        <v>2344</v>
      </c>
      <c r="DJ16" s="64">
        <f t="shared" si="28"/>
        <v>882</v>
      </c>
      <c r="DK16" s="64"/>
      <c r="DL16" s="64"/>
      <c r="DM16" s="64"/>
      <c r="DN16" s="55">
        <v>2140</v>
      </c>
      <c r="DO16" s="56">
        <f t="shared" si="29"/>
        <v>678</v>
      </c>
      <c r="DP16" s="56"/>
      <c r="DQ16" s="56"/>
      <c r="DR16" s="56"/>
      <c r="DS16" s="1">
        <v>2660</v>
      </c>
      <c r="DT16">
        <f t="shared" si="30"/>
        <v>1198</v>
      </c>
      <c r="DX16" s="37">
        <v>1462</v>
      </c>
      <c r="DY16" s="34"/>
      <c r="DZ16" s="34"/>
      <c r="EA16" s="34"/>
      <c r="EB16" s="34"/>
      <c r="EC16" s="74">
        <v>3644</v>
      </c>
      <c r="ED16" s="73"/>
      <c r="EE16" s="73"/>
      <c r="EF16" s="73"/>
      <c r="EG16" s="73"/>
    </row>
    <row r="17" spans="5:137" x14ac:dyDescent="0.2">
      <c r="E17" s="29">
        <v>1583</v>
      </c>
      <c r="F17" s="28">
        <f t="shared" si="0"/>
        <v>0</v>
      </c>
      <c r="G17" s="31">
        <v>0.18540000000000001</v>
      </c>
      <c r="H17" s="31">
        <v>8.0200000000000007E-2</v>
      </c>
      <c r="I17" s="52">
        <f t="shared" si="1"/>
        <v>0</v>
      </c>
      <c r="J17" s="55">
        <v>1626</v>
      </c>
      <c r="K17" s="56">
        <f t="shared" si="2"/>
        <v>43</v>
      </c>
      <c r="L17" s="58">
        <v>0.1744</v>
      </c>
      <c r="M17" s="58">
        <v>6.88E-2</v>
      </c>
      <c r="N17" s="54">
        <f t="shared" si="3"/>
        <v>42.931199999999997</v>
      </c>
      <c r="O17" s="29">
        <v>1694</v>
      </c>
      <c r="P17" s="28">
        <f t="shared" si="4"/>
        <v>111</v>
      </c>
      <c r="Q17" s="31">
        <v>0.17799999999999999</v>
      </c>
      <c r="R17" s="31">
        <v>7.2699999999999987E-2</v>
      </c>
      <c r="S17" s="52">
        <f t="shared" si="5"/>
        <v>1526.8225584594225</v>
      </c>
      <c r="T17" s="55">
        <v>1707</v>
      </c>
      <c r="U17" s="56">
        <f t="shared" si="6"/>
        <v>3290</v>
      </c>
      <c r="V17" s="57">
        <v>0.18110000000000001</v>
      </c>
      <c r="W17" s="56">
        <v>7.6100000000000015E-2</v>
      </c>
      <c r="X17" s="54">
        <f t="shared" si="7"/>
        <v>43232.588699080152</v>
      </c>
      <c r="Y17" s="29">
        <v>2244</v>
      </c>
      <c r="Z17" s="28">
        <f t="shared" si="8"/>
        <v>661</v>
      </c>
      <c r="AA17" s="27">
        <v>0.1817</v>
      </c>
      <c r="AB17" s="28">
        <v>7.2300000000000003E-2</v>
      </c>
      <c r="AC17" s="52">
        <f t="shared" si="9"/>
        <v>9142.4619640387264</v>
      </c>
      <c r="AD17" s="55">
        <v>1911</v>
      </c>
      <c r="AE17" s="56">
        <f t="shared" si="10"/>
        <v>328</v>
      </c>
      <c r="AF17" s="57">
        <v>0.21479999999999999</v>
      </c>
      <c r="AG17" s="56">
        <v>0.1065</v>
      </c>
      <c r="AH17" s="54">
        <f t="shared" si="11"/>
        <v>3079.8122065727698</v>
      </c>
      <c r="AI17" s="7">
        <v>2454</v>
      </c>
      <c r="AJ17" s="7">
        <f t="shared" si="12"/>
        <v>871</v>
      </c>
      <c r="AK17" s="7">
        <v>0.2276</v>
      </c>
      <c r="AL17" s="7">
        <v>0.1225</v>
      </c>
      <c r="AM17" s="7">
        <v>-2.0996442489973552</v>
      </c>
      <c r="AN17" s="32">
        <v>1583</v>
      </c>
      <c r="AO17" s="28"/>
      <c r="AP17" s="27">
        <v>0.2276</v>
      </c>
      <c r="AQ17" s="28">
        <v>0.1225</v>
      </c>
      <c r="AR17" s="28">
        <f t="shared" si="13"/>
        <v>12922.448979591836</v>
      </c>
      <c r="AS17" s="55">
        <v>3175</v>
      </c>
      <c r="AT17" s="56">
        <f t="shared" si="14"/>
        <v>3174.7723999999998</v>
      </c>
      <c r="AU17" s="57">
        <v>0.2087</v>
      </c>
      <c r="AV17" s="56">
        <v>0.10089999999999999</v>
      </c>
      <c r="AW17" s="55">
        <f t="shared" si="15"/>
        <v>31464.543111992072</v>
      </c>
      <c r="AX17" s="1">
        <v>1577</v>
      </c>
      <c r="AY17">
        <f t="shared" si="16"/>
        <v>124</v>
      </c>
      <c r="AZ17" s="11">
        <v>0.1138</v>
      </c>
      <c r="BA17">
        <f t="shared" si="17"/>
        <v>1089.6309314586995</v>
      </c>
      <c r="BB17" s="65">
        <v>1578</v>
      </c>
      <c r="BC17" s="64">
        <f t="shared" si="18"/>
        <v>125</v>
      </c>
      <c r="BD17" s="67">
        <v>0.18820000000000001</v>
      </c>
      <c r="BE17" s="67">
        <f t="shared" si="31"/>
        <v>0.18820000000000001</v>
      </c>
      <c r="BF17" s="64"/>
      <c r="BG17" s="29">
        <v>1674</v>
      </c>
      <c r="BH17" s="28">
        <f t="shared" si="19"/>
        <v>221</v>
      </c>
      <c r="BI17" s="31">
        <v>0.18970000000000001</v>
      </c>
      <c r="BJ17" s="31">
        <f t="shared" si="32"/>
        <v>0.18970000000000001</v>
      </c>
      <c r="BK17" s="28"/>
      <c r="BL17" s="35">
        <v>1781</v>
      </c>
      <c r="BM17" s="34">
        <f t="shared" si="20"/>
        <v>328</v>
      </c>
      <c r="BN17" s="33">
        <v>0.20469999999999999</v>
      </c>
      <c r="BO17" s="34">
        <f t="shared" si="33"/>
        <v>0.20469999999999999</v>
      </c>
      <c r="BP17" s="34"/>
      <c r="BQ17" s="29">
        <v>2412</v>
      </c>
      <c r="BR17" s="28">
        <f t="shared" si="21"/>
        <v>959</v>
      </c>
      <c r="BS17" s="27">
        <v>0.19839999999999999</v>
      </c>
      <c r="BT17" s="28">
        <f t="shared" si="34"/>
        <v>0.19839999999999999</v>
      </c>
      <c r="BU17" s="28"/>
      <c r="BV17" s="35">
        <v>2195</v>
      </c>
      <c r="BW17" s="34">
        <f t="shared" si="22"/>
        <v>742</v>
      </c>
      <c r="BX17" s="33">
        <v>0.22370000000000001</v>
      </c>
      <c r="BY17" s="34">
        <f t="shared" si="35"/>
        <v>0.22370000000000001</v>
      </c>
      <c r="BZ17" s="34"/>
      <c r="CA17" s="7">
        <v>2964</v>
      </c>
      <c r="CB17" s="7">
        <f t="shared" si="23"/>
        <v>1511</v>
      </c>
      <c r="CC17" s="7"/>
      <c r="CD17" s="7"/>
      <c r="CF17" s="32">
        <v>1453</v>
      </c>
      <c r="CG17" s="27">
        <v>0.26229999999999998</v>
      </c>
      <c r="CH17" s="28">
        <f t="shared" si="36"/>
        <v>0.26229999999999998</v>
      </c>
      <c r="CI17" s="28"/>
      <c r="CJ17" s="28"/>
      <c r="CK17" s="55">
        <v>3185</v>
      </c>
      <c r="CL17" s="57">
        <v>0.26100000000000001</v>
      </c>
      <c r="CM17" s="56">
        <f t="shared" si="37"/>
        <v>0.26100000000000001</v>
      </c>
      <c r="CN17" s="71"/>
      <c r="CO17" s="35">
        <v>1789</v>
      </c>
      <c r="CP17" s="34">
        <f t="shared" si="24"/>
        <v>325</v>
      </c>
      <c r="CQ17" s="36">
        <v>0.24579999999999999</v>
      </c>
      <c r="CR17" s="36">
        <f t="shared" si="38"/>
        <v>0.24579999999999999</v>
      </c>
      <c r="CS17" s="34"/>
      <c r="CT17" s="29">
        <v>1524</v>
      </c>
      <c r="CU17" s="28">
        <f t="shared" si="25"/>
        <v>60</v>
      </c>
      <c r="CV17" s="31">
        <v>0.22700000000000001</v>
      </c>
      <c r="CW17" s="31">
        <f t="shared" si="39"/>
        <v>0.22700000000000001</v>
      </c>
      <c r="CX17" s="28"/>
      <c r="CY17" s="55">
        <v>1574</v>
      </c>
      <c r="CZ17" s="56">
        <f t="shared" si="26"/>
        <v>110</v>
      </c>
      <c r="DA17" s="56">
        <f t="shared" si="40"/>
        <v>110</v>
      </c>
      <c r="DB17" s="56"/>
      <c r="DC17" s="56"/>
      <c r="DD17" s="35">
        <v>1696</v>
      </c>
      <c r="DE17" s="34">
        <f t="shared" si="27"/>
        <v>232</v>
      </c>
      <c r="DF17" s="34"/>
      <c r="DG17" s="34"/>
      <c r="DH17" s="34"/>
      <c r="DI17" s="65">
        <v>2512</v>
      </c>
      <c r="DJ17" s="64">
        <f t="shared" si="28"/>
        <v>1048</v>
      </c>
      <c r="DK17" s="64"/>
      <c r="DL17" s="64"/>
      <c r="DM17" s="64"/>
      <c r="DN17" s="55">
        <v>2277</v>
      </c>
      <c r="DO17" s="56">
        <f t="shared" si="29"/>
        <v>813</v>
      </c>
      <c r="DP17" s="56"/>
      <c r="DQ17" s="56"/>
      <c r="DR17" s="56"/>
      <c r="DS17" s="1">
        <v>2905</v>
      </c>
      <c r="DT17">
        <f t="shared" si="30"/>
        <v>1441</v>
      </c>
      <c r="DX17" s="37">
        <v>1464</v>
      </c>
      <c r="DY17" s="34"/>
      <c r="DZ17" s="34"/>
      <c r="EA17" s="34"/>
      <c r="EB17" s="34"/>
      <c r="EC17" s="74">
        <v>4098</v>
      </c>
      <c r="ED17" s="73"/>
      <c r="EE17" s="73"/>
      <c r="EF17" s="73"/>
      <c r="EG17" s="73"/>
    </row>
    <row r="18" spans="5:137" x14ac:dyDescent="0.2">
      <c r="E18" s="29">
        <v>1627</v>
      </c>
      <c r="F18" s="28">
        <f t="shared" si="0"/>
        <v>3</v>
      </c>
      <c r="G18" s="27">
        <v>0.22090000000000001</v>
      </c>
      <c r="H18" s="28">
        <v>0.11570000000000001</v>
      </c>
      <c r="I18" s="52">
        <f>F18/H18</f>
        <v>25.929127052722556</v>
      </c>
      <c r="J18" s="55">
        <v>1620</v>
      </c>
      <c r="K18" s="56">
        <f t="shared" si="2"/>
        <v>-4</v>
      </c>
      <c r="L18" s="57">
        <v>0.20280000000000001</v>
      </c>
      <c r="M18" s="56">
        <v>9.7200000000000009E-2</v>
      </c>
      <c r="N18" s="54">
        <f t="shared" si="3"/>
        <v>-4.0972</v>
      </c>
      <c r="O18" s="29">
        <v>1754</v>
      </c>
      <c r="P18" s="28">
        <f t="shared" si="4"/>
        <v>130</v>
      </c>
      <c r="Q18" s="27">
        <v>0.20910000000000001</v>
      </c>
      <c r="R18" s="28">
        <v>0.1038</v>
      </c>
      <c r="S18" s="52">
        <f t="shared" si="5"/>
        <v>1252.4084778420038</v>
      </c>
      <c r="T18" s="55">
        <v>1800</v>
      </c>
      <c r="U18" s="56">
        <f t="shared" si="6"/>
        <v>3424</v>
      </c>
      <c r="V18" s="57">
        <v>0.21029999999999999</v>
      </c>
      <c r="W18" s="56">
        <v>0.10529999999999999</v>
      </c>
      <c r="X18" s="54">
        <f t="shared" si="7"/>
        <v>32516.619183285853</v>
      </c>
      <c r="Y18" s="29">
        <v>2364</v>
      </c>
      <c r="Z18" s="28">
        <f t="shared" si="8"/>
        <v>740</v>
      </c>
      <c r="AA18" s="27">
        <v>0.2089</v>
      </c>
      <c r="AB18" s="28">
        <v>9.9500000000000005E-2</v>
      </c>
      <c r="AC18" s="52">
        <f t="shared" si="9"/>
        <v>7437.1859296482407</v>
      </c>
      <c r="AD18" s="55">
        <v>1995</v>
      </c>
      <c r="AE18" s="56">
        <f t="shared" si="10"/>
        <v>371</v>
      </c>
      <c r="AF18" s="57">
        <v>0.25240000000000001</v>
      </c>
      <c r="AG18" s="56">
        <v>0.14410000000000001</v>
      </c>
      <c r="AH18" s="54">
        <f t="shared" si="11"/>
        <v>2574.6009715475361</v>
      </c>
      <c r="AI18" s="7">
        <v>2583</v>
      </c>
      <c r="AJ18" s="7">
        <f t="shared" si="12"/>
        <v>959</v>
      </c>
      <c r="AK18" s="7">
        <v>0.26240000000000002</v>
      </c>
      <c r="AL18" s="7">
        <v>0.15730000000000002</v>
      </c>
      <c r="AM18" s="7">
        <v>-1.8496004689179049</v>
      </c>
      <c r="AN18" s="32">
        <v>1624</v>
      </c>
      <c r="AO18" s="28"/>
      <c r="AP18" s="27">
        <v>0.26240000000000002</v>
      </c>
      <c r="AQ18" s="28">
        <v>0.15730000000000002</v>
      </c>
      <c r="AR18" s="28">
        <f t="shared" si="13"/>
        <v>10324.221233312141</v>
      </c>
      <c r="AS18" s="55">
        <v>3379</v>
      </c>
      <c r="AT18" s="56">
        <f t="shared" si="14"/>
        <v>3378.7375999999999</v>
      </c>
      <c r="AU18" s="57">
        <v>0.2414</v>
      </c>
      <c r="AV18" s="56">
        <v>0.1336</v>
      </c>
      <c r="AW18" s="55">
        <f t="shared" si="15"/>
        <v>25289.952095808385</v>
      </c>
      <c r="AX18" s="1">
        <v>1614</v>
      </c>
      <c r="AY18">
        <f t="shared" si="16"/>
        <v>126</v>
      </c>
      <c r="AZ18" s="8">
        <v>0.12180000000000001</v>
      </c>
      <c r="BA18">
        <f t="shared" si="17"/>
        <v>1034.4827586206895</v>
      </c>
      <c r="BB18" s="65">
        <v>1549</v>
      </c>
      <c r="BC18" s="64">
        <f t="shared" si="18"/>
        <v>61</v>
      </c>
      <c r="BD18" s="66">
        <v>0.23350000000000001</v>
      </c>
      <c r="BE18" s="64">
        <f t="shared" si="31"/>
        <v>0.23350000000000001</v>
      </c>
      <c r="BF18" s="64"/>
      <c r="BG18" s="29">
        <v>1723</v>
      </c>
      <c r="BH18" s="28">
        <f t="shared" si="19"/>
        <v>235</v>
      </c>
      <c r="BI18" s="27">
        <v>0.23230000000000001</v>
      </c>
      <c r="BJ18" s="28">
        <f t="shared" si="32"/>
        <v>0.23230000000000001</v>
      </c>
      <c r="BK18" s="28"/>
      <c r="BL18" s="35">
        <v>1842</v>
      </c>
      <c r="BM18" s="34">
        <f t="shared" si="20"/>
        <v>354</v>
      </c>
      <c r="BN18" s="33">
        <v>0.24990000000000001</v>
      </c>
      <c r="BO18" s="34">
        <f t="shared" si="33"/>
        <v>0.24990000000000001</v>
      </c>
      <c r="BP18" s="34"/>
      <c r="BQ18" s="29">
        <v>2623</v>
      </c>
      <c r="BR18" s="28">
        <f t="shared" si="21"/>
        <v>1135</v>
      </c>
      <c r="BS18" s="27">
        <v>0.23630000000000001</v>
      </c>
      <c r="BT18" s="28">
        <f t="shared" si="34"/>
        <v>0.23630000000000001</v>
      </c>
      <c r="BU18" s="28"/>
      <c r="BV18" s="35">
        <v>2329</v>
      </c>
      <c r="BW18" s="34">
        <f t="shared" si="22"/>
        <v>841</v>
      </c>
      <c r="BX18" s="33">
        <v>0.2702</v>
      </c>
      <c r="BY18" s="34">
        <f t="shared" si="35"/>
        <v>0.2702</v>
      </c>
      <c r="BZ18" s="34"/>
      <c r="CA18" s="7">
        <v>3186</v>
      </c>
      <c r="CB18" s="7">
        <f t="shared" si="23"/>
        <v>1698</v>
      </c>
      <c r="CC18" s="7"/>
      <c r="CD18" s="7"/>
      <c r="CF18" s="32">
        <v>1488</v>
      </c>
      <c r="CG18" s="27">
        <v>0.3039</v>
      </c>
      <c r="CH18" s="28">
        <f t="shared" si="36"/>
        <v>0.3039</v>
      </c>
      <c r="CI18" s="28"/>
      <c r="CJ18" s="28"/>
      <c r="CK18" s="55">
        <v>3425</v>
      </c>
      <c r="CL18" s="57">
        <v>0.30499999999999999</v>
      </c>
      <c r="CM18" s="56">
        <f t="shared" si="37"/>
        <v>0.30499999999999999</v>
      </c>
      <c r="CN18" s="71"/>
      <c r="CO18" s="35">
        <v>1853</v>
      </c>
      <c r="CP18" s="34">
        <f t="shared" si="24"/>
        <v>342</v>
      </c>
      <c r="CQ18" s="33">
        <v>0.2984</v>
      </c>
      <c r="CR18" s="34">
        <f t="shared" si="38"/>
        <v>0.2984</v>
      </c>
      <c r="CS18" s="34"/>
      <c r="CT18" s="29">
        <v>1531</v>
      </c>
      <c r="CU18" s="28">
        <f t="shared" si="25"/>
        <v>20</v>
      </c>
      <c r="CV18" s="27">
        <v>0.29089999999999999</v>
      </c>
      <c r="CW18" s="28">
        <f t="shared" si="39"/>
        <v>0.29089999999999999</v>
      </c>
      <c r="CX18" s="28"/>
      <c r="CY18" s="55">
        <v>1601</v>
      </c>
      <c r="CZ18" s="56">
        <f t="shared" si="26"/>
        <v>90</v>
      </c>
      <c r="DA18" s="56">
        <f t="shared" si="40"/>
        <v>90</v>
      </c>
      <c r="DB18" s="56"/>
      <c r="DC18" s="56"/>
      <c r="DD18" s="35">
        <v>1759</v>
      </c>
      <c r="DE18" s="34">
        <f t="shared" si="27"/>
        <v>248</v>
      </c>
      <c r="DF18" s="34"/>
      <c r="DG18" s="34"/>
      <c r="DH18" s="34"/>
      <c r="DI18" s="65">
        <v>2675</v>
      </c>
      <c r="DJ18" s="64">
        <f t="shared" si="28"/>
        <v>1164</v>
      </c>
      <c r="DK18" s="64"/>
      <c r="DL18" s="64"/>
      <c r="DM18" s="64"/>
      <c r="DN18" s="55">
        <v>2366</v>
      </c>
      <c r="DO18" s="56">
        <f t="shared" si="29"/>
        <v>855</v>
      </c>
      <c r="DP18" s="56"/>
      <c r="DQ18" s="56"/>
      <c r="DR18" s="56"/>
      <c r="DS18" s="1">
        <v>3080</v>
      </c>
      <c r="DT18">
        <f t="shared" si="30"/>
        <v>1569</v>
      </c>
      <c r="DX18" s="37">
        <v>1511</v>
      </c>
      <c r="DY18" s="34"/>
      <c r="DZ18" s="34"/>
      <c r="EA18" s="34"/>
      <c r="EB18" s="34"/>
      <c r="EC18" s="74">
        <v>4644</v>
      </c>
      <c r="ED18" s="73"/>
      <c r="EE18" s="73"/>
      <c r="EF18" s="73"/>
      <c r="EG18" s="73"/>
    </row>
    <row r="19" spans="5:137" x14ac:dyDescent="0.2">
      <c r="E19" s="29">
        <v>1650</v>
      </c>
      <c r="F19" s="28">
        <f>E19-AN19</f>
        <v>43</v>
      </c>
      <c r="G19" s="27">
        <v>0.28489999999999999</v>
      </c>
      <c r="H19" s="28">
        <v>0.17969999999999997</v>
      </c>
      <c r="I19" s="52">
        <f t="shared" si="1"/>
        <v>239.28770172509743</v>
      </c>
      <c r="J19" s="55">
        <v>1631</v>
      </c>
      <c r="K19" s="56">
        <f t="shared" si="2"/>
        <v>24</v>
      </c>
      <c r="L19" s="57">
        <v>0.25419999999999998</v>
      </c>
      <c r="M19" s="56">
        <v>0.14859999999999998</v>
      </c>
      <c r="N19" s="54">
        <f t="shared" si="3"/>
        <v>23.851400000000002</v>
      </c>
      <c r="O19" s="29">
        <v>1740</v>
      </c>
      <c r="P19" s="28">
        <f t="shared" si="4"/>
        <v>133</v>
      </c>
      <c r="Q19" s="27">
        <v>0.25829999999999997</v>
      </c>
      <c r="R19" s="28">
        <v>0.15299999999999997</v>
      </c>
      <c r="S19" s="52">
        <f t="shared" si="5"/>
        <v>869.28104575163411</v>
      </c>
      <c r="T19" s="55">
        <v>1772</v>
      </c>
      <c r="U19" s="56">
        <f t="shared" si="6"/>
        <v>3379</v>
      </c>
      <c r="V19" s="57">
        <v>0.26090000000000002</v>
      </c>
      <c r="W19" s="56">
        <v>0.15590000000000004</v>
      </c>
      <c r="X19" s="54">
        <f t="shared" si="7"/>
        <v>21674.150096215519</v>
      </c>
      <c r="Y19" s="29">
        <v>2485</v>
      </c>
      <c r="Z19" s="28">
        <f t="shared" si="8"/>
        <v>878</v>
      </c>
      <c r="AA19" s="27">
        <v>0.2631</v>
      </c>
      <c r="AB19" s="28">
        <v>0.1537</v>
      </c>
      <c r="AC19" s="52">
        <f t="shared" si="9"/>
        <v>5712.426805465192</v>
      </c>
      <c r="AD19" s="55">
        <v>2071</v>
      </c>
      <c r="AE19" s="56">
        <f t="shared" si="10"/>
        <v>464</v>
      </c>
      <c r="AF19" s="57">
        <v>0.30740000000000001</v>
      </c>
      <c r="AG19" s="56">
        <v>0.1991</v>
      </c>
      <c r="AH19" s="54">
        <f t="shared" si="11"/>
        <v>2330.4871923656456</v>
      </c>
      <c r="AI19" s="7">
        <v>2724</v>
      </c>
      <c r="AJ19" s="7">
        <f t="shared" si="12"/>
        <v>1117</v>
      </c>
      <c r="AK19" s="7">
        <v>0.34300000000000003</v>
      </c>
      <c r="AL19" s="7">
        <v>0.23790000000000003</v>
      </c>
      <c r="AM19" s="7">
        <v>-1.4359048616732248</v>
      </c>
      <c r="AN19" s="32">
        <v>1607</v>
      </c>
      <c r="AO19" s="28"/>
      <c r="AP19" s="27">
        <v>0.34300000000000003</v>
      </c>
      <c r="AQ19" s="28">
        <v>0.23790000000000003</v>
      </c>
      <c r="AR19" s="28">
        <f t="shared" si="13"/>
        <v>6754.9390500210166</v>
      </c>
      <c r="AS19" s="55">
        <v>3560</v>
      </c>
      <c r="AT19" s="56">
        <f t="shared" si="14"/>
        <v>3559.6570000000002</v>
      </c>
      <c r="AU19" s="57">
        <v>0.3286</v>
      </c>
      <c r="AV19" s="56">
        <v>0.2208</v>
      </c>
      <c r="AW19" s="55">
        <f t="shared" si="15"/>
        <v>16121.634963768118</v>
      </c>
      <c r="AX19" s="1">
        <v>1594</v>
      </c>
      <c r="AY19">
        <f t="shared" si="16"/>
        <v>104</v>
      </c>
      <c r="AZ19" s="8">
        <v>0.13450000000000001</v>
      </c>
      <c r="BA19">
        <f t="shared" si="17"/>
        <v>773.2342007434944</v>
      </c>
      <c r="BB19" s="65">
        <v>1555</v>
      </c>
      <c r="BC19" s="64">
        <f t="shared" si="18"/>
        <v>65</v>
      </c>
      <c r="BD19" s="66">
        <v>0.30299999999999999</v>
      </c>
      <c r="BE19" s="64">
        <f t="shared" si="31"/>
        <v>0.30299999999999999</v>
      </c>
      <c r="BF19" s="64"/>
      <c r="BG19" s="29">
        <v>1764</v>
      </c>
      <c r="BH19" s="28">
        <f t="shared" si="19"/>
        <v>274</v>
      </c>
      <c r="BI19" s="27">
        <v>0.30280000000000001</v>
      </c>
      <c r="BJ19" s="28">
        <f t="shared" si="32"/>
        <v>0.30280000000000001</v>
      </c>
      <c r="BK19" s="28"/>
      <c r="BL19" s="35">
        <v>1872</v>
      </c>
      <c r="BM19" s="34">
        <f t="shared" si="20"/>
        <v>382</v>
      </c>
      <c r="BN19" s="33">
        <v>0.31540000000000001</v>
      </c>
      <c r="BO19" s="34">
        <f t="shared" si="33"/>
        <v>0.31540000000000001</v>
      </c>
      <c r="BP19" s="34"/>
      <c r="BQ19" s="29">
        <v>2799</v>
      </c>
      <c r="BR19" s="28">
        <f t="shared" si="21"/>
        <v>1309</v>
      </c>
      <c r="BS19" s="27">
        <v>0.30530000000000002</v>
      </c>
      <c r="BT19" s="28">
        <f t="shared" si="34"/>
        <v>0.30530000000000002</v>
      </c>
      <c r="BU19" s="28"/>
      <c r="BV19" s="35">
        <v>2366</v>
      </c>
      <c r="BW19" s="34">
        <f t="shared" si="22"/>
        <v>876</v>
      </c>
      <c r="BX19" s="33">
        <v>0.32219999999999999</v>
      </c>
      <c r="BY19" s="34">
        <f t="shared" si="35"/>
        <v>0.32219999999999999</v>
      </c>
      <c r="BZ19" s="34"/>
      <c r="CA19" s="7">
        <v>3291</v>
      </c>
      <c r="CB19" s="7">
        <f t="shared" si="23"/>
        <v>1801</v>
      </c>
      <c r="CC19" s="7"/>
      <c r="CD19" s="7"/>
      <c r="CF19" s="32">
        <v>1490</v>
      </c>
      <c r="CG19" s="27">
        <v>0.35820000000000002</v>
      </c>
      <c r="CH19" s="28">
        <f t="shared" si="36"/>
        <v>0.35820000000000002</v>
      </c>
      <c r="CI19" s="28"/>
      <c r="CJ19" s="28"/>
      <c r="CK19" s="55">
        <v>3798</v>
      </c>
      <c r="CL19" s="57">
        <v>0.3715</v>
      </c>
      <c r="CM19" s="56">
        <f t="shared" si="37"/>
        <v>0.3715</v>
      </c>
      <c r="CN19" s="71"/>
      <c r="CO19" s="35">
        <v>1858</v>
      </c>
      <c r="CP19" s="34">
        <f t="shared" si="24"/>
        <v>359</v>
      </c>
      <c r="CQ19" s="33">
        <v>0.36659999999999998</v>
      </c>
      <c r="CR19" s="34">
        <f t="shared" si="38"/>
        <v>0.36659999999999998</v>
      </c>
      <c r="CS19" s="34"/>
      <c r="CT19" s="29">
        <v>1554</v>
      </c>
      <c r="CU19" s="28">
        <f t="shared" si="25"/>
        <v>55</v>
      </c>
      <c r="CV19" s="27">
        <v>0.34699999999999998</v>
      </c>
      <c r="CW19" s="28">
        <f t="shared" si="39"/>
        <v>0.34699999999999998</v>
      </c>
      <c r="CX19" s="28"/>
      <c r="CY19" s="55">
        <v>1655</v>
      </c>
      <c r="CZ19" s="56">
        <f t="shared" si="26"/>
        <v>156</v>
      </c>
      <c r="DA19" s="56">
        <f t="shared" si="40"/>
        <v>156</v>
      </c>
      <c r="DB19" s="56"/>
      <c r="DC19" s="56"/>
      <c r="DD19" s="35">
        <v>1785</v>
      </c>
      <c r="DE19" s="34">
        <f t="shared" si="27"/>
        <v>286</v>
      </c>
      <c r="DF19" s="34"/>
      <c r="DG19" s="34"/>
      <c r="DH19" s="34"/>
      <c r="DI19" s="65">
        <v>2860</v>
      </c>
      <c r="DJ19" s="64">
        <f t="shared" si="28"/>
        <v>1361</v>
      </c>
      <c r="DK19" s="64"/>
      <c r="DL19" s="64"/>
      <c r="DM19" s="64"/>
      <c r="DN19" s="55">
        <v>2423</v>
      </c>
      <c r="DO19" s="56">
        <f t="shared" si="29"/>
        <v>924</v>
      </c>
      <c r="DP19" s="56"/>
      <c r="DQ19" s="56"/>
      <c r="DR19" s="56"/>
      <c r="DS19" s="1">
        <v>3205</v>
      </c>
      <c r="DT19">
        <f t="shared" si="30"/>
        <v>1706</v>
      </c>
      <c r="DX19" s="37">
        <v>1499</v>
      </c>
      <c r="DY19" s="34"/>
      <c r="DZ19" s="34"/>
      <c r="EA19" s="34"/>
      <c r="EB19" s="34"/>
      <c r="EC19" s="74">
        <v>5474</v>
      </c>
      <c r="ED19" s="73"/>
      <c r="EE19" s="73"/>
      <c r="EF19" s="73"/>
      <c r="EG19" s="73"/>
    </row>
    <row r="20" spans="5:137" x14ac:dyDescent="0.2">
      <c r="E20" s="29">
        <v>1647</v>
      </c>
      <c r="F20" s="28">
        <f>E20-AN20</f>
        <v>12</v>
      </c>
      <c r="G20" s="32">
        <v>0.309</v>
      </c>
      <c r="H20" s="32">
        <v>0.20379999999999998</v>
      </c>
      <c r="I20" s="52">
        <f t="shared" si="1"/>
        <v>58.881256133464184</v>
      </c>
      <c r="J20" s="55">
        <v>1649</v>
      </c>
      <c r="K20" s="56">
        <f t="shared" si="2"/>
        <v>14</v>
      </c>
      <c r="L20" s="59">
        <v>0.29820000000000002</v>
      </c>
      <c r="M20" s="59">
        <v>0.19260000000000002</v>
      </c>
      <c r="N20" s="54">
        <f t="shared" si="3"/>
        <v>13.807399999999999</v>
      </c>
      <c r="O20" s="29">
        <v>1725</v>
      </c>
      <c r="P20" s="28">
        <f t="shared" si="4"/>
        <v>90</v>
      </c>
      <c r="Q20" s="32">
        <v>0.29859999999999998</v>
      </c>
      <c r="R20" s="32">
        <v>0.19329999999999997</v>
      </c>
      <c r="S20" s="52">
        <f t="shared" si="5"/>
        <v>465.59751681324371</v>
      </c>
      <c r="T20" s="55">
        <v>1784</v>
      </c>
      <c r="U20" s="56">
        <f t="shared" si="6"/>
        <v>3419</v>
      </c>
      <c r="V20" s="59">
        <v>0.29799999999999999</v>
      </c>
      <c r="W20" s="59">
        <v>0.193</v>
      </c>
      <c r="X20" s="54">
        <f t="shared" si="7"/>
        <v>17715.025906735751</v>
      </c>
      <c r="Y20" s="29">
        <v>2460</v>
      </c>
      <c r="Z20" s="28">
        <f t="shared" si="8"/>
        <v>825</v>
      </c>
      <c r="AA20" s="32">
        <v>0.30349999999999999</v>
      </c>
      <c r="AB20" s="32">
        <v>0.19409999999999999</v>
      </c>
      <c r="AC20" s="52">
        <f t="shared" si="9"/>
        <v>4250.3863987635241</v>
      </c>
      <c r="AD20" s="55">
        <v>2024</v>
      </c>
      <c r="AE20" s="56">
        <f t="shared" si="10"/>
        <v>389</v>
      </c>
      <c r="AF20" s="59">
        <v>0.32119999999999999</v>
      </c>
      <c r="AG20" s="59">
        <v>0.21289999999999998</v>
      </c>
      <c r="AH20" s="54">
        <f t="shared" si="11"/>
        <v>1827.1488961953971</v>
      </c>
      <c r="AI20" s="7">
        <v>2682</v>
      </c>
      <c r="AJ20" s="7">
        <f t="shared" si="12"/>
        <v>1047</v>
      </c>
      <c r="AK20" s="7">
        <v>0.35630000000000001</v>
      </c>
      <c r="AL20" s="7">
        <v>0.25119999999999998</v>
      </c>
      <c r="AM20" s="7">
        <v>-1.3815058443880934</v>
      </c>
      <c r="AN20" s="32">
        <v>1635</v>
      </c>
      <c r="AO20" s="28"/>
      <c r="AP20" s="32">
        <v>0.35630000000000001</v>
      </c>
      <c r="AQ20" s="32">
        <v>0.25119999999999998</v>
      </c>
      <c r="AR20" s="28">
        <f t="shared" si="13"/>
        <v>6508.7579617834399</v>
      </c>
      <c r="AS20" s="55">
        <v>3534</v>
      </c>
      <c r="AT20" s="56">
        <f t="shared" si="14"/>
        <v>3533.6437000000001</v>
      </c>
      <c r="AU20" s="59">
        <v>0.37830000000000003</v>
      </c>
      <c r="AV20" s="59">
        <v>0.27050000000000002</v>
      </c>
      <c r="AW20" s="55">
        <f t="shared" si="15"/>
        <v>13063.377818853973</v>
      </c>
      <c r="AX20" s="1">
        <v>1598</v>
      </c>
      <c r="AY20">
        <f t="shared" si="16"/>
        <v>104</v>
      </c>
      <c r="AZ20" s="10">
        <v>0.14760000000000001</v>
      </c>
      <c r="BA20">
        <f t="shared" si="17"/>
        <v>704.60704607046068</v>
      </c>
      <c r="BB20" s="65">
        <v>1589</v>
      </c>
      <c r="BC20" s="64">
        <f t="shared" si="18"/>
        <v>95</v>
      </c>
      <c r="BD20" s="68">
        <v>0.32869999999999999</v>
      </c>
      <c r="BE20" s="68">
        <f t="shared" si="31"/>
        <v>0.32869999999999999</v>
      </c>
      <c r="BF20" s="64"/>
      <c r="BG20" s="29">
        <v>1729</v>
      </c>
      <c r="BH20" s="28">
        <f t="shared" si="19"/>
        <v>235</v>
      </c>
      <c r="BI20" s="32">
        <v>0.32679999999999998</v>
      </c>
      <c r="BJ20" s="32">
        <f t="shared" si="32"/>
        <v>0.32679999999999998</v>
      </c>
      <c r="BK20" s="28"/>
      <c r="BL20" s="35">
        <v>1878</v>
      </c>
      <c r="BM20" s="34">
        <f t="shared" si="20"/>
        <v>384</v>
      </c>
      <c r="BN20" s="37">
        <v>0.33579999999999999</v>
      </c>
      <c r="BO20" s="37">
        <f t="shared" si="33"/>
        <v>0.33579999999999999</v>
      </c>
      <c r="BP20" s="34"/>
      <c r="BQ20" s="29">
        <v>2757</v>
      </c>
      <c r="BR20" s="28">
        <f t="shared" si="21"/>
        <v>1263</v>
      </c>
      <c r="BS20" s="32">
        <v>0.32350000000000001</v>
      </c>
      <c r="BT20" s="32">
        <f t="shared" si="34"/>
        <v>0.32350000000000001</v>
      </c>
      <c r="BU20" s="28"/>
      <c r="BV20" s="35">
        <v>2347</v>
      </c>
      <c r="BW20" s="34">
        <f t="shared" si="22"/>
        <v>853</v>
      </c>
      <c r="BX20" s="37">
        <v>0.34810000000000002</v>
      </c>
      <c r="BY20" s="37">
        <f t="shared" si="35"/>
        <v>0.34810000000000002</v>
      </c>
      <c r="BZ20" s="34"/>
      <c r="CA20" s="7">
        <v>3284</v>
      </c>
      <c r="CB20" s="7">
        <f t="shared" si="23"/>
        <v>1790</v>
      </c>
      <c r="CC20" s="7"/>
      <c r="CD20" s="7"/>
      <c r="CF20" s="32">
        <v>1494</v>
      </c>
      <c r="CG20" s="32">
        <v>0.4148</v>
      </c>
      <c r="CH20" s="32">
        <f t="shared" si="36"/>
        <v>0.4148</v>
      </c>
      <c r="CI20" s="28"/>
      <c r="CJ20" s="28"/>
      <c r="CK20" s="55">
        <v>3904</v>
      </c>
      <c r="CL20" s="59">
        <v>0.437</v>
      </c>
      <c r="CM20" s="59">
        <f t="shared" si="37"/>
        <v>0.437</v>
      </c>
      <c r="CN20" s="71"/>
      <c r="CO20" s="35">
        <v>1862</v>
      </c>
      <c r="CP20" s="34">
        <f t="shared" si="24"/>
        <v>319</v>
      </c>
      <c r="CQ20" s="37">
        <v>0.41860000000000003</v>
      </c>
      <c r="CR20" s="37">
        <f t="shared" si="38"/>
        <v>0.41860000000000003</v>
      </c>
      <c r="CS20" s="34"/>
      <c r="CT20" s="29">
        <v>1545</v>
      </c>
      <c r="CU20" s="28">
        <f t="shared" si="25"/>
        <v>2</v>
      </c>
      <c r="CV20" s="32">
        <v>0.38729999999999998</v>
      </c>
      <c r="CW20" s="32">
        <f t="shared" si="39"/>
        <v>0.38729999999999998</v>
      </c>
      <c r="CX20" s="28"/>
      <c r="CY20" s="55">
        <v>1639</v>
      </c>
      <c r="CZ20" s="56">
        <f t="shared" si="26"/>
        <v>96</v>
      </c>
      <c r="DA20" s="59">
        <f t="shared" si="40"/>
        <v>96</v>
      </c>
      <c r="DB20" s="56"/>
      <c r="DC20" s="56"/>
      <c r="DD20" s="35">
        <v>1797</v>
      </c>
      <c r="DE20" s="34">
        <f t="shared" si="27"/>
        <v>254</v>
      </c>
      <c r="DF20" s="34"/>
      <c r="DG20" s="34"/>
      <c r="DH20" s="34"/>
      <c r="DI20" s="65">
        <v>2844</v>
      </c>
      <c r="DJ20" s="64">
        <f t="shared" si="28"/>
        <v>1301</v>
      </c>
      <c r="DK20" s="64"/>
      <c r="DL20" s="64"/>
      <c r="DM20" s="64"/>
      <c r="DN20" s="55">
        <v>2415</v>
      </c>
      <c r="DO20" s="56">
        <f t="shared" si="29"/>
        <v>872</v>
      </c>
      <c r="DP20" s="56"/>
      <c r="DQ20" s="56"/>
      <c r="DR20" s="56"/>
      <c r="DS20" s="1">
        <v>3178</v>
      </c>
      <c r="DT20">
        <f t="shared" si="30"/>
        <v>1635</v>
      </c>
      <c r="DX20" s="37">
        <v>1543</v>
      </c>
      <c r="DY20" s="34"/>
      <c r="DZ20" s="34"/>
      <c r="EA20" s="34"/>
      <c r="EB20" s="34"/>
      <c r="EC20" s="74">
        <v>5965</v>
      </c>
      <c r="ED20" s="73"/>
      <c r="EE20" s="73"/>
      <c r="EF20" s="73"/>
      <c r="EG20" s="73"/>
    </row>
    <row r="21" spans="5:137" x14ac:dyDescent="0.2">
      <c r="E21" s="29">
        <v>1710</v>
      </c>
      <c r="F21" s="28">
        <f>E21-AN21</f>
        <v>56</v>
      </c>
      <c r="G21" s="32">
        <v>0.32529999999999998</v>
      </c>
      <c r="H21" s="32">
        <v>0.22009999999999996</v>
      </c>
      <c r="I21" s="28">
        <f t="shared" si="1"/>
        <v>254.42980463425721</v>
      </c>
      <c r="J21" s="55">
        <v>1653</v>
      </c>
      <c r="K21" s="56">
        <f t="shared" si="2"/>
        <v>-1</v>
      </c>
      <c r="L21" s="59">
        <v>0.29580000000000001</v>
      </c>
      <c r="M21" s="59">
        <v>0.19020000000000001</v>
      </c>
      <c r="N21" s="58">
        <f t="shared" si="3"/>
        <v>-1.1901999999999999</v>
      </c>
      <c r="O21" s="29">
        <v>1744</v>
      </c>
      <c r="P21" s="28">
        <f t="shared" si="4"/>
        <v>90</v>
      </c>
      <c r="Q21" s="32">
        <v>0.29459999999999997</v>
      </c>
      <c r="R21" s="32">
        <v>0.18929999999999997</v>
      </c>
      <c r="S21" s="52">
        <f t="shared" si="5"/>
        <v>475.43581616481782</v>
      </c>
      <c r="T21" s="55">
        <v>1815</v>
      </c>
      <c r="U21" s="56">
        <f t="shared" si="6"/>
        <v>3469</v>
      </c>
      <c r="V21" s="59">
        <v>0.30559999999999998</v>
      </c>
      <c r="W21" s="59">
        <v>0.2006</v>
      </c>
      <c r="X21" s="56">
        <f t="shared" si="7"/>
        <v>17293.120638085744</v>
      </c>
      <c r="Y21" s="29">
        <v>2543</v>
      </c>
      <c r="Z21" s="28">
        <f t="shared" si="8"/>
        <v>889</v>
      </c>
      <c r="AA21" s="32">
        <v>0.31059999999999999</v>
      </c>
      <c r="AB21" s="32">
        <v>0.20119999999999999</v>
      </c>
      <c r="AC21" s="52">
        <f t="shared" si="9"/>
        <v>4418.4890656063617</v>
      </c>
      <c r="AD21" s="55">
        <v>2062</v>
      </c>
      <c r="AE21" s="56">
        <f t="shared" si="10"/>
        <v>408</v>
      </c>
      <c r="AF21" s="59">
        <v>0.3342</v>
      </c>
      <c r="AG21" s="59">
        <v>0.22589999999999999</v>
      </c>
      <c r="AH21" s="54">
        <f t="shared" si="11"/>
        <v>1806.108897742364</v>
      </c>
      <c r="AI21" s="7">
        <v>2753</v>
      </c>
      <c r="AJ21" s="7">
        <f t="shared" si="12"/>
        <v>1099</v>
      </c>
      <c r="AK21" s="7">
        <v>0.35520000000000002</v>
      </c>
      <c r="AL21" s="7">
        <v>0.25009999999999999</v>
      </c>
      <c r="AM21" s="7">
        <v>-1.3858944410985636</v>
      </c>
      <c r="AN21" s="32">
        <v>1654</v>
      </c>
      <c r="AO21" s="28"/>
      <c r="AP21" s="32">
        <v>0.35520000000000002</v>
      </c>
      <c r="AQ21" s="32">
        <v>0.25009999999999999</v>
      </c>
      <c r="AR21" s="28">
        <f t="shared" si="13"/>
        <v>6613.3546581367455</v>
      </c>
      <c r="AS21" s="55">
        <v>3725</v>
      </c>
      <c r="AT21" s="56">
        <f t="shared" si="14"/>
        <v>3724.6448</v>
      </c>
      <c r="AU21" s="59">
        <v>0.36709999999999998</v>
      </c>
      <c r="AV21" s="59">
        <v>0.25929999999999997</v>
      </c>
      <c r="AW21" s="55">
        <f t="shared" si="15"/>
        <v>14364.229849595065</v>
      </c>
      <c r="AX21" s="1">
        <v>1646</v>
      </c>
      <c r="AY21">
        <f t="shared" si="16"/>
        <v>126</v>
      </c>
      <c r="AZ21" s="10">
        <v>0.16250000000000001</v>
      </c>
      <c r="BA21">
        <f t="shared" si="17"/>
        <v>775.38461538461536</v>
      </c>
      <c r="BB21" s="65">
        <v>1631</v>
      </c>
      <c r="BC21" s="64">
        <f t="shared" si="18"/>
        <v>111</v>
      </c>
      <c r="BD21" s="68">
        <v>0.34970000000000001</v>
      </c>
      <c r="BE21" s="68">
        <f t="shared" si="31"/>
        <v>0.34970000000000001</v>
      </c>
      <c r="BF21" s="64"/>
      <c r="BG21" s="29">
        <v>1791</v>
      </c>
      <c r="BH21" s="28">
        <f t="shared" si="19"/>
        <v>271</v>
      </c>
      <c r="BI21" s="32">
        <v>0.34520000000000001</v>
      </c>
      <c r="BJ21" s="32">
        <f t="shared" si="32"/>
        <v>0.34520000000000001</v>
      </c>
      <c r="BK21" s="28"/>
      <c r="BL21" s="35">
        <v>1916</v>
      </c>
      <c r="BM21" s="34">
        <f t="shared" si="20"/>
        <v>396</v>
      </c>
      <c r="BN21" s="37">
        <v>0.35320000000000001</v>
      </c>
      <c r="BO21" s="37">
        <f t="shared" si="33"/>
        <v>0.35320000000000001</v>
      </c>
      <c r="BP21" s="34"/>
      <c r="BQ21" s="29">
        <v>2819</v>
      </c>
      <c r="BR21" s="28">
        <f t="shared" si="21"/>
        <v>1299</v>
      </c>
      <c r="BS21" s="32">
        <v>0.33829999999999999</v>
      </c>
      <c r="BT21" s="32">
        <f t="shared" si="34"/>
        <v>0.33829999999999999</v>
      </c>
      <c r="BU21" s="28"/>
      <c r="BV21" s="35">
        <v>2405</v>
      </c>
      <c r="BW21" s="34">
        <f t="shared" si="22"/>
        <v>885</v>
      </c>
      <c r="BX21" s="37">
        <v>0.36509999999999998</v>
      </c>
      <c r="BY21" s="37">
        <f t="shared" si="35"/>
        <v>0.36509999999999998</v>
      </c>
      <c r="BZ21" s="34"/>
      <c r="CA21" s="7">
        <v>3331</v>
      </c>
      <c r="CB21" s="7">
        <f t="shared" si="23"/>
        <v>1811</v>
      </c>
      <c r="CC21" s="7"/>
      <c r="CD21" s="7"/>
      <c r="CF21" s="32">
        <v>1520</v>
      </c>
      <c r="CG21" s="32">
        <v>0.44379999999999997</v>
      </c>
      <c r="CH21" s="32">
        <f t="shared" si="36"/>
        <v>0.44379999999999997</v>
      </c>
      <c r="CI21" s="28"/>
      <c r="CJ21" s="28"/>
      <c r="CK21" s="55">
        <v>4267</v>
      </c>
      <c r="CL21" s="59">
        <v>0.47089999999999999</v>
      </c>
      <c r="CM21" s="59">
        <f t="shared" si="37"/>
        <v>0.47089999999999999</v>
      </c>
      <c r="CN21" s="71"/>
      <c r="CO21" s="35">
        <v>1932</v>
      </c>
      <c r="CP21" s="34">
        <f t="shared" si="24"/>
        <v>363</v>
      </c>
      <c r="CQ21" s="37">
        <v>0.4304</v>
      </c>
      <c r="CR21" s="37">
        <f t="shared" si="38"/>
        <v>0.4304</v>
      </c>
      <c r="CS21" s="34"/>
      <c r="CT21" s="29">
        <v>1577</v>
      </c>
      <c r="CU21" s="28">
        <f t="shared" si="25"/>
        <v>8</v>
      </c>
      <c r="CV21" s="32">
        <v>0.42020000000000002</v>
      </c>
      <c r="CW21" s="32">
        <f t="shared" si="39"/>
        <v>0.42020000000000002</v>
      </c>
      <c r="CX21" s="28"/>
      <c r="CY21" s="55">
        <v>1707</v>
      </c>
      <c r="CZ21" s="56">
        <f t="shared" si="26"/>
        <v>138</v>
      </c>
      <c r="DA21" s="59">
        <f t="shared" si="40"/>
        <v>138</v>
      </c>
      <c r="DB21" s="56"/>
      <c r="DC21" s="56"/>
      <c r="DD21" s="35">
        <v>1836</v>
      </c>
      <c r="DE21" s="34">
        <f t="shared" si="27"/>
        <v>267</v>
      </c>
      <c r="DF21" s="34"/>
      <c r="DG21" s="34"/>
      <c r="DH21" s="34"/>
      <c r="DI21" s="65">
        <v>2957</v>
      </c>
      <c r="DJ21" s="64">
        <f t="shared" si="28"/>
        <v>1388</v>
      </c>
      <c r="DK21" s="64"/>
      <c r="DL21" s="64"/>
      <c r="DM21" s="64"/>
      <c r="DN21" s="55">
        <v>2459</v>
      </c>
      <c r="DO21" s="56">
        <f t="shared" si="29"/>
        <v>890</v>
      </c>
      <c r="DP21" s="56"/>
      <c r="DQ21" s="56"/>
      <c r="DR21" s="56"/>
      <c r="DS21" s="1">
        <v>3272</v>
      </c>
      <c r="DT21">
        <f t="shared" si="30"/>
        <v>1703</v>
      </c>
      <c r="DX21" s="37">
        <v>1569</v>
      </c>
      <c r="DY21" s="34"/>
      <c r="DZ21" s="34"/>
      <c r="EA21" s="34"/>
      <c r="EB21" s="34"/>
      <c r="EC21" s="74">
        <v>6558</v>
      </c>
      <c r="ED21" s="73"/>
      <c r="EE21" s="73"/>
      <c r="EF21" s="73"/>
      <c r="EG21" s="73"/>
    </row>
    <row r="22" spans="5:137" x14ac:dyDescent="0.2">
      <c r="E22" s="29">
        <v>1718</v>
      </c>
      <c r="F22" s="28">
        <f>E22-AN22</f>
        <v>46</v>
      </c>
      <c r="G22" s="31">
        <v>0.3664</v>
      </c>
      <c r="H22" s="31">
        <v>0.26119999999999999</v>
      </c>
      <c r="I22" s="28">
        <f t="shared" si="1"/>
        <v>176.11026033690661</v>
      </c>
      <c r="J22" s="55">
        <v>1679</v>
      </c>
      <c r="K22" s="56">
        <f t="shared" si="2"/>
        <v>7</v>
      </c>
      <c r="L22" s="57">
        <v>0.33729999999999999</v>
      </c>
      <c r="M22" s="56">
        <v>0.23169999999999999</v>
      </c>
      <c r="N22" s="56">
        <f t="shared" si="3"/>
        <v>6.7683</v>
      </c>
      <c r="O22" s="29">
        <v>1779</v>
      </c>
      <c r="P22" s="28">
        <f t="shared" si="4"/>
        <v>107</v>
      </c>
      <c r="Q22" s="27">
        <v>0.32679999999999998</v>
      </c>
      <c r="R22" s="28">
        <v>0.22149999999999997</v>
      </c>
      <c r="S22" s="28">
        <f t="shared" si="5"/>
        <v>483.06997742663663</v>
      </c>
      <c r="T22" s="55">
        <v>1793</v>
      </c>
      <c r="U22" s="56">
        <f t="shared" si="6"/>
        <v>3465</v>
      </c>
      <c r="V22" s="57">
        <v>0.3291</v>
      </c>
      <c r="W22" s="56">
        <v>0.22410000000000002</v>
      </c>
      <c r="X22" s="56">
        <f t="shared" si="7"/>
        <v>15461.847389558232</v>
      </c>
      <c r="Y22" s="29">
        <v>2577</v>
      </c>
      <c r="Z22" s="28">
        <f t="shared" si="8"/>
        <v>905</v>
      </c>
      <c r="AA22" s="27">
        <v>0.32600000000000001</v>
      </c>
      <c r="AB22" s="28">
        <v>0.21660000000000001</v>
      </c>
      <c r="AC22" s="28">
        <f t="shared" si="9"/>
        <v>4178.2086795937212</v>
      </c>
      <c r="AD22" s="55">
        <v>2100</v>
      </c>
      <c r="AE22" s="56">
        <f t="shared" si="10"/>
        <v>428</v>
      </c>
      <c r="AF22" s="57">
        <v>0.36049999999999999</v>
      </c>
      <c r="AG22" s="56">
        <v>0.25219999999999998</v>
      </c>
      <c r="AH22" s="56">
        <f t="shared" si="11"/>
        <v>1697.0658207771612</v>
      </c>
      <c r="AI22" s="7">
        <v>2760</v>
      </c>
      <c r="AJ22" s="7">
        <f t="shared" si="12"/>
        <v>1088</v>
      </c>
      <c r="AK22" s="7">
        <v>0.39190000000000003</v>
      </c>
      <c r="AL22" s="7">
        <v>0.28680000000000005</v>
      </c>
      <c r="AM22" s="7">
        <v>-1.2489701702566716</v>
      </c>
      <c r="AN22" s="32">
        <v>1672</v>
      </c>
      <c r="AO22" s="28"/>
      <c r="AP22" s="27">
        <v>0.39190000000000003</v>
      </c>
      <c r="AQ22" s="28">
        <v>0.28680000000000005</v>
      </c>
      <c r="AR22" s="28">
        <f t="shared" si="13"/>
        <v>5829.8465829846573</v>
      </c>
      <c r="AS22" s="55">
        <v>3889</v>
      </c>
      <c r="AT22" s="56">
        <f t="shared" si="14"/>
        <v>3888.6080999999999</v>
      </c>
      <c r="AU22" s="57">
        <v>0.41010000000000002</v>
      </c>
      <c r="AV22" s="56">
        <v>0.30230000000000001</v>
      </c>
      <c r="AW22" s="55">
        <f t="shared" si="15"/>
        <v>12863.407542176645</v>
      </c>
      <c r="AX22" s="1">
        <v>1651</v>
      </c>
      <c r="AY22">
        <f t="shared" si="16"/>
        <v>68</v>
      </c>
      <c r="AZ22" s="11">
        <v>0.19109999999999999</v>
      </c>
      <c r="BA22">
        <f t="shared" si="17"/>
        <v>355.83464154892727</v>
      </c>
      <c r="BB22" s="65">
        <v>1609</v>
      </c>
      <c r="BC22" s="64">
        <f t="shared" si="18"/>
        <v>26</v>
      </c>
      <c r="BD22" s="66">
        <v>0.39129999999999998</v>
      </c>
      <c r="BE22" s="64">
        <f t="shared" si="31"/>
        <v>0.39129999999999998</v>
      </c>
      <c r="BF22" s="64"/>
      <c r="BG22" s="29">
        <v>1803</v>
      </c>
      <c r="BH22" s="28">
        <f t="shared" si="19"/>
        <v>220</v>
      </c>
      <c r="BI22" s="27">
        <v>0.38159999999999999</v>
      </c>
      <c r="BJ22" s="28">
        <f t="shared" si="32"/>
        <v>0.38159999999999999</v>
      </c>
      <c r="BK22" s="28"/>
      <c r="BL22" s="35">
        <v>1896</v>
      </c>
      <c r="BM22" s="34">
        <f t="shared" si="20"/>
        <v>313</v>
      </c>
      <c r="BN22" s="33">
        <v>0.39240000000000003</v>
      </c>
      <c r="BO22" s="34">
        <f t="shared" si="33"/>
        <v>0.39240000000000003</v>
      </c>
      <c r="BP22" s="34"/>
      <c r="BQ22" s="29">
        <v>2829</v>
      </c>
      <c r="BR22" s="28">
        <f t="shared" si="21"/>
        <v>1246</v>
      </c>
      <c r="BS22" s="27">
        <v>0.37469999999999998</v>
      </c>
      <c r="BT22" s="28">
        <f t="shared" si="34"/>
        <v>0.37469999999999998</v>
      </c>
      <c r="BU22" s="28"/>
      <c r="BV22" s="35">
        <v>2408</v>
      </c>
      <c r="BW22" s="34">
        <f t="shared" si="22"/>
        <v>825</v>
      </c>
      <c r="BX22" s="33">
        <v>0.40360000000000001</v>
      </c>
      <c r="BY22" s="34">
        <f t="shared" si="35"/>
        <v>0.40360000000000001</v>
      </c>
      <c r="BZ22" s="34"/>
      <c r="CA22" s="7">
        <v>3366</v>
      </c>
      <c r="CB22" s="7">
        <f t="shared" si="23"/>
        <v>1783</v>
      </c>
      <c r="CC22" s="7"/>
      <c r="CD22" s="7"/>
      <c r="CF22" s="32">
        <v>1583</v>
      </c>
      <c r="CG22" s="27">
        <v>0.47689999999999999</v>
      </c>
      <c r="CH22" s="28">
        <f t="shared" si="36"/>
        <v>0.47689999999999999</v>
      </c>
      <c r="CI22" s="28"/>
      <c r="CJ22" s="28"/>
      <c r="CK22" s="55">
        <v>4698</v>
      </c>
      <c r="CL22" s="57">
        <v>0.50360000000000005</v>
      </c>
      <c r="CM22" s="56">
        <f t="shared" si="37"/>
        <v>0.50360000000000005</v>
      </c>
      <c r="CN22" s="71"/>
      <c r="CO22" s="35">
        <v>1975</v>
      </c>
      <c r="CP22" s="34">
        <f t="shared" si="24"/>
        <v>397</v>
      </c>
      <c r="CQ22" s="36">
        <v>0.51419999999999999</v>
      </c>
      <c r="CR22" s="36">
        <f t="shared" si="38"/>
        <v>0.51419999999999999</v>
      </c>
      <c r="CS22" s="34"/>
      <c r="CT22" s="29">
        <v>1605</v>
      </c>
      <c r="CU22" s="28">
        <f t="shared" si="25"/>
        <v>27</v>
      </c>
      <c r="CV22" s="27">
        <v>0.47010000000000002</v>
      </c>
      <c r="CW22" s="28">
        <f t="shared" si="39"/>
        <v>0.47010000000000002</v>
      </c>
      <c r="CX22" s="28"/>
      <c r="CY22" s="55">
        <v>1714</v>
      </c>
      <c r="CZ22" s="56">
        <f t="shared" si="26"/>
        <v>136</v>
      </c>
      <c r="DA22" s="56">
        <f t="shared" si="40"/>
        <v>136</v>
      </c>
      <c r="DB22" s="56"/>
      <c r="DC22" s="56"/>
      <c r="DD22" s="35">
        <v>1891</v>
      </c>
      <c r="DE22" s="34">
        <f t="shared" si="27"/>
        <v>313</v>
      </c>
      <c r="DF22" s="34"/>
      <c r="DG22" s="34"/>
      <c r="DH22" s="34"/>
      <c r="DI22" s="65">
        <v>2978</v>
      </c>
      <c r="DJ22" s="64">
        <f t="shared" si="28"/>
        <v>1400</v>
      </c>
      <c r="DK22" s="64"/>
      <c r="DL22" s="64"/>
      <c r="DM22" s="64"/>
      <c r="DN22" s="55">
        <v>2463</v>
      </c>
      <c r="DO22" s="56">
        <f t="shared" si="29"/>
        <v>885</v>
      </c>
      <c r="DP22" s="56"/>
      <c r="DQ22" s="56"/>
      <c r="DR22" s="56"/>
      <c r="DS22" s="1">
        <v>3312</v>
      </c>
      <c r="DT22">
        <f t="shared" si="30"/>
        <v>1734</v>
      </c>
      <c r="DX22" s="37">
        <v>1578</v>
      </c>
      <c r="DY22" s="34"/>
      <c r="DZ22" s="34"/>
      <c r="EA22" s="34"/>
      <c r="EB22" s="34"/>
      <c r="EC22" s="74">
        <v>8152</v>
      </c>
      <c r="ED22" s="73"/>
      <c r="EE22" s="73"/>
      <c r="EF22" s="73"/>
      <c r="EG22" s="73"/>
    </row>
    <row r="23" spans="5:137" x14ac:dyDescent="0.2">
      <c r="E23" s="29">
        <v>1716</v>
      </c>
      <c r="F23" s="28">
        <f t="shared" si="0"/>
        <v>49</v>
      </c>
      <c r="G23" s="31">
        <v>0.41210000000000002</v>
      </c>
      <c r="H23" s="31">
        <v>0.30690000000000001</v>
      </c>
      <c r="I23" s="28">
        <f t="shared" si="1"/>
        <v>159.66112740306289</v>
      </c>
      <c r="J23" s="55">
        <v>1668</v>
      </c>
      <c r="K23" s="56">
        <f t="shared" si="2"/>
        <v>1</v>
      </c>
      <c r="L23" s="57">
        <v>0.38009999999999999</v>
      </c>
      <c r="M23" s="56">
        <v>0.27449999999999997</v>
      </c>
      <c r="N23" s="56">
        <f t="shared" si="3"/>
        <v>0.72550000000000003</v>
      </c>
      <c r="O23" s="29">
        <v>1799</v>
      </c>
      <c r="P23" s="28">
        <f t="shared" si="4"/>
        <v>132</v>
      </c>
      <c r="Q23" s="27">
        <v>0.36359999999999998</v>
      </c>
      <c r="R23" s="28">
        <v>0.25829999999999997</v>
      </c>
      <c r="S23" s="28">
        <f t="shared" si="5"/>
        <v>511.03368176538913</v>
      </c>
      <c r="T23" s="55">
        <v>1841</v>
      </c>
      <c r="U23" s="56">
        <f t="shared" si="6"/>
        <v>3508</v>
      </c>
      <c r="V23" s="57">
        <v>0.36280000000000001</v>
      </c>
      <c r="W23" s="56">
        <v>0.25780000000000003</v>
      </c>
      <c r="X23" s="56">
        <f t="shared" si="7"/>
        <v>13607.44763382467</v>
      </c>
      <c r="Y23" s="29">
        <v>2550</v>
      </c>
      <c r="Z23" s="28">
        <f t="shared" si="8"/>
        <v>883</v>
      </c>
      <c r="AA23" s="27">
        <v>0.35580000000000001</v>
      </c>
      <c r="AB23" s="28">
        <v>0.24640000000000001</v>
      </c>
      <c r="AC23" s="28">
        <f t="shared" si="9"/>
        <v>3583.6038961038962</v>
      </c>
      <c r="AD23" s="55">
        <v>2052</v>
      </c>
      <c r="AE23" s="56">
        <f t="shared" si="10"/>
        <v>385</v>
      </c>
      <c r="AF23" s="57">
        <v>0.39479999999999998</v>
      </c>
      <c r="AG23" s="56">
        <v>0.28649999999999998</v>
      </c>
      <c r="AH23" s="56">
        <f t="shared" si="11"/>
        <v>1343.8045375218151</v>
      </c>
      <c r="AI23" s="7">
        <v>2702</v>
      </c>
      <c r="AJ23" s="7">
        <f t="shared" si="12"/>
        <v>1035</v>
      </c>
      <c r="AK23" s="7">
        <v>0.42849999999999999</v>
      </c>
      <c r="AL23" s="7">
        <v>0.32340000000000002</v>
      </c>
      <c r="AM23" s="7">
        <v>-1.1288653318391306</v>
      </c>
      <c r="AN23" s="32">
        <v>1667</v>
      </c>
      <c r="AO23" s="28"/>
      <c r="AP23" s="27">
        <v>0.42849999999999999</v>
      </c>
      <c r="AQ23" s="28">
        <v>0.32340000000000002</v>
      </c>
      <c r="AR23" s="28">
        <f t="shared" si="13"/>
        <v>5154.6072974644403</v>
      </c>
      <c r="AS23" s="55">
        <v>3821</v>
      </c>
      <c r="AT23" s="56">
        <f t="shared" si="14"/>
        <v>3820.5715</v>
      </c>
      <c r="AU23" s="57">
        <v>0.47320000000000001</v>
      </c>
      <c r="AV23" s="56">
        <v>0.3654</v>
      </c>
      <c r="AW23" s="55">
        <f t="shared" si="15"/>
        <v>10455.860700602079</v>
      </c>
      <c r="AX23" s="1">
        <v>1649</v>
      </c>
      <c r="AY23">
        <f t="shared" si="16"/>
        <v>55</v>
      </c>
      <c r="AZ23" s="11">
        <v>0.2266</v>
      </c>
      <c r="BA23">
        <f t="shared" si="17"/>
        <v>242.71844660194176</v>
      </c>
      <c r="BB23" s="65">
        <v>1619</v>
      </c>
      <c r="BC23" s="64">
        <f t="shared" si="18"/>
        <v>25</v>
      </c>
      <c r="BD23" s="66">
        <v>0.4481</v>
      </c>
      <c r="BE23" s="64">
        <f t="shared" si="31"/>
        <v>0.4481</v>
      </c>
      <c r="BF23" s="64"/>
      <c r="BG23" s="29">
        <v>1798</v>
      </c>
      <c r="BH23" s="28">
        <f t="shared" si="19"/>
        <v>204</v>
      </c>
      <c r="BI23" s="27">
        <v>0.43419999999999997</v>
      </c>
      <c r="BJ23" s="28">
        <f t="shared" si="32"/>
        <v>0.43419999999999997</v>
      </c>
      <c r="BK23" s="28"/>
      <c r="BL23" s="35">
        <v>1929</v>
      </c>
      <c r="BM23" s="34">
        <f t="shared" si="20"/>
        <v>335</v>
      </c>
      <c r="BN23" s="33">
        <v>0.43859999999999999</v>
      </c>
      <c r="BO23" s="34">
        <f t="shared" si="33"/>
        <v>0.43859999999999999</v>
      </c>
      <c r="BP23" s="34"/>
      <c r="BQ23" s="29">
        <v>2808</v>
      </c>
      <c r="BR23" s="28">
        <f t="shared" si="21"/>
        <v>1214</v>
      </c>
      <c r="BS23" s="27">
        <v>0.42120000000000002</v>
      </c>
      <c r="BT23" s="28">
        <f t="shared" si="34"/>
        <v>0.42120000000000002</v>
      </c>
      <c r="BU23" s="28"/>
      <c r="BV23" s="35">
        <v>2366</v>
      </c>
      <c r="BW23" s="34">
        <f t="shared" si="22"/>
        <v>772</v>
      </c>
      <c r="BX23" s="33">
        <v>0.44829999999999998</v>
      </c>
      <c r="BY23" s="34">
        <f t="shared" si="35"/>
        <v>0.44829999999999998</v>
      </c>
      <c r="BZ23" s="34"/>
      <c r="CA23" s="7">
        <v>3296</v>
      </c>
      <c r="CB23" s="7">
        <f t="shared" si="23"/>
        <v>1702</v>
      </c>
      <c r="CC23" s="7"/>
      <c r="CD23" s="7"/>
      <c r="CF23" s="32">
        <v>1594</v>
      </c>
      <c r="CG23" s="27">
        <v>0.52200000000000002</v>
      </c>
      <c r="CH23" s="28">
        <f t="shared" si="36"/>
        <v>0.52200000000000002</v>
      </c>
      <c r="CI23" s="28"/>
      <c r="CJ23" s="28"/>
      <c r="CK23" s="55">
        <v>4623</v>
      </c>
      <c r="CL23" s="57">
        <v>0.55130000000000001</v>
      </c>
      <c r="CM23" s="56">
        <f t="shared" si="37"/>
        <v>0.55130000000000001</v>
      </c>
      <c r="CN23" s="71"/>
      <c r="CO23" s="35">
        <v>1916</v>
      </c>
      <c r="CP23" s="34">
        <f t="shared" si="24"/>
        <v>347</v>
      </c>
      <c r="CQ23" s="36">
        <v>0.58819999999999995</v>
      </c>
      <c r="CR23" s="36">
        <f t="shared" si="38"/>
        <v>0.58819999999999995</v>
      </c>
      <c r="CS23" s="34"/>
      <c r="CT23" s="29">
        <v>1626</v>
      </c>
      <c r="CU23" s="28">
        <f t="shared" si="25"/>
        <v>57</v>
      </c>
      <c r="CV23" s="27">
        <v>0.52900000000000003</v>
      </c>
      <c r="CW23" s="28">
        <f t="shared" si="39"/>
        <v>0.52900000000000003</v>
      </c>
      <c r="CX23" s="28"/>
      <c r="CY23" s="55">
        <v>1708</v>
      </c>
      <c r="CZ23" s="56">
        <f t="shared" si="26"/>
        <v>139</v>
      </c>
      <c r="DA23" s="56">
        <f t="shared" si="40"/>
        <v>139</v>
      </c>
      <c r="DB23" s="56"/>
      <c r="DC23" s="56"/>
      <c r="DD23" s="35">
        <v>1877</v>
      </c>
      <c r="DE23" s="34">
        <f t="shared" si="27"/>
        <v>308</v>
      </c>
      <c r="DF23" s="34"/>
      <c r="DG23" s="34"/>
      <c r="DH23" s="34"/>
      <c r="DI23" s="65">
        <v>2973</v>
      </c>
      <c r="DJ23" s="64">
        <f t="shared" si="28"/>
        <v>1404</v>
      </c>
      <c r="DK23" s="64"/>
      <c r="DL23" s="64"/>
      <c r="DM23" s="64"/>
      <c r="DN23" s="55">
        <v>2422</v>
      </c>
      <c r="DO23" s="56">
        <f t="shared" si="29"/>
        <v>853</v>
      </c>
      <c r="DP23" s="56"/>
      <c r="DQ23" s="56"/>
      <c r="DR23" s="56"/>
      <c r="DS23" s="1">
        <v>3198</v>
      </c>
      <c r="DT23">
        <f t="shared" si="30"/>
        <v>1629</v>
      </c>
      <c r="DX23" s="37">
        <v>1569</v>
      </c>
      <c r="DY23" s="34"/>
      <c r="DZ23" s="34"/>
      <c r="EA23" s="34"/>
      <c r="EB23" s="34"/>
      <c r="EC23" s="74">
        <v>8247</v>
      </c>
      <c r="ED23" s="73"/>
      <c r="EE23" s="73"/>
      <c r="EF23" s="73"/>
      <c r="EG23" s="73"/>
    </row>
    <row r="24" spans="5:137" x14ac:dyDescent="0.2">
      <c r="E24" s="29">
        <v>1768</v>
      </c>
      <c r="F24" s="28">
        <f t="shared" si="0"/>
        <v>70</v>
      </c>
      <c r="G24" s="31">
        <v>0.42809999999999998</v>
      </c>
      <c r="H24" s="31">
        <v>0.32289999999999996</v>
      </c>
      <c r="I24" s="28">
        <f t="shared" si="1"/>
        <v>216.78538247135339</v>
      </c>
      <c r="J24" s="55">
        <v>1755</v>
      </c>
      <c r="K24" s="56">
        <f t="shared" si="2"/>
        <v>57</v>
      </c>
      <c r="L24" s="57">
        <v>0.39340000000000003</v>
      </c>
      <c r="M24" s="56">
        <v>0.28780000000000006</v>
      </c>
      <c r="N24" s="56">
        <f>K24-M24</f>
        <v>56.712200000000003</v>
      </c>
      <c r="O24" s="29">
        <v>1817</v>
      </c>
      <c r="P24" s="28">
        <f t="shared" si="4"/>
        <v>119</v>
      </c>
      <c r="Q24" s="27">
        <v>0.37769999999999998</v>
      </c>
      <c r="R24" s="28">
        <v>0.27239999999999998</v>
      </c>
      <c r="S24" s="28">
        <f t="shared" si="5"/>
        <v>436.85756240822326</v>
      </c>
      <c r="T24" s="55">
        <v>1858</v>
      </c>
      <c r="U24" s="56">
        <f t="shared" si="6"/>
        <v>3556</v>
      </c>
      <c r="V24" s="57">
        <v>0.38229999999999997</v>
      </c>
      <c r="W24" s="56">
        <v>0.27729999999999999</v>
      </c>
      <c r="X24" s="56">
        <f t="shared" si="7"/>
        <v>12823.656689505951</v>
      </c>
      <c r="Y24" s="29">
        <v>2631</v>
      </c>
      <c r="Z24" s="28">
        <f t="shared" si="8"/>
        <v>933</v>
      </c>
      <c r="AA24" s="27">
        <v>0.37759999999999999</v>
      </c>
      <c r="AB24" s="28">
        <v>0.26819999999999999</v>
      </c>
      <c r="AC24" s="28">
        <f t="shared" si="9"/>
        <v>3478.7472035794185</v>
      </c>
      <c r="AD24" s="55">
        <v>2117</v>
      </c>
      <c r="AE24" s="56">
        <f t="shared" si="10"/>
        <v>419</v>
      </c>
      <c r="AF24" s="57">
        <v>0.41489999999999999</v>
      </c>
      <c r="AG24" s="56">
        <v>0.30659999999999998</v>
      </c>
      <c r="AH24" s="56">
        <f t="shared" si="11"/>
        <v>1366.6014350945859</v>
      </c>
      <c r="AI24" s="7">
        <v>2745</v>
      </c>
      <c r="AJ24" s="7">
        <f t="shared" si="12"/>
        <v>1047</v>
      </c>
      <c r="AK24" s="7">
        <v>0.44969999999999999</v>
      </c>
      <c r="AL24" s="7">
        <v>0.34460000000000002</v>
      </c>
      <c r="AM24" s="7">
        <v>-1.0653709548883077</v>
      </c>
      <c r="AN24" s="32">
        <v>1698</v>
      </c>
      <c r="AO24" s="28"/>
      <c r="AP24" s="27">
        <v>0.44969999999999999</v>
      </c>
      <c r="AQ24" s="28">
        <v>0.34460000000000002</v>
      </c>
      <c r="AR24" s="28">
        <f t="shared" si="13"/>
        <v>4927.4521183981424</v>
      </c>
      <c r="AS24" s="55">
        <v>3946</v>
      </c>
      <c r="AT24" s="56">
        <f t="shared" si="14"/>
        <v>3945.5502999999999</v>
      </c>
      <c r="AU24" s="57">
        <v>0.48649999999999999</v>
      </c>
      <c r="AV24" s="56">
        <v>0.37869999999999998</v>
      </c>
      <c r="AW24" s="55">
        <f t="shared" si="15"/>
        <v>10418.669923422234</v>
      </c>
      <c r="AX24" s="1">
        <v>1677</v>
      </c>
      <c r="AY24">
        <f t="shared" si="16"/>
        <v>67</v>
      </c>
      <c r="AZ24" s="11">
        <v>0.26219999999999999</v>
      </c>
      <c r="BA24">
        <f t="shared" si="17"/>
        <v>255.53012967200613</v>
      </c>
      <c r="BB24" s="65">
        <v>1645</v>
      </c>
      <c r="BC24" s="64">
        <f t="shared" si="18"/>
        <v>35</v>
      </c>
      <c r="BD24" s="66">
        <v>0.48349999999999999</v>
      </c>
      <c r="BE24" s="64">
        <f t="shared" si="31"/>
        <v>0.48349999999999999</v>
      </c>
      <c r="BF24" s="64"/>
      <c r="BG24" s="29">
        <v>1844</v>
      </c>
      <c r="BH24" s="28">
        <f t="shared" si="19"/>
        <v>234</v>
      </c>
      <c r="BI24" s="27">
        <v>0.4627</v>
      </c>
      <c r="BJ24" s="28">
        <f t="shared" si="32"/>
        <v>0.4627</v>
      </c>
      <c r="BK24" s="28"/>
      <c r="BL24" s="35">
        <v>1992</v>
      </c>
      <c r="BM24" s="34">
        <f t="shared" si="20"/>
        <v>382</v>
      </c>
      <c r="BN24" s="33">
        <v>0.46560000000000001</v>
      </c>
      <c r="BO24" s="34">
        <f t="shared" si="33"/>
        <v>0.46560000000000001</v>
      </c>
      <c r="BP24" s="34"/>
      <c r="BQ24" s="29">
        <v>2834</v>
      </c>
      <c r="BR24" s="28">
        <f t="shared" si="21"/>
        <v>1224</v>
      </c>
      <c r="BS24" s="27">
        <v>0.4456</v>
      </c>
      <c r="BT24" s="28">
        <f t="shared" si="34"/>
        <v>0.4456</v>
      </c>
      <c r="BU24" s="28"/>
      <c r="BV24" s="35">
        <v>2448</v>
      </c>
      <c r="BW24" s="34">
        <f t="shared" si="22"/>
        <v>838</v>
      </c>
      <c r="BX24" s="33">
        <v>0.4713</v>
      </c>
      <c r="BY24" s="34">
        <f t="shared" si="35"/>
        <v>0.4713</v>
      </c>
      <c r="BZ24" s="34"/>
      <c r="CA24" s="7">
        <v>3333</v>
      </c>
      <c r="CB24" s="7">
        <f t="shared" si="23"/>
        <v>1723</v>
      </c>
      <c r="CC24" s="7"/>
      <c r="CD24" s="7"/>
      <c r="CF24" s="32">
        <v>1610</v>
      </c>
      <c r="CG24" s="27">
        <v>0.54200000000000004</v>
      </c>
      <c r="CH24" s="28">
        <f t="shared" si="36"/>
        <v>0.54200000000000004</v>
      </c>
      <c r="CI24" s="28"/>
      <c r="CJ24" s="28"/>
      <c r="CK24" s="55">
        <v>4696</v>
      </c>
      <c r="CL24" s="57">
        <v>0.58220000000000005</v>
      </c>
      <c r="CM24" s="56">
        <f t="shared" si="37"/>
        <v>0.58220000000000005</v>
      </c>
      <c r="CN24" s="71"/>
      <c r="CO24" s="35">
        <v>1995</v>
      </c>
      <c r="CP24" s="34">
        <f t="shared" si="24"/>
        <v>426</v>
      </c>
      <c r="CQ24" s="36">
        <v>0.57050000000000001</v>
      </c>
      <c r="CR24" s="36">
        <f t="shared" si="38"/>
        <v>0.57050000000000001</v>
      </c>
      <c r="CS24" s="34"/>
      <c r="CT24" s="29">
        <v>1676</v>
      </c>
      <c r="CU24" s="28">
        <f t="shared" si="25"/>
        <v>107</v>
      </c>
      <c r="CV24" s="27">
        <v>0.55479999999999996</v>
      </c>
      <c r="CW24" s="28">
        <f t="shared" si="39"/>
        <v>0.55479999999999996</v>
      </c>
      <c r="CX24" s="28"/>
      <c r="CY24" s="55">
        <v>1727</v>
      </c>
      <c r="CZ24" s="56">
        <f t="shared" si="26"/>
        <v>158</v>
      </c>
      <c r="DA24" s="56">
        <f t="shared" si="40"/>
        <v>158</v>
      </c>
      <c r="DB24" s="56"/>
      <c r="DC24" s="56"/>
      <c r="DD24" s="35">
        <v>1919</v>
      </c>
      <c r="DE24" s="34">
        <f t="shared" si="27"/>
        <v>350</v>
      </c>
      <c r="DF24" s="34"/>
      <c r="DG24" s="34"/>
      <c r="DH24" s="34"/>
      <c r="DI24" s="65">
        <v>3019</v>
      </c>
      <c r="DJ24" s="64">
        <f t="shared" si="28"/>
        <v>1450</v>
      </c>
      <c r="DK24" s="64"/>
      <c r="DL24" s="64"/>
      <c r="DM24" s="64"/>
      <c r="DN24" s="55">
        <v>2484</v>
      </c>
      <c r="DO24" s="56">
        <f t="shared" si="29"/>
        <v>915</v>
      </c>
      <c r="DP24" s="56"/>
      <c r="DQ24" s="56"/>
      <c r="DR24" s="56"/>
      <c r="DS24" s="1">
        <v>3191</v>
      </c>
      <c r="DT24">
        <f t="shared" si="30"/>
        <v>1622</v>
      </c>
      <c r="DX24" s="37">
        <v>1569</v>
      </c>
      <c r="DY24" s="34"/>
      <c r="DZ24" s="34"/>
      <c r="EA24" s="34"/>
      <c r="EB24" s="34"/>
      <c r="EC24" s="74">
        <v>8297</v>
      </c>
      <c r="ED24" s="73"/>
      <c r="EE24" s="73"/>
      <c r="EF24" s="73"/>
      <c r="EG24" s="73"/>
    </row>
    <row r="25" spans="5:137" x14ac:dyDescent="0.2">
      <c r="E25" s="29">
        <v>1769</v>
      </c>
      <c r="F25" s="28">
        <f t="shared" si="0"/>
        <v>49</v>
      </c>
      <c r="G25" s="31">
        <v>0.44190000000000002</v>
      </c>
      <c r="H25" s="31">
        <v>0.3367</v>
      </c>
      <c r="I25" s="28">
        <f t="shared" si="1"/>
        <v>145.53014553014552</v>
      </c>
      <c r="J25" s="55">
        <v>1738</v>
      </c>
      <c r="K25" s="56">
        <f t="shared" si="2"/>
        <v>18</v>
      </c>
      <c r="L25" s="57">
        <v>0.42330000000000001</v>
      </c>
      <c r="M25" s="56">
        <v>0.31769999999999998</v>
      </c>
      <c r="N25" s="56">
        <f t="shared" si="3"/>
        <v>17.682300000000001</v>
      </c>
      <c r="O25" s="29">
        <v>1829</v>
      </c>
      <c r="P25" s="28">
        <f t="shared" si="4"/>
        <v>109</v>
      </c>
      <c r="Q25" s="27">
        <v>0.40079999999999999</v>
      </c>
      <c r="R25" s="28">
        <v>0.29549999999999998</v>
      </c>
      <c r="S25" s="28">
        <f t="shared" si="5"/>
        <v>368.86632825719124</v>
      </c>
      <c r="T25" s="55">
        <v>1846</v>
      </c>
      <c r="U25" s="56">
        <f t="shared" si="6"/>
        <v>3566</v>
      </c>
      <c r="V25" s="57">
        <v>0.40749999999999997</v>
      </c>
      <c r="W25" s="56">
        <v>0.30249999999999999</v>
      </c>
      <c r="X25" s="56">
        <f t="shared" si="7"/>
        <v>11788.429752066117</v>
      </c>
      <c r="Y25" s="29">
        <v>2566</v>
      </c>
      <c r="Z25" s="28">
        <f t="shared" si="8"/>
        <v>846</v>
      </c>
      <c r="AA25" s="27">
        <v>0.39129999999999998</v>
      </c>
      <c r="AB25" s="28">
        <v>0.28189999999999998</v>
      </c>
      <c r="AC25" s="28">
        <f t="shared" si="9"/>
        <v>3001.0642071656616</v>
      </c>
      <c r="AD25" s="55">
        <v>2095</v>
      </c>
      <c r="AE25" s="56">
        <f t="shared" si="10"/>
        <v>375</v>
      </c>
      <c r="AF25" s="57">
        <v>0.43070000000000003</v>
      </c>
      <c r="AG25" s="56">
        <v>0.32240000000000002</v>
      </c>
      <c r="AH25" s="56">
        <f t="shared" si="11"/>
        <v>1163.151364764268</v>
      </c>
      <c r="AI25" s="7">
        <v>2727</v>
      </c>
      <c r="AJ25" s="7">
        <f t="shared" si="12"/>
        <v>1007</v>
      </c>
      <c r="AK25" s="7">
        <v>0.47110000000000002</v>
      </c>
      <c r="AL25" s="7">
        <v>0.36599999999999999</v>
      </c>
      <c r="AM25" s="7">
        <v>-1.0051219455807707</v>
      </c>
      <c r="AN25" s="32">
        <v>1720</v>
      </c>
      <c r="AO25" s="28"/>
      <c r="AP25" s="27">
        <v>0.47110000000000002</v>
      </c>
      <c r="AQ25" s="28">
        <v>0.36599999999999999</v>
      </c>
      <c r="AR25" s="28">
        <f t="shared" si="13"/>
        <v>4699.4535519125684</v>
      </c>
      <c r="AS25" s="55">
        <v>4013</v>
      </c>
      <c r="AT25" s="56">
        <f t="shared" si="14"/>
        <v>4012.5288999999998</v>
      </c>
      <c r="AU25" s="57">
        <v>0.5091</v>
      </c>
      <c r="AV25" s="56">
        <v>0.40129999999999999</v>
      </c>
      <c r="AW25" s="55">
        <f t="shared" si="15"/>
        <v>9998.8260652878143</v>
      </c>
      <c r="AX25" s="1">
        <v>1713</v>
      </c>
      <c r="AY25">
        <f t="shared" si="16"/>
        <v>111</v>
      </c>
      <c r="AZ25" s="11">
        <v>0.29389999999999999</v>
      </c>
      <c r="BA25">
        <f t="shared" si="17"/>
        <v>377.67948281728479</v>
      </c>
      <c r="BB25" s="65">
        <v>1691</v>
      </c>
      <c r="BC25" s="64">
        <f t="shared" si="18"/>
        <v>89</v>
      </c>
      <c r="BD25" s="66">
        <v>0.49959999999999999</v>
      </c>
      <c r="BE25" s="64">
        <f t="shared" si="31"/>
        <v>0.49959999999999999</v>
      </c>
      <c r="BF25" s="64"/>
      <c r="BG25" s="29">
        <v>1844</v>
      </c>
      <c r="BH25" s="28">
        <f t="shared" si="19"/>
        <v>242</v>
      </c>
      <c r="BI25" s="27">
        <v>0.48220000000000002</v>
      </c>
      <c r="BJ25" s="28">
        <f t="shared" si="32"/>
        <v>0.48220000000000002</v>
      </c>
      <c r="BK25" s="28"/>
      <c r="BL25" s="35">
        <v>1976</v>
      </c>
      <c r="BM25" s="34">
        <f t="shared" si="20"/>
        <v>374</v>
      </c>
      <c r="BN25" s="33">
        <v>0.48470000000000002</v>
      </c>
      <c r="BO25" s="34">
        <f t="shared" si="33"/>
        <v>0.48470000000000002</v>
      </c>
      <c r="BP25" s="34"/>
      <c r="BQ25" s="29">
        <v>2856</v>
      </c>
      <c r="BR25" s="28">
        <f t="shared" si="21"/>
        <v>1254</v>
      </c>
      <c r="BS25" s="27">
        <v>0.47020000000000001</v>
      </c>
      <c r="BT25" s="28">
        <f t="shared" si="34"/>
        <v>0.47020000000000001</v>
      </c>
      <c r="BU25" s="28"/>
      <c r="BV25" s="35">
        <v>2415</v>
      </c>
      <c r="BW25" s="34">
        <f t="shared" si="22"/>
        <v>813</v>
      </c>
      <c r="BX25" s="33">
        <v>0.49130000000000001</v>
      </c>
      <c r="BY25" s="34">
        <f t="shared" si="35"/>
        <v>0.49130000000000001</v>
      </c>
      <c r="BZ25" s="34"/>
      <c r="CA25" s="7">
        <v>3274</v>
      </c>
      <c r="CB25" s="7">
        <f t="shared" si="23"/>
        <v>1672</v>
      </c>
      <c r="CC25" s="7"/>
      <c r="CD25" s="7"/>
      <c r="CF25" s="32">
        <v>1602</v>
      </c>
      <c r="CG25" s="27">
        <v>0.55910000000000004</v>
      </c>
      <c r="CH25" s="28">
        <f t="shared" si="36"/>
        <v>0.55910000000000004</v>
      </c>
      <c r="CI25" s="28"/>
      <c r="CJ25" s="28"/>
      <c r="CK25" s="55">
        <v>4706</v>
      </c>
      <c r="CL25" s="57">
        <v>0.59589999999999999</v>
      </c>
      <c r="CM25" s="56">
        <f t="shared" si="37"/>
        <v>0.59589999999999999</v>
      </c>
      <c r="CN25" s="71"/>
      <c r="CO25" s="35">
        <v>2005</v>
      </c>
      <c r="CP25" s="34">
        <f t="shared" si="24"/>
        <v>428</v>
      </c>
      <c r="CQ25" s="36">
        <v>0.64659999999999995</v>
      </c>
      <c r="CR25" s="36">
        <f t="shared" si="38"/>
        <v>0.64659999999999995</v>
      </c>
      <c r="CS25" s="34"/>
      <c r="CT25" s="29">
        <v>1674</v>
      </c>
      <c r="CU25" s="28">
        <f t="shared" si="25"/>
        <v>97</v>
      </c>
      <c r="CV25" s="27">
        <v>0.57479999999999998</v>
      </c>
      <c r="CW25" s="28">
        <f t="shared" si="39"/>
        <v>0.57479999999999998</v>
      </c>
      <c r="CX25" s="28"/>
      <c r="CY25" s="55">
        <v>1739</v>
      </c>
      <c r="CZ25" s="56">
        <f t="shared" si="26"/>
        <v>162</v>
      </c>
      <c r="DA25" s="56">
        <f t="shared" si="40"/>
        <v>162</v>
      </c>
      <c r="DB25" s="56"/>
      <c r="DC25" s="56"/>
      <c r="DD25" s="35">
        <v>1915</v>
      </c>
      <c r="DE25" s="34">
        <f t="shared" si="27"/>
        <v>338</v>
      </c>
      <c r="DF25" s="34"/>
      <c r="DG25" s="34"/>
      <c r="DH25" s="34"/>
      <c r="DI25" s="65">
        <v>2956</v>
      </c>
      <c r="DJ25" s="64">
        <f t="shared" si="28"/>
        <v>1379</v>
      </c>
      <c r="DK25" s="64"/>
      <c r="DL25" s="64"/>
      <c r="DM25" s="64"/>
      <c r="DN25" s="55">
        <v>2395</v>
      </c>
      <c r="DO25" s="56">
        <f t="shared" si="29"/>
        <v>818</v>
      </c>
      <c r="DP25" s="56"/>
      <c r="DQ25" s="56"/>
      <c r="DR25" s="56"/>
      <c r="DS25" s="1">
        <v>3135</v>
      </c>
      <c r="DT25">
        <f t="shared" si="30"/>
        <v>1558</v>
      </c>
      <c r="DX25" s="37">
        <v>1577</v>
      </c>
      <c r="DY25" s="34"/>
      <c r="DZ25" s="34"/>
      <c r="EA25" s="34"/>
      <c r="EB25" s="34"/>
      <c r="EC25" s="74">
        <v>8311</v>
      </c>
      <c r="ED25" s="73"/>
      <c r="EE25" s="73"/>
      <c r="EF25" s="73"/>
      <c r="EG25" s="73"/>
    </row>
    <row r="26" spans="5:137" x14ac:dyDescent="0.2">
      <c r="E26" s="29">
        <v>1763</v>
      </c>
      <c r="F26" s="28">
        <f t="shared" si="0"/>
        <v>8</v>
      </c>
      <c r="G26" s="31">
        <v>0.47870000000000001</v>
      </c>
      <c r="H26" s="31">
        <v>0.3735</v>
      </c>
      <c r="I26" s="28">
        <f t="shared" si="1"/>
        <v>21.4190093708166</v>
      </c>
      <c r="J26" s="55">
        <v>1708</v>
      </c>
      <c r="K26" s="56">
        <f t="shared" si="2"/>
        <v>-47</v>
      </c>
      <c r="L26" s="57">
        <v>0.4667</v>
      </c>
      <c r="M26" s="56">
        <v>0.36109999999999998</v>
      </c>
      <c r="N26" s="56">
        <f t="shared" si="3"/>
        <v>-47.3611</v>
      </c>
      <c r="O26" s="29">
        <v>1801</v>
      </c>
      <c r="P26" s="28">
        <f t="shared" si="4"/>
        <v>46</v>
      </c>
      <c r="Q26" s="27">
        <v>0.44230000000000003</v>
      </c>
      <c r="R26" s="28">
        <v>0.33700000000000002</v>
      </c>
      <c r="S26" s="28">
        <f t="shared" si="5"/>
        <v>136.49851632047478</v>
      </c>
      <c r="T26" s="55">
        <v>1850</v>
      </c>
      <c r="U26" s="56">
        <f t="shared" si="6"/>
        <v>3605</v>
      </c>
      <c r="V26" s="57">
        <v>0.44500000000000001</v>
      </c>
      <c r="W26" s="56">
        <v>0.34</v>
      </c>
      <c r="X26" s="56">
        <f t="shared" si="7"/>
        <v>10602.941176470587</v>
      </c>
      <c r="Y26" s="29">
        <v>2524</v>
      </c>
      <c r="Z26" s="28">
        <f t="shared" si="8"/>
        <v>769</v>
      </c>
      <c r="AA26" s="27">
        <v>0.42730000000000001</v>
      </c>
      <c r="AB26" s="28">
        <v>0.31790000000000002</v>
      </c>
      <c r="AC26" s="28">
        <f t="shared" si="9"/>
        <v>2418.9996854356714</v>
      </c>
      <c r="AD26" s="55">
        <v>2051</v>
      </c>
      <c r="AE26" s="56">
        <f t="shared" si="10"/>
        <v>296</v>
      </c>
      <c r="AF26" s="57">
        <v>0.4612</v>
      </c>
      <c r="AG26" s="56">
        <v>0.35289999999999999</v>
      </c>
      <c r="AH26" s="56">
        <f t="shared" si="11"/>
        <v>838.76452252762829</v>
      </c>
      <c r="AI26" s="7">
        <v>2648</v>
      </c>
      <c r="AJ26" s="7">
        <f t="shared" si="12"/>
        <v>893</v>
      </c>
      <c r="AK26" s="7">
        <v>0.50260000000000005</v>
      </c>
      <c r="AL26" s="7">
        <v>0.39750000000000008</v>
      </c>
      <c r="AM26" s="7">
        <v>-0.92256034488775029</v>
      </c>
      <c r="AN26" s="32">
        <v>1755</v>
      </c>
      <c r="AO26" s="28"/>
      <c r="AP26" s="27">
        <v>0.50260000000000005</v>
      </c>
      <c r="AQ26" s="28">
        <v>0.39750000000000008</v>
      </c>
      <c r="AR26" s="28">
        <f t="shared" si="13"/>
        <v>4415.0943396226403</v>
      </c>
      <c r="AS26" s="55">
        <v>3914</v>
      </c>
      <c r="AT26" s="56">
        <f t="shared" si="14"/>
        <v>3913.4974000000002</v>
      </c>
      <c r="AU26" s="57">
        <v>0.55800000000000005</v>
      </c>
      <c r="AV26" s="56">
        <v>0.45020000000000004</v>
      </c>
      <c r="AW26" s="55">
        <f t="shared" si="15"/>
        <v>8692.7974233673922</v>
      </c>
      <c r="AX26" s="1">
        <v>1708</v>
      </c>
      <c r="AY26">
        <f t="shared" si="16"/>
        <v>101</v>
      </c>
      <c r="AZ26" s="11">
        <v>0.34189999999999998</v>
      </c>
      <c r="BA26">
        <f t="shared" si="17"/>
        <v>295.40801403919278</v>
      </c>
      <c r="BB26" s="65">
        <v>1681</v>
      </c>
      <c r="BC26" s="64">
        <f t="shared" si="18"/>
        <v>74</v>
      </c>
      <c r="BD26" s="66">
        <v>0.53959999999999997</v>
      </c>
      <c r="BE26" s="64">
        <f t="shared" si="31"/>
        <v>0.53959999999999997</v>
      </c>
      <c r="BF26" s="64"/>
      <c r="BG26" s="29">
        <v>1841</v>
      </c>
      <c r="BH26" s="28">
        <f t="shared" si="19"/>
        <v>234</v>
      </c>
      <c r="BI26" s="27">
        <v>0.51939999999999997</v>
      </c>
      <c r="BJ26" s="28">
        <f t="shared" si="32"/>
        <v>0.51939999999999997</v>
      </c>
      <c r="BK26" s="28"/>
      <c r="BL26" s="35">
        <v>1969</v>
      </c>
      <c r="BM26" s="34">
        <f t="shared" si="20"/>
        <v>362</v>
      </c>
      <c r="BN26" s="33">
        <v>0.52139999999999997</v>
      </c>
      <c r="BO26" s="34">
        <f t="shared" si="33"/>
        <v>0.52139999999999997</v>
      </c>
      <c r="BP26" s="34"/>
      <c r="BQ26" s="29">
        <v>2796</v>
      </c>
      <c r="BR26" s="28">
        <f t="shared" si="21"/>
        <v>1189</v>
      </c>
      <c r="BS26" s="27">
        <v>0.50590000000000002</v>
      </c>
      <c r="BT26" s="28">
        <f t="shared" si="34"/>
        <v>0.50590000000000002</v>
      </c>
      <c r="BU26" s="28"/>
      <c r="BV26" s="35">
        <v>2388</v>
      </c>
      <c r="BW26" s="34">
        <f t="shared" si="22"/>
        <v>781</v>
      </c>
      <c r="BX26" s="33">
        <v>0.52569999999999995</v>
      </c>
      <c r="BY26" s="34">
        <f t="shared" si="35"/>
        <v>0.52569999999999995</v>
      </c>
      <c r="BZ26" s="34"/>
      <c r="CA26" s="7">
        <v>3161</v>
      </c>
      <c r="CB26" s="7">
        <f t="shared" si="23"/>
        <v>1554</v>
      </c>
      <c r="CC26" s="7"/>
      <c r="CD26" s="7"/>
      <c r="CF26" s="32">
        <v>1607</v>
      </c>
      <c r="CG26" s="27">
        <v>0.58799999999999997</v>
      </c>
      <c r="CH26" s="28">
        <f t="shared" si="36"/>
        <v>0.58799999999999997</v>
      </c>
      <c r="CI26" s="28"/>
      <c r="CJ26" s="28"/>
      <c r="CK26" s="55">
        <v>4498</v>
      </c>
      <c r="CL26" s="57">
        <v>0.6129</v>
      </c>
      <c r="CM26" s="56">
        <f t="shared" si="37"/>
        <v>0.6129</v>
      </c>
      <c r="CN26" s="71"/>
      <c r="CO26" s="35">
        <v>1979</v>
      </c>
      <c r="CP26" s="34">
        <f t="shared" si="24"/>
        <v>393</v>
      </c>
      <c r="CQ26" s="36">
        <v>0.68110000000000004</v>
      </c>
      <c r="CR26" s="36">
        <f t="shared" si="38"/>
        <v>0.68110000000000004</v>
      </c>
      <c r="CS26" s="34"/>
      <c r="CT26" s="29">
        <v>1660</v>
      </c>
      <c r="CU26" s="28">
        <f t="shared" si="25"/>
        <v>74</v>
      </c>
      <c r="CV26" s="27">
        <v>0.60419999999999996</v>
      </c>
      <c r="CW26" s="28">
        <f t="shared" si="39"/>
        <v>0.60419999999999996</v>
      </c>
      <c r="CX26" s="28"/>
      <c r="CY26" s="55">
        <v>1715</v>
      </c>
      <c r="CZ26" s="56">
        <f t="shared" si="26"/>
        <v>129</v>
      </c>
      <c r="DA26" s="56">
        <f t="shared" si="40"/>
        <v>129</v>
      </c>
      <c r="DB26" s="56"/>
      <c r="DC26" s="56"/>
      <c r="DD26" s="35">
        <v>1884</v>
      </c>
      <c r="DE26" s="34">
        <f t="shared" si="27"/>
        <v>298</v>
      </c>
      <c r="DF26" s="34"/>
      <c r="DG26" s="34"/>
      <c r="DH26" s="34"/>
      <c r="DI26" s="65">
        <v>2864</v>
      </c>
      <c r="DJ26" s="64">
        <f t="shared" si="28"/>
        <v>1278</v>
      </c>
      <c r="DK26" s="64"/>
      <c r="DL26" s="64"/>
      <c r="DM26" s="64"/>
      <c r="DN26" s="55">
        <v>2362</v>
      </c>
      <c r="DO26" s="56">
        <f t="shared" si="29"/>
        <v>776</v>
      </c>
      <c r="DP26" s="56"/>
      <c r="DQ26" s="56"/>
      <c r="DR26" s="56"/>
      <c r="DS26" s="1">
        <v>2961</v>
      </c>
      <c r="DT26">
        <f t="shared" si="30"/>
        <v>1375</v>
      </c>
      <c r="DX26" s="37">
        <v>1586</v>
      </c>
      <c r="DY26" s="34"/>
      <c r="DZ26" s="34"/>
      <c r="EA26" s="34"/>
      <c r="EB26" s="34"/>
      <c r="EC26" s="74">
        <v>7846</v>
      </c>
      <c r="ED26" s="73"/>
      <c r="EE26" s="73"/>
      <c r="EF26" s="73"/>
      <c r="EG26" s="73"/>
    </row>
    <row r="27" spans="5:137" x14ac:dyDescent="0.2">
      <c r="E27" s="29">
        <v>1796</v>
      </c>
      <c r="F27" s="28">
        <f t="shared" si="0"/>
        <v>67</v>
      </c>
      <c r="G27" s="31">
        <v>0.4985</v>
      </c>
      <c r="H27" s="31">
        <v>0.39329999999999998</v>
      </c>
      <c r="I27" s="28">
        <f t="shared" si="1"/>
        <v>170.35341978133741</v>
      </c>
      <c r="J27" s="55">
        <v>1727</v>
      </c>
      <c r="K27" s="56">
        <f t="shared" si="2"/>
        <v>-2</v>
      </c>
      <c r="L27" s="57">
        <v>0.47720000000000001</v>
      </c>
      <c r="M27" s="56">
        <v>0.37160000000000004</v>
      </c>
      <c r="N27" s="56">
        <f t="shared" si="3"/>
        <v>-2.3715999999999999</v>
      </c>
      <c r="O27" s="29">
        <v>1886</v>
      </c>
      <c r="P27" s="28">
        <f t="shared" si="4"/>
        <v>157</v>
      </c>
      <c r="Q27" s="27">
        <v>0.46110000000000001</v>
      </c>
      <c r="R27" s="28">
        <v>0.35580000000000001</v>
      </c>
      <c r="S27" s="28">
        <f t="shared" si="5"/>
        <v>441.25913434513774</v>
      </c>
      <c r="T27" s="55">
        <v>1889</v>
      </c>
      <c r="U27" s="56">
        <f t="shared" si="6"/>
        <v>3618</v>
      </c>
      <c r="V27" s="57">
        <v>0.46129999999999999</v>
      </c>
      <c r="W27" s="56">
        <v>0.35630000000000001</v>
      </c>
      <c r="X27" s="56">
        <f t="shared" si="7"/>
        <v>10154.364299747403</v>
      </c>
      <c r="Y27" s="29">
        <v>2543</v>
      </c>
      <c r="Z27" s="28">
        <f t="shared" si="8"/>
        <v>814</v>
      </c>
      <c r="AA27" s="27">
        <v>0.44740000000000002</v>
      </c>
      <c r="AB27" s="28">
        <v>0.33800000000000002</v>
      </c>
      <c r="AC27" s="28">
        <f t="shared" si="9"/>
        <v>2408.2840236686388</v>
      </c>
      <c r="AD27" s="55">
        <v>2060</v>
      </c>
      <c r="AE27" s="56">
        <f t="shared" si="10"/>
        <v>331</v>
      </c>
      <c r="AF27" s="57">
        <v>0.47220000000000001</v>
      </c>
      <c r="AG27" s="56">
        <v>0.3639</v>
      </c>
      <c r="AH27" s="56">
        <f t="shared" si="11"/>
        <v>909.59054685353124</v>
      </c>
      <c r="AI27" s="7">
        <v>2686</v>
      </c>
      <c r="AJ27" s="7">
        <f t="shared" si="12"/>
        <v>957</v>
      </c>
      <c r="AK27" s="7">
        <v>0.51680000000000004</v>
      </c>
      <c r="AL27" s="7">
        <v>0.41170000000000007</v>
      </c>
      <c r="AM27" s="7">
        <v>-0.88746035020627789</v>
      </c>
      <c r="AN27" s="32">
        <v>1729</v>
      </c>
      <c r="AO27" s="28"/>
      <c r="AP27" s="27">
        <v>0.51680000000000004</v>
      </c>
      <c r="AQ27" s="28">
        <v>0.41170000000000007</v>
      </c>
      <c r="AR27" s="28">
        <f t="shared" si="13"/>
        <v>4199.6599465630306</v>
      </c>
      <c r="AS27" s="55">
        <v>3958</v>
      </c>
      <c r="AT27" s="56">
        <f t="shared" si="14"/>
        <v>3957.4832000000001</v>
      </c>
      <c r="AU27" s="57">
        <v>0.57179999999999997</v>
      </c>
      <c r="AV27" s="56">
        <v>0.46399999999999997</v>
      </c>
      <c r="AW27" s="55">
        <f t="shared" si="15"/>
        <v>8529.0586206896569</v>
      </c>
      <c r="AX27" s="1">
        <v>1742</v>
      </c>
      <c r="AY27">
        <f t="shared" si="16"/>
        <v>116</v>
      </c>
      <c r="AZ27" s="11">
        <v>0.37080000000000002</v>
      </c>
      <c r="BA27">
        <f t="shared" si="17"/>
        <v>312.83710895361378</v>
      </c>
      <c r="BB27" s="65">
        <v>1685</v>
      </c>
      <c r="BC27" s="64">
        <f t="shared" si="18"/>
        <v>59</v>
      </c>
      <c r="BD27" s="66">
        <v>0.56020000000000003</v>
      </c>
      <c r="BE27" s="64">
        <f t="shared" si="31"/>
        <v>0.56020000000000003</v>
      </c>
      <c r="BF27" s="64"/>
      <c r="BG27" s="29">
        <v>1881</v>
      </c>
      <c r="BH27" s="28">
        <f t="shared" si="19"/>
        <v>255</v>
      </c>
      <c r="BI27" s="27">
        <v>0.54069999999999996</v>
      </c>
      <c r="BJ27" s="28">
        <f t="shared" si="32"/>
        <v>0.54069999999999996</v>
      </c>
      <c r="BK27" s="28"/>
      <c r="BL27" s="35">
        <v>1952</v>
      </c>
      <c r="BM27" s="34">
        <f t="shared" si="20"/>
        <v>326</v>
      </c>
      <c r="BN27" s="33">
        <v>0.54059999999999997</v>
      </c>
      <c r="BO27" s="34">
        <f t="shared" si="33"/>
        <v>0.54059999999999997</v>
      </c>
      <c r="BP27" s="34"/>
      <c r="BQ27" s="29">
        <v>2820</v>
      </c>
      <c r="BR27" s="28">
        <f t="shared" si="21"/>
        <v>1194</v>
      </c>
      <c r="BS27" s="27">
        <v>0.5252</v>
      </c>
      <c r="BT27" s="28">
        <f t="shared" si="34"/>
        <v>0.5252</v>
      </c>
      <c r="BU27" s="28"/>
      <c r="BV27" s="35">
        <v>2387</v>
      </c>
      <c r="BW27" s="34">
        <f t="shared" si="22"/>
        <v>761</v>
      </c>
      <c r="BX27" s="33">
        <v>0.54169999999999996</v>
      </c>
      <c r="BY27" s="34">
        <f t="shared" si="35"/>
        <v>0.54169999999999996</v>
      </c>
      <c r="BZ27" s="34"/>
      <c r="CA27" s="7">
        <v>3135</v>
      </c>
      <c r="CB27" s="7">
        <f t="shared" si="23"/>
        <v>1509</v>
      </c>
      <c r="CC27" s="7"/>
      <c r="CD27" s="7"/>
      <c r="CF27" s="32">
        <v>1626</v>
      </c>
      <c r="CG27" s="27">
        <v>0.58799999999999997</v>
      </c>
      <c r="CH27" s="28">
        <f t="shared" si="36"/>
        <v>0.58799999999999997</v>
      </c>
      <c r="CI27" s="28"/>
      <c r="CJ27" s="28"/>
      <c r="CK27" s="55">
        <v>4540</v>
      </c>
      <c r="CL27" s="57">
        <v>0.61929999999999996</v>
      </c>
      <c r="CM27" s="56">
        <f t="shared" si="37"/>
        <v>0.61929999999999996</v>
      </c>
      <c r="CN27" s="71"/>
      <c r="CO27" s="35">
        <v>2023</v>
      </c>
      <c r="CP27" s="34">
        <f t="shared" si="24"/>
        <v>431</v>
      </c>
      <c r="CQ27" s="36">
        <v>0.62670000000000003</v>
      </c>
      <c r="CR27" s="36">
        <f t="shared" si="38"/>
        <v>0.62670000000000003</v>
      </c>
      <c r="CS27" s="34"/>
      <c r="CT27" s="29">
        <v>1686</v>
      </c>
      <c r="CU27" s="28">
        <f t="shared" si="25"/>
        <v>94</v>
      </c>
      <c r="CV27" s="27">
        <v>0.61799999999999999</v>
      </c>
      <c r="CW27" s="28">
        <f t="shared" si="39"/>
        <v>0.61799999999999999</v>
      </c>
      <c r="CX27" s="28"/>
      <c r="CY27" s="55">
        <v>1727</v>
      </c>
      <c r="CZ27" s="56">
        <f t="shared" si="26"/>
        <v>135</v>
      </c>
      <c r="DA27" s="56">
        <f t="shared" si="40"/>
        <v>135</v>
      </c>
      <c r="DB27" s="56"/>
      <c r="DC27" s="56"/>
      <c r="DD27" s="35">
        <v>1898</v>
      </c>
      <c r="DE27" s="34">
        <f t="shared" si="27"/>
        <v>306</v>
      </c>
      <c r="DF27" s="34"/>
      <c r="DG27" s="34"/>
      <c r="DH27" s="34"/>
      <c r="DI27" s="65">
        <v>2865</v>
      </c>
      <c r="DJ27" s="64">
        <f t="shared" si="28"/>
        <v>1273</v>
      </c>
      <c r="DK27" s="64"/>
      <c r="DL27" s="64"/>
      <c r="DM27" s="64"/>
      <c r="DN27" s="55">
        <v>2350</v>
      </c>
      <c r="DO27" s="56">
        <f t="shared" si="29"/>
        <v>758</v>
      </c>
      <c r="DP27" s="56"/>
      <c r="DQ27" s="56"/>
      <c r="DR27" s="56"/>
      <c r="DS27" s="1">
        <v>2939</v>
      </c>
      <c r="DT27">
        <f t="shared" si="30"/>
        <v>1347</v>
      </c>
      <c r="DX27" s="37">
        <v>1592</v>
      </c>
      <c r="DY27" s="34"/>
      <c r="DZ27" s="34"/>
      <c r="EA27" s="34"/>
      <c r="EB27" s="34"/>
      <c r="EC27" s="74">
        <v>7735</v>
      </c>
      <c r="ED27" s="73"/>
      <c r="EE27" s="73"/>
      <c r="EF27" s="73"/>
      <c r="EG27" s="73"/>
    </row>
    <row r="28" spans="5:137" x14ac:dyDescent="0.2">
      <c r="E28" s="29">
        <v>1802</v>
      </c>
      <c r="F28" s="28">
        <f t="shared" si="0"/>
        <v>77</v>
      </c>
      <c r="G28" s="31">
        <v>0.4985</v>
      </c>
      <c r="H28" s="31">
        <v>0.39329999999999998</v>
      </c>
      <c r="I28" s="28">
        <f t="shared" si="1"/>
        <v>195.77930333079075</v>
      </c>
      <c r="J28" s="55">
        <v>1749</v>
      </c>
      <c r="K28" s="56">
        <f t="shared" si="2"/>
        <v>24</v>
      </c>
      <c r="L28" s="57">
        <v>0.48899999999999999</v>
      </c>
      <c r="M28" s="56">
        <v>0.38339999999999996</v>
      </c>
      <c r="N28" s="56">
        <f t="shared" si="3"/>
        <v>23.616599999999998</v>
      </c>
      <c r="O28" s="29">
        <v>1889</v>
      </c>
      <c r="P28" s="28">
        <f t="shared" si="4"/>
        <v>164</v>
      </c>
      <c r="Q28" s="27">
        <v>0.46289999999999998</v>
      </c>
      <c r="R28" s="28">
        <v>0.35759999999999997</v>
      </c>
      <c r="S28" s="28">
        <f t="shared" si="5"/>
        <v>458.61297539149894</v>
      </c>
      <c r="T28" s="55">
        <v>1900</v>
      </c>
      <c r="U28" s="56">
        <f t="shared" si="6"/>
        <v>3625</v>
      </c>
      <c r="V28" s="57">
        <v>0.46529999999999999</v>
      </c>
      <c r="W28" s="56">
        <v>0.36030000000000001</v>
      </c>
      <c r="X28" s="56">
        <f t="shared" si="7"/>
        <v>10061.060227588121</v>
      </c>
      <c r="Y28" s="29">
        <v>2553</v>
      </c>
      <c r="Z28" s="28">
        <f t="shared" si="8"/>
        <v>828</v>
      </c>
      <c r="AA28" s="27">
        <v>0.45079999999999998</v>
      </c>
      <c r="AB28" s="28">
        <v>0.34139999999999998</v>
      </c>
      <c r="AC28" s="28">
        <f t="shared" si="9"/>
        <v>2425.3075571177505</v>
      </c>
      <c r="AD28" s="55">
        <v>2059</v>
      </c>
      <c r="AE28" s="56">
        <f t="shared" si="10"/>
        <v>334</v>
      </c>
      <c r="AF28" s="57">
        <v>0.4899</v>
      </c>
      <c r="AG28" s="56">
        <v>0.38159999999999999</v>
      </c>
      <c r="AH28" s="56">
        <f t="shared" si="11"/>
        <v>875.26205450733755</v>
      </c>
      <c r="AI28" s="7">
        <v>2645</v>
      </c>
      <c r="AJ28" s="7">
        <f t="shared" si="12"/>
        <v>920</v>
      </c>
      <c r="AK28" s="7">
        <v>0.53620000000000001</v>
      </c>
      <c r="AL28" s="7">
        <v>0.43110000000000004</v>
      </c>
      <c r="AM28" s="7">
        <v>-0.84141519722904801</v>
      </c>
      <c r="AN28" s="32">
        <v>1725</v>
      </c>
      <c r="AO28" s="28"/>
      <c r="AP28" s="27">
        <v>0.53620000000000001</v>
      </c>
      <c r="AQ28" s="28">
        <v>0.43110000000000004</v>
      </c>
      <c r="AR28" s="28">
        <f t="shared" si="13"/>
        <v>4001.3917884481557</v>
      </c>
      <c r="AS28" s="55">
        <v>3915</v>
      </c>
      <c r="AT28" s="56">
        <f t="shared" si="14"/>
        <v>3914.4638</v>
      </c>
      <c r="AU28" s="57">
        <v>0.58860000000000001</v>
      </c>
      <c r="AV28" s="56">
        <v>0.48080000000000001</v>
      </c>
      <c r="AW28" s="55">
        <f t="shared" si="15"/>
        <v>8141.5636439267882</v>
      </c>
      <c r="AX28" s="1">
        <v>1776</v>
      </c>
      <c r="AY28">
        <f t="shared" si="16"/>
        <v>148</v>
      </c>
      <c r="AZ28" s="11">
        <v>0.40839999999999999</v>
      </c>
      <c r="BA28">
        <f t="shared" si="17"/>
        <v>362.38981390793339</v>
      </c>
      <c r="BB28" s="65">
        <v>1731</v>
      </c>
      <c r="BC28" s="64">
        <f t="shared" si="18"/>
        <v>103</v>
      </c>
      <c r="BD28" s="66">
        <v>0.55930000000000002</v>
      </c>
      <c r="BE28" s="64">
        <f t="shared" si="31"/>
        <v>0.55930000000000002</v>
      </c>
      <c r="BF28" s="64"/>
      <c r="BG28" s="29">
        <v>1856</v>
      </c>
      <c r="BH28" s="28">
        <f t="shared" si="19"/>
        <v>228</v>
      </c>
      <c r="BI28" s="27">
        <v>0.54300000000000004</v>
      </c>
      <c r="BJ28" s="28">
        <f t="shared" si="32"/>
        <v>0.54300000000000004</v>
      </c>
      <c r="BK28" s="28"/>
      <c r="BL28" s="35">
        <v>1994</v>
      </c>
      <c r="BM28" s="34">
        <f t="shared" si="20"/>
        <v>366</v>
      </c>
      <c r="BN28" s="33">
        <v>0.54349999999999998</v>
      </c>
      <c r="BO28" s="34">
        <f t="shared" si="33"/>
        <v>0.54349999999999998</v>
      </c>
      <c r="BP28" s="34"/>
      <c r="BQ28" s="29">
        <v>2807</v>
      </c>
      <c r="BR28" s="28">
        <f t="shared" si="21"/>
        <v>1179</v>
      </c>
      <c r="BS28" s="27">
        <v>0.53100000000000003</v>
      </c>
      <c r="BT28" s="28">
        <f t="shared" si="34"/>
        <v>0.53100000000000003</v>
      </c>
      <c r="BU28" s="28"/>
      <c r="BV28" s="35">
        <v>2439</v>
      </c>
      <c r="BW28" s="34">
        <f t="shared" si="22"/>
        <v>811</v>
      </c>
      <c r="BX28" s="33">
        <v>0.54869999999999997</v>
      </c>
      <c r="BY28" s="34">
        <f t="shared" si="35"/>
        <v>0.54869999999999997</v>
      </c>
      <c r="BZ28" s="34"/>
      <c r="CA28" s="7">
        <v>3092</v>
      </c>
      <c r="CB28" s="7">
        <f t="shared" si="23"/>
        <v>1464</v>
      </c>
      <c r="CC28" s="7"/>
      <c r="CD28" s="7"/>
      <c r="CF28" s="32">
        <v>1628</v>
      </c>
      <c r="CG28" s="27">
        <v>0.60060000000000002</v>
      </c>
      <c r="CH28" s="28">
        <f t="shared" si="36"/>
        <v>0.60060000000000002</v>
      </c>
      <c r="CI28" s="28"/>
      <c r="CJ28" s="28"/>
      <c r="CK28" s="55">
        <v>4423</v>
      </c>
      <c r="CL28" s="57">
        <v>0.627</v>
      </c>
      <c r="CM28" s="56">
        <f t="shared" si="37"/>
        <v>0.627</v>
      </c>
      <c r="CN28" s="71"/>
      <c r="CO28" s="35">
        <v>1933</v>
      </c>
      <c r="CP28" s="34">
        <f t="shared" si="24"/>
        <v>380</v>
      </c>
      <c r="CQ28" s="36">
        <v>0.71750000000000003</v>
      </c>
      <c r="CR28" s="36">
        <f t="shared" si="38"/>
        <v>0.71750000000000003</v>
      </c>
      <c r="CS28" s="34"/>
      <c r="CT28" s="29">
        <v>1688</v>
      </c>
      <c r="CU28" s="28">
        <f t="shared" si="25"/>
        <v>135</v>
      </c>
      <c r="CV28" s="27">
        <v>0.62419999999999998</v>
      </c>
      <c r="CW28" s="28">
        <f t="shared" si="39"/>
        <v>0.62419999999999998</v>
      </c>
      <c r="CX28" s="28"/>
      <c r="CY28" s="55">
        <v>1718</v>
      </c>
      <c r="CZ28" s="56">
        <f t="shared" si="26"/>
        <v>165</v>
      </c>
      <c r="DA28" s="56">
        <f t="shared" si="40"/>
        <v>165</v>
      </c>
      <c r="DB28" s="56"/>
      <c r="DC28" s="56"/>
      <c r="DD28" s="35">
        <v>1928</v>
      </c>
      <c r="DE28" s="34">
        <f t="shared" si="27"/>
        <v>375</v>
      </c>
      <c r="DF28" s="34"/>
      <c r="DG28" s="34"/>
      <c r="DH28" s="34"/>
      <c r="DI28" s="65">
        <v>2808</v>
      </c>
      <c r="DJ28" s="64">
        <f t="shared" si="28"/>
        <v>1255</v>
      </c>
      <c r="DK28" s="64"/>
      <c r="DL28" s="64"/>
      <c r="DM28" s="64"/>
      <c r="DN28" s="55">
        <v>2342</v>
      </c>
      <c r="DO28" s="56">
        <f t="shared" si="29"/>
        <v>789</v>
      </c>
      <c r="DP28" s="56"/>
      <c r="DQ28" s="56"/>
      <c r="DR28" s="56"/>
      <c r="DS28" s="1">
        <v>2883</v>
      </c>
      <c r="DT28">
        <f t="shared" si="30"/>
        <v>1330</v>
      </c>
      <c r="DX28" s="37">
        <v>1553</v>
      </c>
      <c r="DY28" s="34"/>
      <c r="DZ28" s="34"/>
      <c r="EA28" s="34"/>
      <c r="EB28" s="34"/>
      <c r="EC28" s="74">
        <v>7357</v>
      </c>
      <c r="ED28" s="73"/>
      <c r="EE28" s="73"/>
      <c r="EF28" s="73"/>
      <c r="EG28" s="73"/>
    </row>
    <row r="29" spans="5:137" x14ac:dyDescent="0.2">
      <c r="E29" s="29">
        <v>1812</v>
      </c>
      <c r="F29" s="28">
        <f t="shared" si="0"/>
        <v>114</v>
      </c>
      <c r="G29" s="27">
        <v>0.51829999999999998</v>
      </c>
      <c r="H29" s="28">
        <v>0.41309999999999997</v>
      </c>
      <c r="I29" s="28">
        <f t="shared" si="1"/>
        <v>275.9622367465505</v>
      </c>
      <c r="J29" s="55">
        <v>1769</v>
      </c>
      <c r="K29" s="56">
        <f t="shared" si="2"/>
        <v>71</v>
      </c>
      <c r="L29" s="57">
        <v>0.50629999999999997</v>
      </c>
      <c r="M29" s="56">
        <v>0.40069999999999995</v>
      </c>
      <c r="N29" s="56">
        <f t="shared" si="3"/>
        <v>70.599299999999999</v>
      </c>
      <c r="O29" s="29">
        <v>1874</v>
      </c>
      <c r="P29" s="28">
        <f t="shared" si="4"/>
        <v>176</v>
      </c>
      <c r="Q29" s="27">
        <v>0.48430000000000001</v>
      </c>
      <c r="R29" s="28">
        <v>0.379</v>
      </c>
      <c r="S29" s="28">
        <f t="shared" si="5"/>
        <v>464.37994722955142</v>
      </c>
      <c r="T29" s="55">
        <v>1886</v>
      </c>
      <c r="U29" s="56">
        <f t="shared" si="6"/>
        <v>3584</v>
      </c>
      <c r="V29" s="57">
        <v>0.48499999999999999</v>
      </c>
      <c r="W29" s="56">
        <v>0.38</v>
      </c>
      <c r="X29" s="56">
        <f t="shared" si="7"/>
        <v>9431.5789473684217</v>
      </c>
      <c r="Y29" s="29">
        <v>2573</v>
      </c>
      <c r="Z29" s="28">
        <f t="shared" si="8"/>
        <v>875</v>
      </c>
      <c r="AA29" s="27">
        <v>0.47</v>
      </c>
      <c r="AB29" s="28">
        <v>0.36059999999999998</v>
      </c>
      <c r="AC29" s="28">
        <f t="shared" si="9"/>
        <v>2426.5113699389908</v>
      </c>
      <c r="AD29" s="55">
        <v>2061</v>
      </c>
      <c r="AE29" s="56">
        <f t="shared" si="10"/>
        <v>363</v>
      </c>
      <c r="AF29" s="57">
        <v>0.48909999999999998</v>
      </c>
      <c r="AG29" s="56">
        <v>0.38079999999999997</v>
      </c>
      <c r="AH29" s="56">
        <f t="shared" si="11"/>
        <v>953.25630252100848</v>
      </c>
      <c r="AI29" s="7">
        <v>2641</v>
      </c>
      <c r="AJ29" s="7">
        <f t="shared" si="12"/>
        <v>943</v>
      </c>
      <c r="AK29" s="7">
        <v>0.54120000000000001</v>
      </c>
      <c r="AL29" s="7">
        <v>0.43610000000000004</v>
      </c>
      <c r="AM29" s="7">
        <v>-0.82988370413341617</v>
      </c>
      <c r="AN29" s="32">
        <v>1698</v>
      </c>
      <c r="AO29" s="28"/>
      <c r="AP29" s="27">
        <v>0.54120000000000001</v>
      </c>
      <c r="AQ29" s="28">
        <v>0.43610000000000004</v>
      </c>
      <c r="AR29" s="28">
        <f t="shared" si="13"/>
        <v>3893.602384774134</v>
      </c>
      <c r="AS29" s="55">
        <v>3853</v>
      </c>
      <c r="AT29" s="56">
        <f t="shared" si="14"/>
        <v>3852.4587999999999</v>
      </c>
      <c r="AU29" s="57">
        <v>0.60729999999999995</v>
      </c>
      <c r="AV29" s="56">
        <v>0.49949999999999994</v>
      </c>
      <c r="AW29" s="55">
        <f t="shared" si="15"/>
        <v>7712.6302302302311</v>
      </c>
      <c r="AX29" s="1">
        <v>1804</v>
      </c>
      <c r="AY29">
        <f t="shared" si="16"/>
        <v>178</v>
      </c>
      <c r="AZ29" s="8">
        <v>0.4491</v>
      </c>
      <c r="BA29">
        <f t="shared" si="17"/>
        <v>396.34825205967491</v>
      </c>
      <c r="BB29" s="65">
        <v>1711</v>
      </c>
      <c r="BC29" s="64">
        <f t="shared" si="18"/>
        <v>85</v>
      </c>
      <c r="BD29" s="66">
        <v>0.57679999999999998</v>
      </c>
      <c r="BE29" s="64">
        <f t="shared" si="31"/>
        <v>0.57679999999999998</v>
      </c>
      <c r="BF29" s="64"/>
      <c r="BG29" s="29">
        <v>1872</v>
      </c>
      <c r="BH29" s="28">
        <f t="shared" si="19"/>
        <v>246</v>
      </c>
      <c r="BI29" s="27">
        <v>0.55989999999999995</v>
      </c>
      <c r="BJ29" s="28">
        <f t="shared" si="32"/>
        <v>0.55989999999999995</v>
      </c>
      <c r="BK29" s="28"/>
      <c r="BL29" s="35">
        <v>1964</v>
      </c>
      <c r="BM29" s="34">
        <f t="shared" si="20"/>
        <v>338</v>
      </c>
      <c r="BN29" s="33">
        <v>0.56140000000000001</v>
      </c>
      <c r="BO29" s="34">
        <f t="shared" si="33"/>
        <v>0.56140000000000001</v>
      </c>
      <c r="BP29" s="34"/>
      <c r="BQ29" s="29">
        <v>2766</v>
      </c>
      <c r="BR29" s="28">
        <f t="shared" si="21"/>
        <v>1140</v>
      </c>
      <c r="BS29" s="27">
        <v>0.55000000000000004</v>
      </c>
      <c r="BT29" s="28">
        <f t="shared" si="34"/>
        <v>0.55000000000000004</v>
      </c>
      <c r="BU29" s="28"/>
      <c r="BV29" s="35">
        <v>2373</v>
      </c>
      <c r="BW29" s="34">
        <f t="shared" si="22"/>
        <v>747</v>
      </c>
      <c r="BX29" s="33">
        <v>0.56359999999999999</v>
      </c>
      <c r="BY29" s="34">
        <f t="shared" si="35"/>
        <v>0.56359999999999999</v>
      </c>
      <c r="BZ29" s="34"/>
      <c r="CA29" s="7">
        <v>3071</v>
      </c>
      <c r="CB29" s="7">
        <f t="shared" si="23"/>
        <v>1445</v>
      </c>
      <c r="CC29" s="7"/>
      <c r="CD29" s="7"/>
      <c r="CF29" s="32">
        <v>1626</v>
      </c>
      <c r="CG29" s="27">
        <v>0.59699999999999998</v>
      </c>
      <c r="CH29" s="28">
        <f t="shared" si="36"/>
        <v>0.59699999999999998</v>
      </c>
      <c r="CI29" s="28"/>
      <c r="CJ29" s="28"/>
      <c r="CK29" s="55">
        <v>4319</v>
      </c>
      <c r="CL29" s="57">
        <v>0.62470000000000003</v>
      </c>
      <c r="CM29" s="56">
        <f t="shared" si="37"/>
        <v>0.62470000000000003</v>
      </c>
      <c r="CN29" s="71"/>
      <c r="CO29" s="35">
        <v>1965</v>
      </c>
      <c r="CP29" s="34">
        <f t="shared" si="24"/>
        <v>373</v>
      </c>
      <c r="CQ29" s="33">
        <v>0.71819999999999995</v>
      </c>
      <c r="CR29" s="34">
        <f t="shared" si="38"/>
        <v>0.71819999999999995</v>
      </c>
      <c r="CS29" s="34"/>
      <c r="CT29" s="29">
        <v>1691</v>
      </c>
      <c r="CU29" s="28">
        <f t="shared" si="25"/>
        <v>99</v>
      </c>
      <c r="CV29" s="27">
        <v>0.62880000000000003</v>
      </c>
      <c r="CW29" s="28">
        <f t="shared" si="39"/>
        <v>0.62880000000000003</v>
      </c>
      <c r="CX29" s="28"/>
      <c r="CY29" s="55">
        <v>1722</v>
      </c>
      <c r="CZ29" s="56">
        <f t="shared" si="26"/>
        <v>130</v>
      </c>
      <c r="DA29" s="56">
        <f t="shared" si="40"/>
        <v>130</v>
      </c>
      <c r="DB29" s="56"/>
      <c r="DC29" s="56"/>
      <c r="DD29" s="35">
        <v>1913</v>
      </c>
      <c r="DE29" s="34">
        <f t="shared" si="27"/>
        <v>321</v>
      </c>
      <c r="DF29" s="34"/>
      <c r="DG29" s="34"/>
      <c r="DH29" s="34"/>
      <c r="DI29" s="65">
        <v>2806</v>
      </c>
      <c r="DJ29" s="64">
        <f t="shared" si="28"/>
        <v>1214</v>
      </c>
      <c r="DK29" s="64"/>
      <c r="DL29" s="64"/>
      <c r="DM29" s="64"/>
      <c r="DN29" s="55">
        <v>2341</v>
      </c>
      <c r="DO29" s="56">
        <f t="shared" si="29"/>
        <v>749</v>
      </c>
      <c r="DP29" s="56"/>
      <c r="DQ29" s="56"/>
      <c r="DR29" s="56"/>
      <c r="DS29" s="1">
        <v>2823</v>
      </c>
      <c r="DT29">
        <f t="shared" si="30"/>
        <v>1231</v>
      </c>
      <c r="DX29" s="37">
        <v>1592</v>
      </c>
      <c r="DY29" s="34"/>
      <c r="DZ29" s="34"/>
      <c r="EA29" s="34"/>
      <c r="EB29" s="34"/>
      <c r="EC29" s="74">
        <v>7232</v>
      </c>
      <c r="ED29" s="73"/>
      <c r="EE29" s="73"/>
      <c r="EF29" s="73"/>
      <c r="EG29" s="73"/>
    </row>
    <row r="30" spans="5:137" x14ac:dyDescent="0.2">
      <c r="E30" s="29">
        <v>1774</v>
      </c>
      <c r="F30" s="28">
        <f t="shared" si="0"/>
        <v>53</v>
      </c>
      <c r="G30" s="27">
        <v>0.51900000000000002</v>
      </c>
      <c r="H30" s="28">
        <v>0.4138</v>
      </c>
      <c r="I30" s="28">
        <f t="shared" si="1"/>
        <v>128.08119864668922</v>
      </c>
      <c r="J30" s="55">
        <v>1763</v>
      </c>
      <c r="K30" s="56">
        <f t="shared" si="2"/>
        <v>42</v>
      </c>
      <c r="L30" s="57">
        <v>0.5151</v>
      </c>
      <c r="M30" s="56">
        <v>0.40949999999999998</v>
      </c>
      <c r="N30" s="56">
        <f t="shared" si="3"/>
        <v>41.590499999999999</v>
      </c>
      <c r="O30" s="29">
        <v>1842</v>
      </c>
      <c r="P30" s="28">
        <f t="shared" si="4"/>
        <v>121</v>
      </c>
      <c r="Q30" s="27">
        <v>0.49890000000000001</v>
      </c>
      <c r="R30" s="28">
        <v>0.39360000000000001</v>
      </c>
      <c r="S30" s="28">
        <f t="shared" si="5"/>
        <v>307.41869918699189</v>
      </c>
      <c r="T30" s="55">
        <v>1857</v>
      </c>
      <c r="U30" s="56">
        <f t="shared" si="6"/>
        <v>3578</v>
      </c>
      <c r="V30" s="57">
        <v>0.49559999999999998</v>
      </c>
      <c r="W30" s="56">
        <v>0.3906</v>
      </c>
      <c r="X30" s="56">
        <f t="shared" si="7"/>
        <v>9160.26625704045</v>
      </c>
      <c r="Y30" s="29">
        <v>2523</v>
      </c>
      <c r="Z30" s="28">
        <f t="shared" si="8"/>
        <v>802</v>
      </c>
      <c r="AA30" s="27">
        <v>0.48209999999999997</v>
      </c>
      <c r="AB30" s="28">
        <v>0.37269999999999998</v>
      </c>
      <c r="AC30" s="28">
        <f t="shared" si="9"/>
        <v>2151.8647705929702</v>
      </c>
      <c r="AD30" s="55">
        <v>2036</v>
      </c>
      <c r="AE30" s="56">
        <f t="shared" si="10"/>
        <v>315</v>
      </c>
      <c r="AF30" s="57">
        <v>0.51749999999999996</v>
      </c>
      <c r="AG30" s="56">
        <v>0.40919999999999995</v>
      </c>
      <c r="AH30" s="56">
        <f t="shared" si="11"/>
        <v>769.79472140762471</v>
      </c>
      <c r="AI30" s="7">
        <v>2608</v>
      </c>
      <c r="AJ30" s="7">
        <f t="shared" si="12"/>
        <v>887</v>
      </c>
      <c r="AK30" s="7">
        <v>0.57040000000000002</v>
      </c>
      <c r="AL30" s="7">
        <v>0.46530000000000005</v>
      </c>
      <c r="AM30" s="7">
        <v>-0.76507292013153416</v>
      </c>
      <c r="AN30" s="32">
        <v>1721</v>
      </c>
      <c r="AO30" s="28"/>
      <c r="AP30" s="27">
        <v>0.57040000000000002</v>
      </c>
      <c r="AQ30" s="28">
        <v>0.46530000000000005</v>
      </c>
      <c r="AR30" s="28">
        <f t="shared" si="13"/>
        <v>3698.6890178379535</v>
      </c>
      <c r="AS30" s="55">
        <v>3835</v>
      </c>
      <c r="AT30" s="56">
        <f t="shared" si="14"/>
        <v>3834.4295999999999</v>
      </c>
      <c r="AU30" s="57">
        <v>0.62109999999999999</v>
      </c>
      <c r="AV30" s="56">
        <v>0.51329999999999998</v>
      </c>
      <c r="AW30" s="55">
        <f t="shared" si="15"/>
        <v>7470.1531268264171</v>
      </c>
      <c r="AX30" s="1">
        <v>1806</v>
      </c>
      <c r="AY30">
        <f t="shared" si="16"/>
        <v>199</v>
      </c>
      <c r="AZ30" s="8">
        <v>0.49280000000000002</v>
      </c>
      <c r="BA30">
        <f t="shared" si="17"/>
        <v>403.81493506493507</v>
      </c>
      <c r="BB30" s="65">
        <v>1720</v>
      </c>
      <c r="BC30" s="64">
        <f t="shared" si="18"/>
        <v>113</v>
      </c>
      <c r="BD30" s="66">
        <v>0.58699999999999997</v>
      </c>
      <c r="BE30" s="64">
        <f t="shared" si="31"/>
        <v>0.58699999999999997</v>
      </c>
      <c r="BF30" s="64"/>
      <c r="BG30" s="29">
        <v>1892</v>
      </c>
      <c r="BH30" s="28">
        <f t="shared" si="19"/>
        <v>285</v>
      </c>
      <c r="BI30" s="27">
        <v>0.57410000000000005</v>
      </c>
      <c r="BJ30" s="28">
        <f t="shared" si="32"/>
        <v>0.57410000000000005</v>
      </c>
      <c r="BK30" s="28"/>
      <c r="BL30" s="35">
        <v>2001</v>
      </c>
      <c r="BM30" s="34">
        <f t="shared" si="20"/>
        <v>394</v>
      </c>
      <c r="BN30" s="33">
        <v>0.57089999999999996</v>
      </c>
      <c r="BO30" s="34">
        <f t="shared" si="33"/>
        <v>0.57089999999999996</v>
      </c>
      <c r="BP30" s="34"/>
      <c r="BQ30" s="29">
        <v>2731</v>
      </c>
      <c r="BR30" s="28">
        <f t="shared" si="21"/>
        <v>1124</v>
      </c>
      <c r="BS30" s="27">
        <v>0.5595</v>
      </c>
      <c r="BT30" s="28">
        <f t="shared" si="34"/>
        <v>0.5595</v>
      </c>
      <c r="BU30" s="28"/>
      <c r="BV30" s="35">
        <v>2383</v>
      </c>
      <c r="BW30" s="34">
        <f t="shared" si="22"/>
        <v>776</v>
      </c>
      <c r="BX30" s="33">
        <v>0.57410000000000005</v>
      </c>
      <c r="BY30" s="34">
        <f t="shared" si="35"/>
        <v>0.57410000000000005</v>
      </c>
      <c r="BZ30" s="34"/>
      <c r="CA30" s="7">
        <v>3026</v>
      </c>
      <c r="CB30" s="7">
        <f t="shared" si="23"/>
        <v>1419</v>
      </c>
      <c r="CC30" s="7"/>
      <c r="CD30" s="7"/>
      <c r="CF30" s="32">
        <v>1607</v>
      </c>
      <c r="CG30" s="27">
        <v>0.60799999999999998</v>
      </c>
      <c r="CH30" s="28">
        <f t="shared" si="36"/>
        <v>0.60799999999999998</v>
      </c>
      <c r="CI30" s="28"/>
      <c r="CJ30" s="28"/>
      <c r="CK30" s="55">
        <v>4226</v>
      </c>
      <c r="CL30" s="57">
        <v>0.64290000000000003</v>
      </c>
      <c r="CM30" s="56">
        <f t="shared" si="37"/>
        <v>0.64290000000000003</v>
      </c>
      <c r="CN30" s="71"/>
      <c r="CO30" s="35">
        <v>1954</v>
      </c>
      <c r="CP30" s="34">
        <f t="shared" si="24"/>
        <v>369</v>
      </c>
      <c r="CQ30" s="33">
        <v>0.70279999999999998</v>
      </c>
      <c r="CR30" s="34">
        <f t="shared" si="38"/>
        <v>0.70279999999999998</v>
      </c>
      <c r="CS30" s="34"/>
      <c r="CT30" s="29">
        <v>1678</v>
      </c>
      <c r="CU30" s="28">
        <f t="shared" si="25"/>
        <v>93</v>
      </c>
      <c r="CV30" s="27">
        <v>0.64400000000000002</v>
      </c>
      <c r="CW30" s="28">
        <f t="shared" si="39"/>
        <v>0.64400000000000002</v>
      </c>
      <c r="CX30" s="28"/>
      <c r="CY30" s="55">
        <v>1725</v>
      </c>
      <c r="CZ30" s="56">
        <f t="shared" si="26"/>
        <v>140</v>
      </c>
      <c r="DA30" s="56">
        <f t="shared" si="40"/>
        <v>140</v>
      </c>
      <c r="DB30" s="56"/>
      <c r="DC30" s="56"/>
      <c r="DD30" s="35">
        <v>1874</v>
      </c>
      <c r="DE30" s="34">
        <f t="shared" si="27"/>
        <v>289</v>
      </c>
      <c r="DF30" s="34"/>
      <c r="DG30" s="34"/>
      <c r="DH30" s="34"/>
      <c r="DI30" s="65">
        <v>2740</v>
      </c>
      <c r="DJ30" s="64">
        <f t="shared" si="28"/>
        <v>1155</v>
      </c>
      <c r="DK30" s="64"/>
      <c r="DL30" s="64"/>
      <c r="DM30" s="64"/>
      <c r="DN30" s="55">
        <v>2253</v>
      </c>
      <c r="DO30" s="56">
        <f t="shared" si="29"/>
        <v>668</v>
      </c>
      <c r="DP30" s="56"/>
      <c r="DQ30" s="56"/>
      <c r="DR30" s="56"/>
      <c r="DS30" s="1">
        <v>2752</v>
      </c>
      <c r="DT30">
        <f t="shared" si="30"/>
        <v>1167</v>
      </c>
      <c r="DX30" s="37">
        <v>1585</v>
      </c>
      <c r="DY30" s="34"/>
      <c r="DZ30" s="34"/>
      <c r="EA30" s="34"/>
      <c r="EB30" s="34"/>
      <c r="EC30" s="74">
        <v>6845</v>
      </c>
      <c r="ED30" s="73"/>
      <c r="EE30" s="73"/>
      <c r="EF30" s="73"/>
      <c r="EG30" s="73"/>
    </row>
    <row r="31" spans="5:137" x14ac:dyDescent="0.2">
      <c r="E31" s="29">
        <v>1796</v>
      </c>
      <c r="F31" s="28">
        <f t="shared" si="0"/>
        <v>86</v>
      </c>
      <c r="G31" s="27">
        <v>0.52849999999999997</v>
      </c>
      <c r="H31" s="28">
        <v>0.42329999999999995</v>
      </c>
      <c r="I31" s="28">
        <f t="shared" si="1"/>
        <v>203.16560359083394</v>
      </c>
      <c r="J31" s="55">
        <v>1752</v>
      </c>
      <c r="K31" s="56">
        <f t="shared" si="2"/>
        <v>42</v>
      </c>
      <c r="L31" s="57">
        <v>0.53490000000000004</v>
      </c>
      <c r="M31" s="56">
        <v>0.42930000000000001</v>
      </c>
      <c r="N31" s="56">
        <f t="shared" si="3"/>
        <v>41.570700000000002</v>
      </c>
      <c r="O31" s="29">
        <v>1791</v>
      </c>
      <c r="P31" s="28">
        <f t="shared" si="4"/>
        <v>81</v>
      </c>
      <c r="Q31" s="27">
        <v>0.5071</v>
      </c>
      <c r="R31" s="28">
        <v>0.40179999999999999</v>
      </c>
      <c r="S31" s="28">
        <f t="shared" si="5"/>
        <v>201.59283225485316</v>
      </c>
      <c r="T31" s="55">
        <v>1867</v>
      </c>
      <c r="U31" s="56">
        <f t="shared" si="6"/>
        <v>3577</v>
      </c>
      <c r="V31" s="57">
        <v>0.5091</v>
      </c>
      <c r="W31" s="56">
        <v>0.40410000000000001</v>
      </c>
      <c r="X31" s="56">
        <f t="shared" si="7"/>
        <v>8851.7693640188063</v>
      </c>
      <c r="Y31" s="29">
        <v>2425</v>
      </c>
      <c r="Z31" s="28">
        <f t="shared" si="8"/>
        <v>715</v>
      </c>
      <c r="AA31" s="27">
        <v>0.49619999999999997</v>
      </c>
      <c r="AB31" s="28">
        <v>0.38679999999999998</v>
      </c>
      <c r="AC31" s="28">
        <f t="shared" si="9"/>
        <v>1848.5005170630818</v>
      </c>
      <c r="AD31" s="55">
        <v>1992</v>
      </c>
      <c r="AE31" s="56">
        <f t="shared" si="10"/>
        <v>282</v>
      </c>
      <c r="AF31" s="57">
        <v>0.52229999999999999</v>
      </c>
      <c r="AG31" s="56">
        <v>0.41399999999999998</v>
      </c>
      <c r="AH31" s="56">
        <f t="shared" si="11"/>
        <v>681.15942028985512</v>
      </c>
      <c r="AI31" s="7">
        <v>2503</v>
      </c>
      <c r="AJ31" s="7">
        <f t="shared" si="12"/>
        <v>793</v>
      </c>
      <c r="AK31" s="7">
        <v>0.57609999999999995</v>
      </c>
      <c r="AL31" s="7">
        <v>0.47099999999999997</v>
      </c>
      <c r="AM31" s="7">
        <v>-0.75289718496571933</v>
      </c>
      <c r="AN31" s="32">
        <v>1710</v>
      </c>
      <c r="AO31" s="28"/>
      <c r="AP31" s="27">
        <v>0.57609999999999995</v>
      </c>
      <c r="AQ31" s="28">
        <v>0.47099999999999997</v>
      </c>
      <c r="AR31" s="28">
        <f t="shared" si="13"/>
        <v>3630.5732484076434</v>
      </c>
      <c r="AS31" s="55">
        <v>3692</v>
      </c>
      <c r="AT31" s="56">
        <f t="shared" si="14"/>
        <v>3691.4238999999998</v>
      </c>
      <c r="AU31" s="57">
        <v>0.64539999999999997</v>
      </c>
      <c r="AV31" s="56">
        <v>0.53759999999999997</v>
      </c>
      <c r="AW31" s="55">
        <f t="shared" si="15"/>
        <v>6866.4879092261908</v>
      </c>
      <c r="AX31" s="1">
        <v>1758</v>
      </c>
      <c r="AY31">
        <f t="shared" si="16"/>
        <v>142</v>
      </c>
      <c r="AZ31" s="8">
        <v>0.52710000000000001</v>
      </c>
      <c r="BA31">
        <f t="shared" si="17"/>
        <v>269.39859609182315</v>
      </c>
      <c r="BB31" s="65">
        <v>1696</v>
      </c>
      <c r="BC31" s="64">
        <f t="shared" si="18"/>
        <v>80</v>
      </c>
      <c r="BD31" s="66">
        <v>0.59279999999999999</v>
      </c>
      <c r="BE31" s="64">
        <f t="shared" si="31"/>
        <v>0.59279999999999999</v>
      </c>
      <c r="BF31" s="64"/>
      <c r="BG31" s="29">
        <v>1845</v>
      </c>
      <c r="BH31" s="28">
        <f t="shared" si="19"/>
        <v>229</v>
      </c>
      <c r="BI31" s="27">
        <v>0.58309999999999995</v>
      </c>
      <c r="BJ31" s="28">
        <f t="shared" si="32"/>
        <v>0.58309999999999995</v>
      </c>
      <c r="BK31" s="28"/>
      <c r="BL31" s="35">
        <v>1971</v>
      </c>
      <c r="BM31" s="34">
        <f t="shared" si="20"/>
        <v>355</v>
      </c>
      <c r="BN31" s="33">
        <v>0.58220000000000005</v>
      </c>
      <c r="BO31" s="34">
        <f t="shared" si="33"/>
        <v>0.58220000000000005</v>
      </c>
      <c r="BP31" s="34"/>
      <c r="BQ31" s="29">
        <v>2667</v>
      </c>
      <c r="BR31" s="28">
        <f t="shared" si="21"/>
        <v>1051</v>
      </c>
      <c r="BS31" s="27">
        <v>0.57489999999999997</v>
      </c>
      <c r="BT31" s="28">
        <f t="shared" si="34"/>
        <v>0.57489999999999997</v>
      </c>
      <c r="BU31" s="28"/>
      <c r="BV31" s="35">
        <v>2321</v>
      </c>
      <c r="BW31" s="34">
        <f t="shared" si="22"/>
        <v>705</v>
      </c>
      <c r="BX31" s="33">
        <v>0.58930000000000005</v>
      </c>
      <c r="BY31" s="34">
        <f t="shared" si="35"/>
        <v>0.58930000000000005</v>
      </c>
      <c r="BZ31" s="34"/>
      <c r="CA31" s="7">
        <v>2901</v>
      </c>
      <c r="CB31" s="7">
        <f t="shared" si="23"/>
        <v>1285</v>
      </c>
      <c r="CC31" s="7"/>
      <c r="CD31" s="7"/>
      <c r="CF31" s="32">
        <v>1616</v>
      </c>
      <c r="CG31" s="27">
        <v>0.60529999999999995</v>
      </c>
      <c r="CH31" s="28">
        <f t="shared" si="36"/>
        <v>0.60529999999999995</v>
      </c>
      <c r="CI31" s="28"/>
      <c r="CJ31" s="28"/>
      <c r="CK31" s="55">
        <v>4009</v>
      </c>
      <c r="CL31" s="57">
        <v>0.6331</v>
      </c>
      <c r="CM31" s="56">
        <f t="shared" si="37"/>
        <v>0.6331</v>
      </c>
      <c r="CN31" s="71"/>
      <c r="CO31" s="35">
        <v>1918</v>
      </c>
      <c r="CP31" s="34">
        <f t="shared" si="24"/>
        <v>345</v>
      </c>
      <c r="CQ31" s="33">
        <v>0.73099999999999998</v>
      </c>
      <c r="CR31" s="34">
        <f t="shared" si="38"/>
        <v>0.73099999999999998</v>
      </c>
      <c r="CS31" s="34"/>
      <c r="CT31" s="29">
        <v>1638</v>
      </c>
      <c r="CU31" s="28">
        <f t="shared" si="25"/>
        <v>65</v>
      </c>
      <c r="CV31" s="27">
        <v>0.63660000000000005</v>
      </c>
      <c r="CW31" s="28">
        <f t="shared" si="39"/>
        <v>0.63660000000000005</v>
      </c>
      <c r="CX31" s="28"/>
      <c r="CY31" s="55">
        <v>1698</v>
      </c>
      <c r="CZ31" s="56">
        <f t="shared" si="26"/>
        <v>125</v>
      </c>
      <c r="DA31" s="56">
        <f t="shared" si="40"/>
        <v>125</v>
      </c>
      <c r="DB31" s="56"/>
      <c r="DC31" s="56"/>
      <c r="DD31" s="35">
        <v>1857</v>
      </c>
      <c r="DE31" s="34">
        <f t="shared" si="27"/>
        <v>284</v>
      </c>
      <c r="DF31" s="34"/>
      <c r="DG31" s="34"/>
      <c r="DH31" s="34"/>
      <c r="DI31" s="65">
        <v>2656</v>
      </c>
      <c r="DJ31" s="64">
        <f t="shared" si="28"/>
        <v>1083</v>
      </c>
      <c r="DK31" s="64"/>
      <c r="DL31" s="64"/>
      <c r="DM31" s="64"/>
      <c r="DN31" s="55">
        <v>2174</v>
      </c>
      <c r="DO31" s="56">
        <f t="shared" si="29"/>
        <v>601</v>
      </c>
      <c r="DP31" s="56"/>
      <c r="DQ31" s="56"/>
      <c r="DR31" s="56"/>
      <c r="DS31" s="1">
        <v>2602</v>
      </c>
      <c r="DT31">
        <f t="shared" si="30"/>
        <v>1029</v>
      </c>
      <c r="DX31" s="37">
        <v>1573</v>
      </c>
      <c r="DY31" s="34"/>
      <c r="DZ31" s="34"/>
      <c r="EA31" s="34"/>
      <c r="EB31" s="34"/>
      <c r="EC31" s="74">
        <v>6529</v>
      </c>
      <c r="ED31" s="73"/>
      <c r="EE31" s="73"/>
      <c r="EF31" s="73"/>
      <c r="EG31" s="73"/>
    </row>
    <row r="32" spans="5:137" x14ac:dyDescent="0.2">
      <c r="E32" s="29">
        <v>1796</v>
      </c>
      <c r="F32" s="28">
        <f t="shared" si="0"/>
        <v>78</v>
      </c>
      <c r="G32" s="27">
        <v>0.53910000000000002</v>
      </c>
      <c r="H32" s="28">
        <v>0.43390000000000001</v>
      </c>
      <c r="I32" s="28">
        <f t="shared" si="1"/>
        <v>179.76492279327033</v>
      </c>
      <c r="J32" s="55">
        <v>1766</v>
      </c>
      <c r="K32" s="56">
        <f t="shared" si="2"/>
        <v>48</v>
      </c>
      <c r="L32" s="57">
        <v>0.54079999999999995</v>
      </c>
      <c r="M32" s="56">
        <v>0.43519999999999992</v>
      </c>
      <c r="N32" s="56">
        <f t="shared" si="3"/>
        <v>47.564799999999998</v>
      </c>
      <c r="O32" s="29">
        <v>1842</v>
      </c>
      <c r="P32" s="28">
        <f t="shared" si="4"/>
        <v>124</v>
      </c>
      <c r="Q32" s="27">
        <v>0.51949999999999996</v>
      </c>
      <c r="R32" s="28">
        <v>0.41419999999999996</v>
      </c>
      <c r="S32" s="28">
        <f t="shared" si="5"/>
        <v>299.37228392081124</v>
      </c>
      <c r="T32" s="55">
        <v>1860</v>
      </c>
      <c r="U32" s="56">
        <f t="shared" si="6"/>
        <v>3578</v>
      </c>
      <c r="V32" s="57">
        <v>0.51759999999999995</v>
      </c>
      <c r="W32" s="56">
        <v>0.41259999999999997</v>
      </c>
      <c r="X32" s="56">
        <f t="shared" si="7"/>
        <v>8671.8371303926324</v>
      </c>
      <c r="Y32" s="29">
        <v>2457</v>
      </c>
      <c r="Z32" s="28">
        <f t="shared" si="8"/>
        <v>739</v>
      </c>
      <c r="AA32" s="27">
        <v>0.5081</v>
      </c>
      <c r="AB32" s="28">
        <v>0.3987</v>
      </c>
      <c r="AC32" s="28">
        <f t="shared" si="9"/>
        <v>1853.5239528467519</v>
      </c>
      <c r="AD32" s="55">
        <v>2027</v>
      </c>
      <c r="AE32" s="56">
        <f t="shared" si="10"/>
        <v>309</v>
      </c>
      <c r="AF32" s="57">
        <v>0.51670000000000005</v>
      </c>
      <c r="AG32" s="56">
        <v>0.40840000000000004</v>
      </c>
      <c r="AH32" s="56">
        <f t="shared" si="11"/>
        <v>756.61116552399596</v>
      </c>
      <c r="AI32" s="7">
        <v>2523</v>
      </c>
      <c r="AJ32" s="7">
        <f t="shared" si="12"/>
        <v>805</v>
      </c>
      <c r="AK32" s="7">
        <v>0.57340000000000002</v>
      </c>
      <c r="AL32" s="7">
        <v>0.46830000000000005</v>
      </c>
      <c r="AM32" s="7">
        <v>-0.75864616279264085</v>
      </c>
      <c r="AN32" s="32">
        <v>1718</v>
      </c>
      <c r="AO32" s="28"/>
      <c r="AP32" s="27">
        <v>0.57340000000000002</v>
      </c>
      <c r="AQ32" s="28">
        <v>0.46830000000000005</v>
      </c>
      <c r="AR32" s="28">
        <f t="shared" si="13"/>
        <v>3668.5885116378386</v>
      </c>
      <c r="AS32" s="55">
        <v>3675</v>
      </c>
      <c r="AT32" s="56">
        <f t="shared" si="14"/>
        <v>3674.4265999999998</v>
      </c>
      <c r="AU32" s="57">
        <v>0.64180000000000004</v>
      </c>
      <c r="AV32" s="56">
        <v>0.53400000000000003</v>
      </c>
      <c r="AW32" s="55">
        <f t="shared" si="15"/>
        <v>6880.9486891385759</v>
      </c>
      <c r="AX32" s="1">
        <v>1814</v>
      </c>
      <c r="AY32">
        <f t="shared" si="16"/>
        <v>168</v>
      </c>
      <c r="AZ32" s="8">
        <v>0.54810000000000003</v>
      </c>
      <c r="BA32">
        <f t="shared" si="17"/>
        <v>306.5134099616858</v>
      </c>
      <c r="BB32" s="65">
        <v>1701</v>
      </c>
      <c r="BC32" s="64">
        <f t="shared" si="18"/>
        <v>55</v>
      </c>
      <c r="BD32" s="66">
        <v>0.59589999999999999</v>
      </c>
      <c r="BE32" s="64">
        <f t="shared" si="31"/>
        <v>0.59589999999999999</v>
      </c>
      <c r="BF32" s="64"/>
      <c r="BG32" s="29">
        <v>1889</v>
      </c>
      <c r="BH32" s="28">
        <f t="shared" si="19"/>
        <v>243</v>
      </c>
      <c r="BI32" s="27">
        <v>0.58250000000000002</v>
      </c>
      <c r="BJ32" s="28">
        <f t="shared" si="32"/>
        <v>0.58250000000000002</v>
      </c>
      <c r="BK32" s="28"/>
      <c r="BL32" s="35">
        <v>1972</v>
      </c>
      <c r="BM32" s="34">
        <f t="shared" si="20"/>
        <v>326</v>
      </c>
      <c r="BN32" s="33">
        <v>0.58069999999999999</v>
      </c>
      <c r="BO32" s="34">
        <f t="shared" si="33"/>
        <v>0.58069999999999999</v>
      </c>
      <c r="BP32" s="34"/>
      <c r="BQ32" s="29">
        <v>2658</v>
      </c>
      <c r="BR32" s="28">
        <f t="shared" si="21"/>
        <v>1012</v>
      </c>
      <c r="BS32" s="27">
        <v>0.57650000000000001</v>
      </c>
      <c r="BT32" s="28">
        <f t="shared" si="34"/>
        <v>0.57650000000000001</v>
      </c>
      <c r="BU32" s="28"/>
      <c r="BV32" s="35">
        <v>2319</v>
      </c>
      <c r="BW32" s="34">
        <f t="shared" si="22"/>
        <v>673</v>
      </c>
      <c r="BX32" s="33">
        <v>0.58630000000000004</v>
      </c>
      <c r="BY32" s="34">
        <f t="shared" si="35"/>
        <v>0.58630000000000004</v>
      </c>
      <c r="BZ32" s="34"/>
      <c r="CA32" s="7">
        <v>2913</v>
      </c>
      <c r="CB32" s="7">
        <f t="shared" si="23"/>
        <v>1267</v>
      </c>
      <c r="CC32" s="7"/>
      <c r="CD32" s="7"/>
      <c r="CF32" s="32">
        <v>1646</v>
      </c>
      <c r="CG32" s="27">
        <v>0.59809999999999997</v>
      </c>
      <c r="CH32" s="28">
        <f t="shared" si="36"/>
        <v>0.59809999999999997</v>
      </c>
      <c r="CI32" s="28"/>
      <c r="CJ32" s="28"/>
      <c r="CK32" s="55">
        <v>4045</v>
      </c>
      <c r="CL32" s="57">
        <v>0.61880000000000002</v>
      </c>
      <c r="CM32" s="56">
        <f t="shared" si="37"/>
        <v>0.61880000000000002</v>
      </c>
      <c r="CN32" s="71"/>
      <c r="CO32" s="35">
        <v>1947</v>
      </c>
      <c r="CP32" s="34">
        <f t="shared" si="24"/>
        <v>345</v>
      </c>
      <c r="CQ32" s="33">
        <v>0.64390000000000003</v>
      </c>
      <c r="CR32" s="34">
        <f t="shared" si="38"/>
        <v>0.64390000000000003</v>
      </c>
      <c r="CS32" s="34"/>
      <c r="CT32" s="29">
        <v>1670</v>
      </c>
      <c r="CU32" s="28">
        <f t="shared" si="25"/>
        <v>68</v>
      </c>
      <c r="CV32" s="27">
        <v>0.65029999999999999</v>
      </c>
      <c r="CW32" s="28">
        <f t="shared" si="39"/>
        <v>0.65029999999999999</v>
      </c>
      <c r="CX32" s="28"/>
      <c r="CY32" s="55">
        <v>1719</v>
      </c>
      <c r="CZ32" s="56">
        <f t="shared" si="26"/>
        <v>117</v>
      </c>
      <c r="DA32" s="56">
        <f t="shared" si="40"/>
        <v>117</v>
      </c>
      <c r="DB32" s="56"/>
      <c r="DC32" s="56"/>
      <c r="DD32" s="35">
        <v>1869</v>
      </c>
      <c r="DE32" s="34">
        <f t="shared" si="27"/>
        <v>267</v>
      </c>
      <c r="DF32" s="34"/>
      <c r="DG32" s="34"/>
      <c r="DH32" s="34"/>
      <c r="DI32" s="65">
        <v>2670</v>
      </c>
      <c r="DJ32" s="64">
        <f t="shared" si="28"/>
        <v>1068</v>
      </c>
      <c r="DK32" s="64"/>
      <c r="DL32" s="64"/>
      <c r="DM32" s="64"/>
      <c r="DN32" s="55">
        <v>2230</v>
      </c>
      <c r="DO32" s="56">
        <f t="shared" si="29"/>
        <v>628</v>
      </c>
      <c r="DP32" s="56"/>
      <c r="DQ32" s="56"/>
      <c r="DR32" s="56"/>
      <c r="DS32" s="1">
        <v>2660</v>
      </c>
      <c r="DT32">
        <f t="shared" si="30"/>
        <v>1058</v>
      </c>
      <c r="DX32" s="37">
        <v>1602</v>
      </c>
      <c r="DY32" s="34"/>
      <c r="DZ32" s="34"/>
      <c r="EA32" s="34"/>
      <c r="EB32" s="34"/>
      <c r="EC32" s="74">
        <v>6438</v>
      </c>
      <c r="ED32" s="73"/>
      <c r="EE32" s="73"/>
      <c r="EF32" s="73"/>
      <c r="EG32" s="73"/>
    </row>
    <row r="33" spans="5:137" x14ac:dyDescent="0.2">
      <c r="E33" s="29">
        <v>1781</v>
      </c>
      <c r="F33" s="28">
        <f t="shared" si="0"/>
        <v>39</v>
      </c>
      <c r="G33" s="27">
        <v>0.53</v>
      </c>
      <c r="H33" s="28">
        <v>0.42480000000000001</v>
      </c>
      <c r="I33" s="28">
        <f t="shared" si="1"/>
        <v>91.807909604519779</v>
      </c>
      <c r="J33" s="55">
        <v>1820</v>
      </c>
      <c r="K33" s="56">
        <f t="shared" si="2"/>
        <v>78</v>
      </c>
      <c r="L33" s="57">
        <v>0.54169999999999996</v>
      </c>
      <c r="M33" s="56">
        <v>0.43609999999999993</v>
      </c>
      <c r="N33" s="56">
        <f t="shared" si="3"/>
        <v>77.563900000000004</v>
      </c>
      <c r="O33" s="29">
        <v>1851</v>
      </c>
      <c r="P33" s="28">
        <f t="shared" si="4"/>
        <v>109</v>
      </c>
      <c r="Q33" s="27">
        <v>0.53049999999999997</v>
      </c>
      <c r="R33" s="28">
        <v>0.42519999999999997</v>
      </c>
      <c r="S33" s="28">
        <f t="shared" si="5"/>
        <v>256.34995296331141</v>
      </c>
      <c r="T33" s="55">
        <v>1850</v>
      </c>
      <c r="U33" s="56">
        <f t="shared" si="6"/>
        <v>3592</v>
      </c>
      <c r="V33" s="57">
        <v>0.53110000000000002</v>
      </c>
      <c r="W33" s="56">
        <v>0.42610000000000003</v>
      </c>
      <c r="X33" s="56">
        <f t="shared" si="7"/>
        <v>8429.9460220605488</v>
      </c>
      <c r="Y33" s="29">
        <v>2445</v>
      </c>
      <c r="Z33" s="28">
        <f t="shared" si="8"/>
        <v>703</v>
      </c>
      <c r="AA33" s="27">
        <v>0.51419999999999999</v>
      </c>
      <c r="AB33" s="28">
        <v>0.40479999999999999</v>
      </c>
      <c r="AC33" s="28">
        <f t="shared" si="9"/>
        <v>1736.6600790513835</v>
      </c>
      <c r="AD33" s="55">
        <v>1995</v>
      </c>
      <c r="AE33" s="56">
        <f t="shared" si="10"/>
        <v>253</v>
      </c>
      <c r="AF33" s="57">
        <v>0.54090000000000005</v>
      </c>
      <c r="AG33" s="56">
        <v>0.43260000000000004</v>
      </c>
      <c r="AH33" s="56">
        <f t="shared" si="11"/>
        <v>584.83587609801202</v>
      </c>
      <c r="AI33" s="7">
        <v>2471</v>
      </c>
      <c r="AJ33" s="7">
        <f t="shared" si="12"/>
        <v>729</v>
      </c>
      <c r="AK33" s="7">
        <v>0.58989999999999998</v>
      </c>
      <c r="AL33" s="7">
        <v>0.48480000000000001</v>
      </c>
      <c r="AM33" s="7">
        <v>-0.72401884422703233</v>
      </c>
      <c r="AN33" s="32">
        <v>1742</v>
      </c>
      <c r="AO33" s="28"/>
      <c r="AP33" s="27">
        <v>0.58989999999999998</v>
      </c>
      <c r="AQ33" s="28">
        <v>0.48480000000000001</v>
      </c>
      <c r="AR33" s="28">
        <f t="shared" si="13"/>
        <v>3593.234323432343</v>
      </c>
      <c r="AS33" s="55">
        <v>3590</v>
      </c>
      <c r="AT33" s="56">
        <f t="shared" si="14"/>
        <v>3589.4101000000001</v>
      </c>
      <c r="AU33" s="57">
        <v>0.64910000000000001</v>
      </c>
      <c r="AV33" s="56">
        <v>0.5413</v>
      </c>
      <c r="AW33" s="55">
        <f t="shared" si="15"/>
        <v>6631.0920007389623</v>
      </c>
      <c r="AX33" s="1">
        <v>1784</v>
      </c>
      <c r="AY33">
        <f t="shared" si="16"/>
        <v>149</v>
      </c>
      <c r="AZ33" s="8">
        <v>0.56510000000000005</v>
      </c>
      <c r="BA33">
        <f t="shared" si="17"/>
        <v>263.67014687665898</v>
      </c>
      <c r="BB33" s="65">
        <v>1701</v>
      </c>
      <c r="BC33" s="64">
        <f t="shared" si="18"/>
        <v>66</v>
      </c>
      <c r="BD33" s="66">
        <v>0.59930000000000005</v>
      </c>
      <c r="BE33" s="64">
        <f t="shared" si="31"/>
        <v>0.59930000000000005</v>
      </c>
      <c r="BF33" s="64"/>
      <c r="BG33" s="29">
        <v>1800</v>
      </c>
      <c r="BH33" s="28">
        <f t="shared" si="19"/>
        <v>165</v>
      </c>
      <c r="BI33" s="27">
        <v>0.59130000000000005</v>
      </c>
      <c r="BJ33" s="28">
        <f t="shared" si="32"/>
        <v>0.59130000000000005</v>
      </c>
      <c r="BK33" s="28"/>
      <c r="BL33" s="35">
        <v>1971</v>
      </c>
      <c r="BM33" s="34">
        <f t="shared" si="20"/>
        <v>336</v>
      </c>
      <c r="BN33" s="33">
        <v>0.58160000000000001</v>
      </c>
      <c r="BO33" s="34">
        <f t="shared" si="33"/>
        <v>0.58160000000000001</v>
      </c>
      <c r="BP33" s="34"/>
      <c r="BQ33" s="29">
        <v>2678</v>
      </c>
      <c r="BR33" s="28">
        <f t="shared" si="21"/>
        <v>1043</v>
      </c>
      <c r="BS33" s="27">
        <v>0.58009999999999995</v>
      </c>
      <c r="BT33" s="28">
        <f t="shared" si="34"/>
        <v>0.58009999999999995</v>
      </c>
      <c r="BU33" s="28"/>
      <c r="BV33" s="35">
        <v>2328</v>
      </c>
      <c r="BW33" s="34">
        <f t="shared" si="22"/>
        <v>693</v>
      </c>
      <c r="BX33" s="33">
        <v>0.59289999999999998</v>
      </c>
      <c r="BY33" s="34">
        <f t="shared" si="35"/>
        <v>0.59289999999999998</v>
      </c>
      <c r="BZ33" s="34"/>
      <c r="CA33" s="7">
        <v>2848</v>
      </c>
      <c r="CB33" s="7">
        <f t="shared" si="23"/>
        <v>1213</v>
      </c>
      <c r="CC33" s="7"/>
      <c r="CD33" s="7"/>
      <c r="CF33" s="32">
        <v>1635</v>
      </c>
      <c r="CG33" s="27">
        <v>0.60229999999999995</v>
      </c>
      <c r="CH33" s="28">
        <f t="shared" si="36"/>
        <v>0.60229999999999995</v>
      </c>
      <c r="CI33" s="28"/>
      <c r="CJ33" s="28"/>
      <c r="CK33" s="55">
        <v>3919</v>
      </c>
      <c r="CL33" s="57">
        <v>0.64180000000000004</v>
      </c>
      <c r="CM33" s="56">
        <f t="shared" si="37"/>
        <v>0.64180000000000004</v>
      </c>
      <c r="CN33" s="71"/>
      <c r="CO33" s="35">
        <v>1927</v>
      </c>
      <c r="CP33" s="34">
        <f t="shared" si="24"/>
        <v>324</v>
      </c>
      <c r="CQ33" s="33">
        <v>0.68940000000000001</v>
      </c>
      <c r="CR33" s="34">
        <f t="shared" si="38"/>
        <v>0.68940000000000001</v>
      </c>
      <c r="CS33" s="34"/>
      <c r="CT33" s="29">
        <v>1664</v>
      </c>
      <c r="CU33" s="28">
        <f t="shared" si="25"/>
        <v>61</v>
      </c>
      <c r="CV33" s="27">
        <v>0.63819999999999999</v>
      </c>
      <c r="CW33" s="28">
        <f t="shared" si="39"/>
        <v>0.63819999999999999</v>
      </c>
      <c r="CX33" s="28"/>
      <c r="CY33" s="55">
        <v>1680</v>
      </c>
      <c r="CZ33" s="56">
        <f t="shared" si="26"/>
        <v>77</v>
      </c>
      <c r="DA33" s="56">
        <f t="shared" si="40"/>
        <v>77</v>
      </c>
      <c r="DB33" s="56"/>
      <c r="DC33" s="56"/>
      <c r="DD33" s="35">
        <v>1851</v>
      </c>
      <c r="DE33" s="34">
        <f t="shared" si="27"/>
        <v>248</v>
      </c>
      <c r="DF33" s="34"/>
      <c r="DG33" s="34"/>
      <c r="DH33" s="34"/>
      <c r="DI33" s="65">
        <v>2626</v>
      </c>
      <c r="DJ33" s="64">
        <f t="shared" si="28"/>
        <v>1023</v>
      </c>
      <c r="DK33" s="64"/>
      <c r="DL33" s="64"/>
      <c r="DM33" s="64"/>
      <c r="DN33" s="55">
        <v>2250</v>
      </c>
      <c r="DO33" s="56">
        <f t="shared" si="29"/>
        <v>647</v>
      </c>
      <c r="DP33" s="56"/>
      <c r="DQ33" s="56"/>
      <c r="DR33" s="56"/>
      <c r="DS33" s="1">
        <v>2620</v>
      </c>
      <c r="DT33">
        <f t="shared" si="30"/>
        <v>1017</v>
      </c>
      <c r="DX33" s="37">
        <v>1603</v>
      </c>
      <c r="DY33" s="34"/>
      <c r="DZ33" s="34"/>
      <c r="EA33" s="34"/>
      <c r="EB33" s="34"/>
      <c r="EC33" s="74">
        <v>6312</v>
      </c>
      <c r="ED33" s="73"/>
      <c r="EE33" s="73"/>
      <c r="EF33" s="73"/>
      <c r="EG33" s="73"/>
    </row>
    <row r="34" spans="5:137" x14ac:dyDescent="0.2">
      <c r="E34" s="29">
        <v>1761</v>
      </c>
      <c r="F34" s="28">
        <f t="shared" si="0"/>
        <v>52</v>
      </c>
      <c r="G34" s="27">
        <v>0.52890000000000004</v>
      </c>
      <c r="H34" s="28">
        <v>0.42370000000000002</v>
      </c>
      <c r="I34" s="28">
        <f t="shared" si="1"/>
        <v>122.72834552749586</v>
      </c>
      <c r="J34" s="55">
        <v>1734</v>
      </c>
      <c r="K34" s="56">
        <f t="shared" si="2"/>
        <v>25</v>
      </c>
      <c r="L34" s="57">
        <v>0.53910000000000002</v>
      </c>
      <c r="M34" s="56">
        <v>0.4335</v>
      </c>
      <c r="N34" s="56">
        <f t="shared" si="3"/>
        <v>24.566500000000001</v>
      </c>
      <c r="O34" s="29">
        <v>1818</v>
      </c>
      <c r="P34" s="28">
        <f t="shared" si="4"/>
        <v>109</v>
      </c>
      <c r="Q34" s="27">
        <v>0.5262</v>
      </c>
      <c r="R34" s="28">
        <v>0.4209</v>
      </c>
      <c r="S34" s="28">
        <f t="shared" si="5"/>
        <v>258.96887621762892</v>
      </c>
      <c r="T34" s="55">
        <v>1823</v>
      </c>
      <c r="U34" s="56">
        <f t="shared" si="6"/>
        <v>3532</v>
      </c>
      <c r="V34" s="57">
        <v>0.53</v>
      </c>
      <c r="W34" s="56">
        <v>0.42500000000000004</v>
      </c>
      <c r="X34" s="56">
        <f t="shared" si="7"/>
        <v>8310.5882352941171</v>
      </c>
      <c r="Y34" s="29">
        <v>2369</v>
      </c>
      <c r="Z34" s="28">
        <f t="shared" si="8"/>
        <v>660</v>
      </c>
      <c r="AA34" s="27">
        <v>0.51600000000000001</v>
      </c>
      <c r="AB34" s="28">
        <v>0.40660000000000002</v>
      </c>
      <c r="AC34" s="28">
        <f t="shared" si="9"/>
        <v>1623.2169208066896</v>
      </c>
      <c r="AD34" s="55">
        <v>1947</v>
      </c>
      <c r="AE34" s="56">
        <f t="shared" si="10"/>
        <v>238</v>
      </c>
      <c r="AF34" s="57">
        <v>0.53500000000000003</v>
      </c>
      <c r="AG34" s="56">
        <v>0.42670000000000002</v>
      </c>
      <c r="AH34" s="56">
        <f t="shared" si="11"/>
        <v>557.76892430278883</v>
      </c>
      <c r="AI34" s="7">
        <v>2430</v>
      </c>
      <c r="AJ34" s="7">
        <f t="shared" si="12"/>
        <v>721</v>
      </c>
      <c r="AK34" s="7">
        <v>0.59330000000000005</v>
      </c>
      <c r="AL34" s="7">
        <v>0.48820000000000008</v>
      </c>
      <c r="AM34" s="7">
        <v>-0.71703012102327723</v>
      </c>
      <c r="AN34" s="32">
        <v>1709</v>
      </c>
      <c r="AO34" s="28"/>
      <c r="AP34" s="27">
        <v>0.59330000000000005</v>
      </c>
      <c r="AQ34" s="28">
        <v>0.48820000000000008</v>
      </c>
      <c r="AR34" s="28">
        <f t="shared" si="13"/>
        <v>3500.6145022531746</v>
      </c>
      <c r="AS34" s="55">
        <v>3463</v>
      </c>
      <c r="AT34" s="56">
        <f t="shared" si="14"/>
        <v>3462.4067</v>
      </c>
      <c r="AU34" s="57">
        <v>0.65739999999999998</v>
      </c>
      <c r="AV34" s="56">
        <v>0.54959999999999998</v>
      </c>
      <c r="AW34" s="55">
        <f t="shared" si="15"/>
        <v>6299.866630276565</v>
      </c>
      <c r="AX34" s="1">
        <v>1779</v>
      </c>
      <c r="AY34">
        <f t="shared" si="16"/>
        <v>165</v>
      </c>
      <c r="AZ34" s="8">
        <v>0.57750000000000001</v>
      </c>
      <c r="BA34">
        <f t="shared" si="17"/>
        <v>285.71428571428572</v>
      </c>
      <c r="BB34" s="65">
        <v>1682</v>
      </c>
      <c r="BC34" s="64">
        <f t="shared" si="18"/>
        <v>68</v>
      </c>
      <c r="BD34" s="66">
        <v>0.59540000000000004</v>
      </c>
      <c r="BE34" s="64">
        <f t="shared" si="31"/>
        <v>0.59540000000000004</v>
      </c>
      <c r="BF34" s="64"/>
      <c r="BG34" s="29">
        <v>1805</v>
      </c>
      <c r="BH34" s="28">
        <f t="shared" si="19"/>
        <v>191</v>
      </c>
      <c r="BI34" s="27">
        <v>0.58760000000000001</v>
      </c>
      <c r="BJ34" s="28">
        <f t="shared" si="32"/>
        <v>0.58760000000000001</v>
      </c>
      <c r="BK34" s="28"/>
      <c r="BL34" s="35">
        <v>1913</v>
      </c>
      <c r="BM34" s="34">
        <f t="shared" si="20"/>
        <v>299</v>
      </c>
      <c r="BN34" s="33">
        <v>0.58089999999999997</v>
      </c>
      <c r="BO34" s="34">
        <f t="shared" si="33"/>
        <v>0.58089999999999997</v>
      </c>
      <c r="BP34" s="34"/>
      <c r="BQ34" s="29">
        <v>2571</v>
      </c>
      <c r="BR34" s="28">
        <f t="shared" si="21"/>
        <v>957</v>
      </c>
      <c r="BS34" s="27">
        <v>0.58450000000000002</v>
      </c>
      <c r="BT34" s="28">
        <f t="shared" si="34"/>
        <v>0.58450000000000002</v>
      </c>
      <c r="BU34" s="28"/>
      <c r="BV34" s="35">
        <v>2230</v>
      </c>
      <c r="BW34" s="34">
        <f t="shared" si="22"/>
        <v>616</v>
      </c>
      <c r="BX34" s="33">
        <v>0.59599999999999997</v>
      </c>
      <c r="BY34" s="34">
        <f t="shared" si="35"/>
        <v>0.59599999999999997</v>
      </c>
      <c r="BZ34" s="34"/>
      <c r="CA34" s="7">
        <v>2740</v>
      </c>
      <c r="CB34" s="7">
        <f t="shared" si="23"/>
        <v>1126</v>
      </c>
      <c r="CC34" s="7"/>
      <c r="CD34" s="7"/>
      <c r="CF34" s="32">
        <v>1614</v>
      </c>
      <c r="CG34" s="27">
        <v>0.60650000000000004</v>
      </c>
      <c r="CH34" s="28">
        <f t="shared" si="36"/>
        <v>0.60650000000000004</v>
      </c>
      <c r="CI34" s="28"/>
      <c r="CJ34" s="28"/>
      <c r="CK34" s="55">
        <v>3734</v>
      </c>
      <c r="CL34" s="57">
        <v>0.63419999999999999</v>
      </c>
      <c r="CM34" s="56">
        <f t="shared" si="37"/>
        <v>0.63419999999999999</v>
      </c>
      <c r="CN34" s="71"/>
      <c r="CO34" s="35">
        <v>1875</v>
      </c>
      <c r="CP34" s="34">
        <f t="shared" si="24"/>
        <v>276</v>
      </c>
      <c r="CQ34" s="33">
        <v>0.72919999999999996</v>
      </c>
      <c r="CR34" s="34">
        <f t="shared" si="38"/>
        <v>0.72919999999999996</v>
      </c>
      <c r="CS34" s="34"/>
      <c r="CT34" s="29">
        <v>1652</v>
      </c>
      <c r="CU34" s="28">
        <f t="shared" si="25"/>
        <v>53</v>
      </c>
      <c r="CV34" s="27">
        <v>0.62109999999999999</v>
      </c>
      <c r="CW34" s="28">
        <f t="shared" si="39"/>
        <v>0.62109999999999999</v>
      </c>
      <c r="CX34" s="28"/>
      <c r="CY34" s="55">
        <v>1643</v>
      </c>
      <c r="CZ34" s="56">
        <f t="shared" si="26"/>
        <v>44</v>
      </c>
      <c r="DA34" s="56">
        <f t="shared" si="40"/>
        <v>44</v>
      </c>
      <c r="DB34" s="56"/>
      <c r="DC34" s="56"/>
      <c r="DD34" s="35">
        <v>1818</v>
      </c>
      <c r="DE34" s="34">
        <f t="shared" si="27"/>
        <v>219</v>
      </c>
      <c r="DF34" s="34"/>
      <c r="DG34" s="34"/>
      <c r="DH34" s="34"/>
      <c r="DI34" s="65">
        <v>2505</v>
      </c>
      <c r="DJ34" s="64">
        <f t="shared" si="28"/>
        <v>906</v>
      </c>
      <c r="DK34" s="64"/>
      <c r="DL34" s="64"/>
      <c r="DM34" s="64"/>
      <c r="DN34" s="55">
        <v>2125</v>
      </c>
      <c r="DO34" s="56">
        <f t="shared" si="29"/>
        <v>526</v>
      </c>
      <c r="DP34" s="56"/>
      <c r="DQ34" s="56"/>
      <c r="DR34" s="56"/>
      <c r="DS34" s="1">
        <v>2533</v>
      </c>
      <c r="DT34">
        <f t="shared" si="30"/>
        <v>934</v>
      </c>
      <c r="DX34" s="37">
        <v>1599</v>
      </c>
      <c r="DY34" s="34"/>
      <c r="DZ34" s="34"/>
      <c r="EA34" s="34"/>
      <c r="EB34" s="34"/>
      <c r="EC34" s="74">
        <v>6024</v>
      </c>
      <c r="ED34" s="73"/>
      <c r="EE34" s="73"/>
      <c r="EF34" s="73"/>
      <c r="EG34" s="73"/>
    </row>
    <row r="35" spans="5:137" x14ac:dyDescent="0.2">
      <c r="E35" s="29">
        <v>1798</v>
      </c>
      <c r="F35" s="28">
        <f t="shared" si="0"/>
        <v>63</v>
      </c>
      <c r="G35" s="27">
        <v>0.52739999999999998</v>
      </c>
      <c r="H35" s="28">
        <v>0.42219999999999996</v>
      </c>
      <c r="I35" s="28">
        <f t="shared" si="1"/>
        <v>149.21837991473237</v>
      </c>
      <c r="J35" s="55">
        <v>1786</v>
      </c>
      <c r="K35" s="56">
        <f t="shared" si="2"/>
        <v>51</v>
      </c>
      <c r="L35" s="57">
        <v>0.53900000000000003</v>
      </c>
      <c r="M35" s="56">
        <v>0.43340000000000001</v>
      </c>
      <c r="N35" s="56">
        <f t="shared" si="3"/>
        <v>50.566600000000001</v>
      </c>
      <c r="O35" s="29">
        <v>1845</v>
      </c>
      <c r="P35" s="28">
        <f t="shared" si="4"/>
        <v>110</v>
      </c>
      <c r="Q35" s="27">
        <v>0.52959999999999996</v>
      </c>
      <c r="R35" s="28">
        <v>0.42429999999999995</v>
      </c>
      <c r="S35" s="28">
        <f t="shared" si="5"/>
        <v>259.25053028517561</v>
      </c>
      <c r="T35" s="55">
        <v>1882</v>
      </c>
      <c r="U35" s="56">
        <f t="shared" si="6"/>
        <v>3617</v>
      </c>
      <c r="V35" s="57">
        <v>0.52839999999999998</v>
      </c>
      <c r="W35" s="56">
        <v>0.4234</v>
      </c>
      <c r="X35" s="56">
        <f t="shared" si="7"/>
        <v>8542.7491733585266</v>
      </c>
      <c r="Y35" s="29">
        <v>2366</v>
      </c>
      <c r="Z35" s="28">
        <f t="shared" si="8"/>
        <v>631</v>
      </c>
      <c r="AA35" s="27">
        <v>0.51359999999999995</v>
      </c>
      <c r="AB35" s="28">
        <v>0.40419999999999995</v>
      </c>
      <c r="AC35" s="28">
        <f t="shared" si="9"/>
        <v>1561.1083621969324</v>
      </c>
      <c r="AD35" s="55">
        <v>1948</v>
      </c>
      <c r="AE35" s="56">
        <f t="shared" si="10"/>
        <v>213</v>
      </c>
      <c r="AF35" s="57">
        <v>0.5131</v>
      </c>
      <c r="AG35" s="56">
        <v>0.40479999999999999</v>
      </c>
      <c r="AH35" s="56">
        <f t="shared" si="11"/>
        <v>526.18577075098813</v>
      </c>
      <c r="AI35" s="7">
        <v>2431</v>
      </c>
      <c r="AJ35" s="7">
        <f t="shared" si="12"/>
        <v>696</v>
      </c>
      <c r="AK35" s="7">
        <v>0.57730000000000004</v>
      </c>
      <c r="AL35" s="7">
        <v>0.47220000000000006</v>
      </c>
      <c r="AM35" s="7">
        <v>-0.7503526543307244</v>
      </c>
      <c r="AN35" s="32">
        <v>1735</v>
      </c>
      <c r="AO35" s="28"/>
      <c r="AP35" s="27">
        <v>0.57730000000000004</v>
      </c>
      <c r="AQ35" s="28">
        <v>0.47220000000000006</v>
      </c>
      <c r="AR35" s="28">
        <f t="shared" si="13"/>
        <v>3674.2905548496396</v>
      </c>
      <c r="AS35" s="55">
        <v>3443</v>
      </c>
      <c r="AT35" s="56">
        <f t="shared" si="14"/>
        <v>3442.4227000000001</v>
      </c>
      <c r="AU35" s="57">
        <v>0.64270000000000005</v>
      </c>
      <c r="AV35" s="56">
        <v>0.53490000000000004</v>
      </c>
      <c r="AW35" s="55">
        <f t="shared" si="15"/>
        <v>6435.6378762385493</v>
      </c>
      <c r="AX35" s="1">
        <v>1812</v>
      </c>
      <c r="AY35">
        <f t="shared" si="16"/>
        <v>184</v>
      </c>
      <c r="AZ35" s="8">
        <v>0.58919999999999995</v>
      </c>
      <c r="BA35">
        <f t="shared" si="17"/>
        <v>312.28784792939581</v>
      </c>
      <c r="BB35" s="65">
        <v>1725</v>
      </c>
      <c r="BC35" s="64">
        <f t="shared" si="18"/>
        <v>97</v>
      </c>
      <c r="BD35" s="66">
        <v>0.59119999999999995</v>
      </c>
      <c r="BE35" s="64">
        <f t="shared" si="31"/>
        <v>0.59119999999999995</v>
      </c>
      <c r="BF35" s="64"/>
      <c r="BG35" s="29">
        <v>1831</v>
      </c>
      <c r="BH35" s="28">
        <f t="shared" si="19"/>
        <v>203</v>
      </c>
      <c r="BI35" s="27">
        <v>0.57830000000000004</v>
      </c>
      <c r="BJ35" s="28">
        <f t="shared" si="32"/>
        <v>0.57830000000000004</v>
      </c>
      <c r="BK35" s="28"/>
      <c r="BL35" s="35">
        <v>1944</v>
      </c>
      <c r="BM35" s="34">
        <f t="shared" si="20"/>
        <v>316</v>
      </c>
      <c r="BN35" s="33">
        <v>0.57330000000000003</v>
      </c>
      <c r="BO35" s="34">
        <f t="shared" si="33"/>
        <v>0.57330000000000003</v>
      </c>
      <c r="BP35" s="34"/>
      <c r="BQ35" s="29">
        <v>2524</v>
      </c>
      <c r="BR35" s="28">
        <f t="shared" si="21"/>
        <v>896</v>
      </c>
      <c r="BS35" s="27">
        <v>0.57499999999999996</v>
      </c>
      <c r="BT35" s="28">
        <f t="shared" si="34"/>
        <v>0.57499999999999996</v>
      </c>
      <c r="BU35" s="28"/>
      <c r="BV35" s="35">
        <v>2253</v>
      </c>
      <c r="BW35" s="34">
        <f t="shared" si="22"/>
        <v>625</v>
      </c>
      <c r="BX35" s="33">
        <v>0.58099999999999996</v>
      </c>
      <c r="BY35" s="34">
        <f t="shared" si="35"/>
        <v>0.58099999999999996</v>
      </c>
      <c r="BZ35" s="34"/>
      <c r="CA35" s="7">
        <v>2827</v>
      </c>
      <c r="CB35" s="7">
        <f t="shared" si="23"/>
        <v>1199</v>
      </c>
      <c r="CC35" s="7"/>
      <c r="CD35" s="7"/>
      <c r="CF35" s="32">
        <v>1628</v>
      </c>
      <c r="CG35" s="27">
        <v>0.59109999999999996</v>
      </c>
      <c r="CH35" s="28">
        <f t="shared" si="36"/>
        <v>0.59109999999999996</v>
      </c>
      <c r="CI35" s="28"/>
      <c r="CJ35" s="28"/>
      <c r="CK35" s="55">
        <v>3760</v>
      </c>
      <c r="CL35" s="57">
        <v>0.62360000000000004</v>
      </c>
      <c r="CM35" s="56">
        <f t="shared" si="37"/>
        <v>0.62360000000000004</v>
      </c>
      <c r="CN35" s="71"/>
      <c r="CO35" s="35">
        <v>1910</v>
      </c>
      <c r="CP35" s="34">
        <f t="shared" si="24"/>
        <v>325</v>
      </c>
      <c r="CQ35" s="33">
        <v>0.69440000000000002</v>
      </c>
      <c r="CR35" s="34">
        <f t="shared" si="38"/>
        <v>0.69440000000000002</v>
      </c>
      <c r="CS35" s="34"/>
      <c r="CT35" s="29">
        <v>1645</v>
      </c>
      <c r="CU35" s="28">
        <f t="shared" si="25"/>
        <v>60</v>
      </c>
      <c r="CV35" s="27">
        <v>0.61460000000000004</v>
      </c>
      <c r="CW35" s="28">
        <f t="shared" si="39"/>
        <v>0.61460000000000004</v>
      </c>
      <c r="CX35" s="28"/>
      <c r="CY35" s="55">
        <v>1675</v>
      </c>
      <c r="CZ35" s="56">
        <f t="shared" si="26"/>
        <v>90</v>
      </c>
      <c r="DA35" s="56">
        <f t="shared" si="40"/>
        <v>90</v>
      </c>
      <c r="DB35" s="56"/>
      <c r="DC35" s="56"/>
      <c r="DD35" s="35">
        <v>1844</v>
      </c>
      <c r="DE35" s="34">
        <f t="shared" si="27"/>
        <v>259</v>
      </c>
      <c r="DF35" s="34"/>
      <c r="DG35" s="34"/>
      <c r="DH35" s="34"/>
      <c r="DI35" s="65">
        <v>2550</v>
      </c>
      <c r="DJ35" s="64">
        <f t="shared" si="28"/>
        <v>965</v>
      </c>
      <c r="DK35" s="64"/>
      <c r="DL35" s="64"/>
      <c r="DM35" s="64"/>
      <c r="DN35" s="55">
        <v>2151</v>
      </c>
      <c r="DO35" s="56">
        <f t="shared" si="29"/>
        <v>566</v>
      </c>
      <c r="DP35" s="56"/>
      <c r="DQ35" s="56"/>
      <c r="DR35" s="56"/>
      <c r="DS35" s="1">
        <v>2551</v>
      </c>
      <c r="DT35">
        <f t="shared" si="30"/>
        <v>966</v>
      </c>
      <c r="DX35" s="37">
        <v>1585</v>
      </c>
      <c r="DY35" s="34"/>
      <c r="DZ35" s="34"/>
      <c r="EA35" s="34"/>
      <c r="EB35" s="34"/>
      <c r="EC35" s="74">
        <v>5972</v>
      </c>
      <c r="ED35" s="73"/>
      <c r="EE35" s="73"/>
      <c r="EF35" s="73"/>
      <c r="EG35" s="73"/>
    </row>
    <row r="36" spans="5:137" x14ac:dyDescent="0.2">
      <c r="E36" s="29">
        <v>1746</v>
      </c>
      <c r="F36" s="28">
        <f t="shared" si="0"/>
        <v>9</v>
      </c>
      <c r="G36" s="27">
        <v>0.52249999999999996</v>
      </c>
      <c r="H36" s="28">
        <v>0.41729999999999995</v>
      </c>
      <c r="I36" s="28">
        <f t="shared" si="1"/>
        <v>21.567217828900073</v>
      </c>
      <c r="J36" s="55">
        <v>1782</v>
      </c>
      <c r="K36" s="56">
        <f t="shared" si="2"/>
        <v>45</v>
      </c>
      <c r="L36" s="57">
        <v>0.53779999999999994</v>
      </c>
      <c r="M36" s="56">
        <v>0.43219999999999992</v>
      </c>
      <c r="N36" s="56">
        <f t="shared" si="3"/>
        <v>44.567799999999998</v>
      </c>
      <c r="O36" s="29">
        <v>1828</v>
      </c>
      <c r="P36" s="28">
        <f t="shared" si="4"/>
        <v>91</v>
      </c>
      <c r="Q36" s="27">
        <v>0.53190000000000004</v>
      </c>
      <c r="R36" s="28">
        <v>0.42660000000000003</v>
      </c>
      <c r="S36" s="28">
        <f t="shared" si="5"/>
        <v>213.31458040318799</v>
      </c>
      <c r="T36" s="55">
        <v>1847</v>
      </c>
      <c r="U36" s="56">
        <f t="shared" si="6"/>
        <v>3584</v>
      </c>
      <c r="V36" s="57">
        <v>0.53539999999999999</v>
      </c>
      <c r="W36" s="56">
        <v>0.4304</v>
      </c>
      <c r="X36" s="56">
        <f t="shared" si="7"/>
        <v>8327.1375464684006</v>
      </c>
      <c r="Y36" s="29">
        <v>2347</v>
      </c>
      <c r="Z36" s="28">
        <f t="shared" si="8"/>
        <v>610</v>
      </c>
      <c r="AA36" s="27">
        <v>0.51539999999999997</v>
      </c>
      <c r="AB36" s="28">
        <v>0.40599999999999997</v>
      </c>
      <c r="AC36" s="28">
        <f t="shared" si="9"/>
        <v>1502.4630541871923</v>
      </c>
      <c r="AD36" s="55">
        <v>1946</v>
      </c>
      <c r="AE36" s="56">
        <f t="shared" si="10"/>
        <v>209</v>
      </c>
      <c r="AF36" s="57">
        <v>0.51639999999999997</v>
      </c>
      <c r="AG36" s="56">
        <v>0.40809999999999996</v>
      </c>
      <c r="AH36" s="56">
        <f t="shared" si="11"/>
        <v>512.12938005390845</v>
      </c>
      <c r="AI36" s="7">
        <v>2380</v>
      </c>
      <c r="AJ36" s="7">
        <f t="shared" si="12"/>
        <v>643</v>
      </c>
      <c r="AK36" s="7">
        <v>0.58230000000000004</v>
      </c>
      <c r="AL36" s="7">
        <v>0.47720000000000007</v>
      </c>
      <c r="AM36" s="7">
        <v>-0.73981958875837583</v>
      </c>
      <c r="AN36" s="32">
        <v>1737</v>
      </c>
      <c r="AO36" s="28"/>
      <c r="AP36" s="27">
        <v>0.58230000000000004</v>
      </c>
      <c r="AQ36" s="28">
        <v>0.47720000000000007</v>
      </c>
      <c r="AR36" s="28">
        <f t="shared" si="13"/>
        <v>3639.9832355406534</v>
      </c>
      <c r="AS36" s="55">
        <v>3330</v>
      </c>
      <c r="AT36" s="56">
        <f t="shared" si="14"/>
        <v>3329.4177</v>
      </c>
      <c r="AU36" s="57">
        <v>0.63990000000000002</v>
      </c>
      <c r="AV36" s="56">
        <v>0.53210000000000002</v>
      </c>
      <c r="AW36" s="55">
        <f t="shared" si="15"/>
        <v>6257.1277955271562</v>
      </c>
      <c r="AX36" s="1">
        <v>1792</v>
      </c>
      <c r="AY36">
        <f t="shared" si="16"/>
        <v>173</v>
      </c>
      <c r="AZ36" s="8">
        <v>0.60629999999999995</v>
      </c>
      <c r="BA36">
        <f t="shared" si="17"/>
        <v>285.33729176975095</v>
      </c>
      <c r="BB36" s="65">
        <v>1712</v>
      </c>
      <c r="BC36" s="64">
        <f t="shared" si="18"/>
        <v>93</v>
      </c>
      <c r="BD36" s="66">
        <v>0.59240000000000004</v>
      </c>
      <c r="BE36" s="64">
        <f t="shared" si="31"/>
        <v>0.59240000000000004</v>
      </c>
      <c r="BF36" s="64"/>
      <c r="BG36" s="29">
        <v>1847</v>
      </c>
      <c r="BH36" s="28">
        <f t="shared" si="19"/>
        <v>228</v>
      </c>
      <c r="BI36" s="27">
        <v>0.57999999999999996</v>
      </c>
      <c r="BJ36" s="28">
        <f t="shared" si="32"/>
        <v>0.57999999999999996</v>
      </c>
      <c r="BK36" s="28"/>
      <c r="BL36" s="35">
        <v>1924</v>
      </c>
      <c r="BM36" s="34">
        <f t="shared" si="20"/>
        <v>305</v>
      </c>
      <c r="BN36" s="33">
        <v>0.57330000000000003</v>
      </c>
      <c r="BO36" s="34">
        <f t="shared" si="33"/>
        <v>0.57330000000000003</v>
      </c>
      <c r="BP36" s="34"/>
      <c r="BQ36" s="29">
        <v>2590</v>
      </c>
      <c r="BR36" s="28">
        <f t="shared" si="21"/>
        <v>971</v>
      </c>
      <c r="BS36" s="27">
        <v>0.57620000000000005</v>
      </c>
      <c r="BT36" s="28">
        <f t="shared" si="34"/>
        <v>0.57620000000000005</v>
      </c>
      <c r="BU36" s="28"/>
      <c r="BV36" s="35">
        <v>2230</v>
      </c>
      <c r="BW36" s="34">
        <f t="shared" si="22"/>
        <v>611</v>
      </c>
      <c r="BX36" s="33">
        <v>0.58220000000000005</v>
      </c>
      <c r="BY36" s="34">
        <f t="shared" si="35"/>
        <v>0.58220000000000005</v>
      </c>
      <c r="BZ36" s="34"/>
      <c r="CA36" s="7">
        <v>2740</v>
      </c>
      <c r="CB36" s="7">
        <f t="shared" si="23"/>
        <v>1121</v>
      </c>
      <c r="CC36" s="7"/>
      <c r="CD36" s="7"/>
      <c r="CF36" s="32">
        <v>1619</v>
      </c>
      <c r="CG36" s="27">
        <v>0.58889999999999998</v>
      </c>
      <c r="CH36" s="28">
        <f t="shared" si="36"/>
        <v>0.58889999999999998</v>
      </c>
      <c r="CI36" s="28"/>
      <c r="CJ36" s="28"/>
      <c r="CK36" s="55">
        <v>3733</v>
      </c>
      <c r="CL36" s="57">
        <v>0.63119999999999998</v>
      </c>
      <c r="CM36" s="56">
        <f t="shared" si="37"/>
        <v>0.63119999999999998</v>
      </c>
      <c r="CN36" s="71"/>
      <c r="CO36" s="35">
        <v>1882</v>
      </c>
      <c r="CP36" s="34">
        <f t="shared" si="24"/>
        <v>287</v>
      </c>
      <c r="CQ36" s="33">
        <v>0.66659999999999997</v>
      </c>
      <c r="CR36" s="34">
        <f t="shared" si="38"/>
        <v>0.66659999999999997</v>
      </c>
      <c r="CS36" s="34"/>
      <c r="CT36" s="29">
        <v>1669</v>
      </c>
      <c r="CU36" s="28">
        <f t="shared" si="25"/>
        <v>74</v>
      </c>
      <c r="CV36" s="27">
        <v>0.621</v>
      </c>
      <c r="CW36" s="28">
        <f t="shared" si="39"/>
        <v>0.621</v>
      </c>
      <c r="CX36" s="28"/>
      <c r="CY36" s="55">
        <v>1636</v>
      </c>
      <c r="CZ36" s="56">
        <f t="shared" si="26"/>
        <v>41</v>
      </c>
      <c r="DA36" s="56">
        <f t="shared" si="40"/>
        <v>41</v>
      </c>
      <c r="DB36" s="56"/>
      <c r="DC36" s="56"/>
      <c r="DD36" s="35">
        <v>1821</v>
      </c>
      <c r="DE36" s="34">
        <f t="shared" si="27"/>
        <v>226</v>
      </c>
      <c r="DF36" s="34"/>
      <c r="DG36" s="34"/>
      <c r="DH36" s="34"/>
      <c r="DI36" s="65">
        <v>2540</v>
      </c>
      <c r="DJ36" s="64">
        <f t="shared" si="28"/>
        <v>945</v>
      </c>
      <c r="DK36" s="64"/>
      <c r="DL36" s="64"/>
      <c r="DM36" s="64"/>
      <c r="DN36" s="55">
        <v>2113</v>
      </c>
      <c r="DO36" s="56">
        <f t="shared" si="29"/>
        <v>518</v>
      </c>
      <c r="DP36" s="56"/>
      <c r="DQ36" s="56"/>
      <c r="DR36" s="56"/>
      <c r="DS36" s="1">
        <v>2495</v>
      </c>
      <c r="DT36">
        <f t="shared" si="30"/>
        <v>900</v>
      </c>
      <c r="DX36" s="37">
        <v>1595</v>
      </c>
      <c r="DY36" s="34"/>
      <c r="DZ36" s="34"/>
      <c r="EA36" s="34"/>
      <c r="EB36" s="34"/>
      <c r="EC36" s="74">
        <v>5807</v>
      </c>
      <c r="ED36" s="73"/>
      <c r="EE36" s="73"/>
      <c r="EF36" s="73"/>
      <c r="EG36" s="73"/>
    </row>
    <row r="37" spans="5:137" x14ac:dyDescent="0.2">
      <c r="E37" s="29">
        <v>1787</v>
      </c>
      <c r="F37" s="28">
        <f t="shared" si="0"/>
        <v>66</v>
      </c>
      <c r="G37" s="27">
        <v>0.52180000000000004</v>
      </c>
      <c r="H37" s="28">
        <v>0.41660000000000003</v>
      </c>
      <c r="I37" s="28">
        <f t="shared" si="1"/>
        <v>158.42534805568891</v>
      </c>
      <c r="J37" s="55">
        <v>1799</v>
      </c>
      <c r="K37" s="56">
        <f t="shared" si="2"/>
        <v>78</v>
      </c>
      <c r="L37" s="57">
        <v>0.54820000000000002</v>
      </c>
      <c r="M37" s="56">
        <v>0.44259999999999999</v>
      </c>
      <c r="N37" s="56">
        <f t="shared" si="3"/>
        <v>77.557400000000001</v>
      </c>
      <c r="O37" s="29">
        <v>1844</v>
      </c>
      <c r="P37" s="28">
        <f t="shared" si="4"/>
        <v>123</v>
      </c>
      <c r="Q37" s="27">
        <v>0.52980000000000005</v>
      </c>
      <c r="R37" s="28">
        <v>0.42450000000000004</v>
      </c>
      <c r="S37" s="28">
        <f t="shared" si="5"/>
        <v>289.7526501766784</v>
      </c>
      <c r="T37" s="55">
        <v>1839</v>
      </c>
      <c r="U37" s="56">
        <f t="shared" si="6"/>
        <v>3560</v>
      </c>
      <c r="V37" s="57">
        <v>0.53659999999999997</v>
      </c>
      <c r="W37" s="56">
        <v>0.43159999999999998</v>
      </c>
      <c r="X37" s="56">
        <f t="shared" si="7"/>
        <v>8248.3781278961997</v>
      </c>
      <c r="Y37" s="29">
        <v>2374</v>
      </c>
      <c r="Z37" s="28">
        <f t="shared" si="8"/>
        <v>653</v>
      </c>
      <c r="AA37" s="27">
        <v>0.51619999999999999</v>
      </c>
      <c r="AB37" s="28">
        <v>0.40679999999999999</v>
      </c>
      <c r="AC37" s="28">
        <f t="shared" si="9"/>
        <v>1605.2114060963618</v>
      </c>
      <c r="AD37" s="55">
        <v>1949</v>
      </c>
      <c r="AE37" s="56">
        <f t="shared" si="10"/>
        <v>228</v>
      </c>
      <c r="AF37" s="57">
        <v>0.51329999999999998</v>
      </c>
      <c r="AG37" s="56">
        <v>0.40499999999999997</v>
      </c>
      <c r="AH37" s="56">
        <f t="shared" si="11"/>
        <v>562.96296296296305</v>
      </c>
      <c r="AI37" s="7">
        <v>2350</v>
      </c>
      <c r="AJ37" s="7">
        <f t="shared" si="12"/>
        <v>629</v>
      </c>
      <c r="AK37" s="7">
        <v>0.57950000000000002</v>
      </c>
      <c r="AL37" s="7">
        <v>0.47440000000000004</v>
      </c>
      <c r="AM37" s="7">
        <v>-0.7457044312986213</v>
      </c>
      <c r="AN37" s="32">
        <v>1721</v>
      </c>
      <c r="AO37" s="28"/>
      <c r="AP37" s="27">
        <v>0.57950000000000002</v>
      </c>
      <c r="AQ37" s="28">
        <v>0.47440000000000004</v>
      </c>
      <c r="AR37" s="28">
        <f t="shared" si="13"/>
        <v>3627.7403035413149</v>
      </c>
      <c r="AS37" s="55">
        <v>3314</v>
      </c>
      <c r="AT37" s="56">
        <f t="shared" si="14"/>
        <v>3313.4205000000002</v>
      </c>
      <c r="AU37" s="57">
        <v>0.63160000000000005</v>
      </c>
      <c r="AV37" s="56">
        <v>0.52380000000000004</v>
      </c>
      <c r="AW37" s="55">
        <f t="shared" si="15"/>
        <v>6325.7359679266892</v>
      </c>
      <c r="AX37" s="1">
        <v>1806</v>
      </c>
      <c r="AY37">
        <f t="shared" si="16"/>
        <v>149</v>
      </c>
      <c r="AZ37" s="8">
        <v>0.59609999999999996</v>
      </c>
      <c r="BA37">
        <f t="shared" si="17"/>
        <v>249.95806072806579</v>
      </c>
      <c r="BB37" s="65">
        <v>1708</v>
      </c>
      <c r="BC37" s="64">
        <f t="shared" si="18"/>
        <v>51</v>
      </c>
      <c r="BD37" s="66">
        <v>0.5776</v>
      </c>
      <c r="BE37" s="64">
        <f t="shared" si="31"/>
        <v>0.5776</v>
      </c>
      <c r="BF37" s="64"/>
      <c r="BG37" s="29">
        <v>1857</v>
      </c>
      <c r="BH37" s="28">
        <f t="shared" si="19"/>
        <v>200</v>
      </c>
      <c r="BI37" s="27">
        <v>0.56999999999999995</v>
      </c>
      <c r="BJ37" s="28">
        <f t="shared" si="32"/>
        <v>0.56999999999999995</v>
      </c>
      <c r="BK37" s="28"/>
      <c r="BL37" s="35">
        <v>1997</v>
      </c>
      <c r="BM37" s="34">
        <f t="shared" si="20"/>
        <v>340</v>
      </c>
      <c r="BN37" s="33">
        <v>0.57040000000000002</v>
      </c>
      <c r="BO37" s="34">
        <f t="shared" si="33"/>
        <v>0.57040000000000002</v>
      </c>
      <c r="BP37" s="34"/>
      <c r="BQ37" s="29">
        <v>2565</v>
      </c>
      <c r="BR37" s="28">
        <f t="shared" si="21"/>
        <v>908</v>
      </c>
      <c r="BS37" s="27">
        <v>0.57330000000000003</v>
      </c>
      <c r="BT37" s="28">
        <f t="shared" si="34"/>
        <v>0.57330000000000003</v>
      </c>
      <c r="BU37" s="28"/>
      <c r="BV37" s="35">
        <v>2256</v>
      </c>
      <c r="BW37" s="34">
        <f t="shared" si="22"/>
        <v>599</v>
      </c>
      <c r="BX37" s="33">
        <v>0.57909999999999995</v>
      </c>
      <c r="BY37" s="34">
        <f t="shared" si="35"/>
        <v>0.57909999999999995</v>
      </c>
      <c r="BZ37" s="34"/>
      <c r="CA37" s="7">
        <v>2748</v>
      </c>
      <c r="CB37" s="7">
        <f t="shared" si="23"/>
        <v>1091</v>
      </c>
      <c r="CC37" s="7"/>
      <c r="CD37" s="7"/>
      <c r="CF37" s="32">
        <v>1657</v>
      </c>
      <c r="CG37" s="27">
        <v>0.59</v>
      </c>
      <c r="CH37" s="28">
        <f t="shared" si="36"/>
        <v>0.59</v>
      </c>
      <c r="CI37" s="28"/>
      <c r="CJ37" s="28"/>
      <c r="CK37" s="55">
        <v>3749</v>
      </c>
      <c r="CL37" s="57">
        <v>0.63549999999999995</v>
      </c>
      <c r="CM37" s="56">
        <f t="shared" si="37"/>
        <v>0.63549999999999995</v>
      </c>
      <c r="CN37" s="71"/>
      <c r="CO37" s="35">
        <v>1893</v>
      </c>
      <c r="CP37" s="34">
        <f t="shared" si="24"/>
        <v>275</v>
      </c>
      <c r="CQ37" s="33">
        <v>0.69299999999999995</v>
      </c>
      <c r="CR37" s="34">
        <f t="shared" si="38"/>
        <v>0.69299999999999995</v>
      </c>
      <c r="CS37" s="34"/>
      <c r="CT37" s="29">
        <v>1666</v>
      </c>
      <c r="CU37" s="28">
        <f t="shared" si="25"/>
        <v>48</v>
      </c>
      <c r="CV37" s="27">
        <v>0.60109999999999997</v>
      </c>
      <c r="CW37" s="28">
        <f t="shared" si="39"/>
        <v>0.60109999999999997</v>
      </c>
      <c r="CX37" s="28"/>
      <c r="CY37" s="55">
        <v>1670</v>
      </c>
      <c r="CZ37" s="56">
        <f t="shared" si="26"/>
        <v>52</v>
      </c>
      <c r="DA37" s="56">
        <f t="shared" si="40"/>
        <v>52</v>
      </c>
      <c r="DB37" s="56"/>
      <c r="DC37" s="56"/>
      <c r="DD37" s="35">
        <v>1842</v>
      </c>
      <c r="DE37" s="34">
        <f t="shared" si="27"/>
        <v>224</v>
      </c>
      <c r="DF37" s="34"/>
      <c r="DG37" s="34"/>
      <c r="DH37" s="34"/>
      <c r="DI37" s="65">
        <v>2510</v>
      </c>
      <c r="DJ37" s="64">
        <f t="shared" si="28"/>
        <v>892</v>
      </c>
      <c r="DK37" s="64"/>
      <c r="DL37" s="64"/>
      <c r="DM37" s="64"/>
      <c r="DN37" s="55">
        <v>2136</v>
      </c>
      <c r="DO37" s="56">
        <f t="shared" si="29"/>
        <v>518</v>
      </c>
      <c r="DP37" s="56"/>
      <c r="DQ37" s="56"/>
      <c r="DR37" s="56"/>
      <c r="DS37" s="1">
        <v>2489</v>
      </c>
      <c r="DT37">
        <f t="shared" si="30"/>
        <v>871</v>
      </c>
      <c r="DX37" s="37">
        <v>1618</v>
      </c>
      <c r="DY37" s="34"/>
      <c r="DZ37" s="34"/>
      <c r="EA37" s="34"/>
      <c r="EB37" s="34"/>
      <c r="EC37" s="74">
        <v>5841</v>
      </c>
      <c r="ED37" s="73"/>
      <c r="EE37" s="73"/>
      <c r="EF37" s="73"/>
      <c r="EG37" s="73"/>
    </row>
    <row r="38" spans="5:137" x14ac:dyDescent="0.2">
      <c r="E38" s="29">
        <v>1735</v>
      </c>
      <c r="F38" s="28">
        <f t="shared" si="0"/>
        <v>40</v>
      </c>
      <c r="G38" s="27">
        <v>0.51270000000000004</v>
      </c>
      <c r="H38" s="28">
        <v>0.40750000000000003</v>
      </c>
      <c r="I38" s="28">
        <f t="shared" si="1"/>
        <v>98.159509202453975</v>
      </c>
      <c r="J38" s="55">
        <v>1769</v>
      </c>
      <c r="K38" s="56">
        <f t="shared" si="2"/>
        <v>74</v>
      </c>
      <c r="L38" s="57">
        <v>0.52869999999999995</v>
      </c>
      <c r="M38" s="56">
        <v>0.42309999999999992</v>
      </c>
      <c r="N38" s="56">
        <f t="shared" si="3"/>
        <v>73.576899999999995</v>
      </c>
      <c r="O38" s="29">
        <v>1817</v>
      </c>
      <c r="P38" s="28">
        <f t="shared" si="4"/>
        <v>122</v>
      </c>
      <c r="Q38" s="27">
        <v>0.51739999999999997</v>
      </c>
      <c r="R38" s="28">
        <v>0.41209999999999997</v>
      </c>
      <c r="S38" s="28">
        <f t="shared" si="5"/>
        <v>296.04464935695222</v>
      </c>
      <c r="T38" s="55">
        <v>1803</v>
      </c>
      <c r="U38" s="56">
        <f t="shared" si="6"/>
        <v>3498</v>
      </c>
      <c r="V38" s="57">
        <v>0.5272</v>
      </c>
      <c r="W38" s="56">
        <v>0.42220000000000002</v>
      </c>
      <c r="X38" s="56">
        <f t="shared" si="7"/>
        <v>8285.1729038370431</v>
      </c>
      <c r="Y38" s="29">
        <v>2251</v>
      </c>
      <c r="Z38" s="28">
        <f t="shared" si="8"/>
        <v>556</v>
      </c>
      <c r="AA38" s="27">
        <v>0.51470000000000005</v>
      </c>
      <c r="AB38" s="28">
        <v>0.40530000000000005</v>
      </c>
      <c r="AC38" s="28">
        <f t="shared" si="9"/>
        <v>1371.8233407352577</v>
      </c>
      <c r="AD38" s="55">
        <v>1891</v>
      </c>
      <c r="AE38" s="56">
        <f t="shared" si="10"/>
        <v>196</v>
      </c>
      <c r="AF38" s="57">
        <v>0.51500000000000001</v>
      </c>
      <c r="AG38" s="56">
        <v>0.40670000000000001</v>
      </c>
      <c r="AH38" s="56">
        <f t="shared" si="11"/>
        <v>481.92771084337346</v>
      </c>
      <c r="AI38" s="7">
        <v>2316</v>
      </c>
      <c r="AJ38" s="7">
        <f t="shared" si="12"/>
        <v>621</v>
      </c>
      <c r="AK38" s="7">
        <v>0.57550000000000001</v>
      </c>
      <c r="AL38" s="7">
        <v>0.47040000000000004</v>
      </c>
      <c r="AM38" s="7">
        <v>-0.75417188239771982</v>
      </c>
      <c r="AN38" s="32">
        <v>1695</v>
      </c>
      <c r="AO38" s="28"/>
      <c r="AP38" s="27">
        <v>0.57550000000000001</v>
      </c>
      <c r="AQ38" s="28">
        <v>0.47040000000000004</v>
      </c>
      <c r="AR38" s="28">
        <f t="shared" si="13"/>
        <v>3603.3163265306121</v>
      </c>
      <c r="AS38" s="55">
        <v>3212</v>
      </c>
      <c r="AT38" s="56">
        <f t="shared" si="14"/>
        <v>3211.4245000000001</v>
      </c>
      <c r="AU38" s="57">
        <v>0.62980000000000003</v>
      </c>
      <c r="AV38" s="56">
        <v>0.52200000000000002</v>
      </c>
      <c r="AW38" s="55">
        <f t="shared" si="15"/>
        <v>6152.1542145593867</v>
      </c>
      <c r="AX38" s="1">
        <v>1794</v>
      </c>
      <c r="AY38">
        <f t="shared" si="16"/>
        <v>165</v>
      </c>
      <c r="AZ38" s="8">
        <v>0.60589999999999999</v>
      </c>
      <c r="BA38">
        <f t="shared" si="17"/>
        <v>272.32216537382408</v>
      </c>
      <c r="BB38" s="65">
        <v>1725</v>
      </c>
      <c r="BC38" s="64">
        <f t="shared" si="18"/>
        <v>96</v>
      </c>
      <c r="BD38" s="66">
        <v>0.5827</v>
      </c>
      <c r="BE38" s="64">
        <f t="shared" si="31"/>
        <v>0.5827</v>
      </c>
      <c r="BF38" s="64"/>
      <c r="BG38" s="29">
        <v>1838</v>
      </c>
      <c r="BH38" s="28">
        <f t="shared" si="19"/>
        <v>209</v>
      </c>
      <c r="BI38" s="27">
        <v>0.57089999999999996</v>
      </c>
      <c r="BJ38" s="28">
        <f t="shared" si="32"/>
        <v>0.57089999999999996</v>
      </c>
      <c r="BK38" s="28"/>
      <c r="BL38" s="35">
        <v>1921</v>
      </c>
      <c r="BM38" s="34">
        <f t="shared" si="20"/>
        <v>292</v>
      </c>
      <c r="BN38" s="33">
        <v>0.56689999999999996</v>
      </c>
      <c r="BO38" s="34">
        <f t="shared" si="33"/>
        <v>0.56689999999999996</v>
      </c>
      <c r="BP38" s="34"/>
      <c r="BQ38" s="29">
        <v>2521</v>
      </c>
      <c r="BR38" s="28">
        <f t="shared" si="21"/>
        <v>892</v>
      </c>
      <c r="BS38" s="27">
        <v>0.56789999999999996</v>
      </c>
      <c r="BT38" s="28">
        <f t="shared" si="34"/>
        <v>0.56789999999999996</v>
      </c>
      <c r="BU38" s="28"/>
      <c r="BV38" s="35">
        <v>2249</v>
      </c>
      <c r="BW38" s="34">
        <f t="shared" si="22"/>
        <v>620</v>
      </c>
      <c r="BX38" s="33">
        <v>0.57640000000000002</v>
      </c>
      <c r="BY38" s="34">
        <f t="shared" si="35"/>
        <v>0.57640000000000002</v>
      </c>
      <c r="BZ38" s="34"/>
      <c r="CA38" s="7">
        <v>2654</v>
      </c>
      <c r="CB38" s="7">
        <f t="shared" si="23"/>
        <v>1025</v>
      </c>
      <c r="CC38" s="7"/>
      <c r="CD38" s="7"/>
      <c r="CF38" s="32">
        <v>1629</v>
      </c>
      <c r="CG38" s="27">
        <v>0.58479999999999999</v>
      </c>
      <c r="CH38" s="28">
        <f t="shared" si="36"/>
        <v>0.58479999999999999</v>
      </c>
      <c r="CI38" s="28"/>
      <c r="CJ38" s="28"/>
      <c r="CK38" s="55">
        <v>3640</v>
      </c>
      <c r="CL38" s="57">
        <v>0.65259999999999996</v>
      </c>
      <c r="CM38" s="56">
        <f t="shared" si="37"/>
        <v>0.65259999999999996</v>
      </c>
      <c r="CN38" s="71"/>
      <c r="CO38" s="35">
        <v>1886</v>
      </c>
      <c r="CP38" s="34">
        <f t="shared" si="24"/>
        <v>303</v>
      </c>
      <c r="CQ38" s="33">
        <v>0.67159999999999997</v>
      </c>
      <c r="CR38" s="34">
        <f t="shared" si="38"/>
        <v>0.67159999999999997</v>
      </c>
      <c r="CS38" s="34"/>
      <c r="CT38" s="29">
        <v>1666</v>
      </c>
      <c r="CU38" s="28">
        <f t="shared" si="25"/>
        <v>83</v>
      </c>
      <c r="CV38" s="27">
        <v>0.61009999999999998</v>
      </c>
      <c r="CW38" s="28">
        <f t="shared" si="39"/>
        <v>0.61009999999999998</v>
      </c>
      <c r="CX38" s="28"/>
      <c r="CY38" s="55">
        <v>1685</v>
      </c>
      <c r="CZ38" s="56">
        <f t="shared" si="26"/>
        <v>102</v>
      </c>
      <c r="DA38" s="56">
        <f t="shared" si="40"/>
        <v>102</v>
      </c>
      <c r="DB38" s="56"/>
      <c r="DC38" s="56"/>
      <c r="DD38" s="35">
        <v>1818</v>
      </c>
      <c r="DE38" s="34">
        <f t="shared" si="27"/>
        <v>235</v>
      </c>
      <c r="DF38" s="34"/>
      <c r="DG38" s="34"/>
      <c r="DH38" s="34"/>
      <c r="DI38" s="65">
        <v>2405</v>
      </c>
      <c r="DJ38" s="64">
        <f t="shared" si="28"/>
        <v>822</v>
      </c>
      <c r="DK38" s="64"/>
      <c r="DL38" s="64"/>
      <c r="DM38" s="64"/>
      <c r="DN38" s="55">
        <v>2114</v>
      </c>
      <c r="DO38" s="56">
        <f t="shared" si="29"/>
        <v>531</v>
      </c>
      <c r="DP38" s="56"/>
      <c r="DQ38" s="56"/>
      <c r="DR38" s="56"/>
      <c r="DS38" s="1">
        <v>2430</v>
      </c>
      <c r="DT38">
        <f t="shared" si="30"/>
        <v>847</v>
      </c>
      <c r="DX38" s="37">
        <v>1583</v>
      </c>
      <c r="DY38" s="34"/>
      <c r="DZ38" s="34"/>
      <c r="EA38" s="34"/>
      <c r="EB38" s="34"/>
      <c r="EC38" s="74">
        <v>5622</v>
      </c>
      <c r="ED38" s="73"/>
      <c r="EE38" s="73"/>
      <c r="EF38" s="73"/>
      <c r="EG38" s="73"/>
    </row>
    <row r="39" spans="5:137" x14ac:dyDescent="0.2">
      <c r="E39" s="29">
        <v>1793</v>
      </c>
      <c r="F39" s="28">
        <f t="shared" si="0"/>
        <v>56</v>
      </c>
      <c r="G39" s="27">
        <v>0.51980000000000004</v>
      </c>
      <c r="H39" s="28">
        <v>0.41460000000000002</v>
      </c>
      <c r="I39" s="28">
        <f t="shared" si="1"/>
        <v>135.06994693680656</v>
      </c>
      <c r="J39" s="55">
        <v>1828</v>
      </c>
      <c r="K39" s="56">
        <f t="shared" si="2"/>
        <v>91</v>
      </c>
      <c r="L39" s="57">
        <v>0.54979999999999996</v>
      </c>
      <c r="M39" s="56">
        <v>0.44419999999999993</v>
      </c>
      <c r="N39" s="56">
        <f t="shared" si="3"/>
        <v>90.555800000000005</v>
      </c>
      <c r="O39" s="29">
        <v>1849</v>
      </c>
      <c r="P39" s="28">
        <f t="shared" si="4"/>
        <v>112</v>
      </c>
      <c r="Q39" s="27">
        <v>0.54339999999999999</v>
      </c>
      <c r="R39" s="28">
        <v>0.43809999999999999</v>
      </c>
      <c r="S39" s="28">
        <f t="shared" si="5"/>
        <v>255.64939511527049</v>
      </c>
      <c r="T39" s="55">
        <v>1870</v>
      </c>
      <c r="U39" s="56">
        <f t="shared" si="6"/>
        <v>3607</v>
      </c>
      <c r="V39" s="57">
        <v>0.53390000000000004</v>
      </c>
      <c r="W39" s="56">
        <v>0.42890000000000006</v>
      </c>
      <c r="X39" s="56">
        <f t="shared" si="7"/>
        <v>8409.8857542550704</v>
      </c>
      <c r="Y39" s="29">
        <v>2291</v>
      </c>
      <c r="Z39" s="28">
        <f t="shared" si="8"/>
        <v>554</v>
      </c>
      <c r="AA39" s="27">
        <v>0.51280000000000003</v>
      </c>
      <c r="AB39" s="28">
        <v>0.40340000000000004</v>
      </c>
      <c r="AC39" s="28">
        <f t="shared" si="9"/>
        <v>1373.3267228557263</v>
      </c>
      <c r="AD39" s="55">
        <v>1919</v>
      </c>
      <c r="AE39" s="56">
        <f t="shared" si="10"/>
        <v>182</v>
      </c>
      <c r="AF39" s="57">
        <v>0.50600000000000001</v>
      </c>
      <c r="AG39" s="56">
        <v>0.3977</v>
      </c>
      <c r="AH39" s="56">
        <f t="shared" si="11"/>
        <v>457.6313804375157</v>
      </c>
      <c r="AI39" s="7">
        <v>2331</v>
      </c>
      <c r="AJ39" s="7">
        <f t="shared" si="12"/>
        <v>594</v>
      </c>
      <c r="AK39" s="7">
        <v>0.57040000000000002</v>
      </c>
      <c r="AL39" s="7">
        <v>0.46530000000000005</v>
      </c>
      <c r="AM39" s="7">
        <v>-0.76507292013153416</v>
      </c>
      <c r="AN39" s="32">
        <v>1737</v>
      </c>
      <c r="AO39" s="28"/>
      <c r="AP39" s="27">
        <v>0.57040000000000002</v>
      </c>
      <c r="AQ39" s="28">
        <v>0.46530000000000005</v>
      </c>
      <c r="AR39" s="28">
        <f t="shared" si="13"/>
        <v>3733.0754352030945</v>
      </c>
      <c r="AS39" s="55">
        <v>3251</v>
      </c>
      <c r="AT39" s="56">
        <f t="shared" si="14"/>
        <v>3250.4295999999999</v>
      </c>
      <c r="AU39" s="57">
        <v>0.61899999999999999</v>
      </c>
      <c r="AV39" s="56">
        <v>0.51119999999999999</v>
      </c>
      <c r="AW39" s="55">
        <f t="shared" si="15"/>
        <v>6358.4303599374025</v>
      </c>
      <c r="AX39" s="1">
        <v>1818</v>
      </c>
      <c r="AY39">
        <f t="shared" si="16"/>
        <v>168</v>
      </c>
      <c r="AZ39" s="8">
        <v>0.60940000000000005</v>
      </c>
      <c r="BA39">
        <f t="shared" si="17"/>
        <v>275.68099770265832</v>
      </c>
      <c r="BB39" s="65">
        <v>1723</v>
      </c>
      <c r="BC39" s="64">
        <f t="shared" si="18"/>
        <v>73</v>
      </c>
      <c r="BD39" s="66">
        <v>0.58130000000000004</v>
      </c>
      <c r="BE39" s="64">
        <f t="shared" si="31"/>
        <v>0.58130000000000004</v>
      </c>
      <c r="BF39" s="64"/>
      <c r="BG39" s="29">
        <v>1832</v>
      </c>
      <c r="BH39" s="28">
        <f t="shared" si="19"/>
        <v>182</v>
      </c>
      <c r="BI39" s="27">
        <v>0.56679999999999997</v>
      </c>
      <c r="BJ39" s="28">
        <f t="shared" si="32"/>
        <v>0.56679999999999997</v>
      </c>
      <c r="BK39" s="28"/>
      <c r="BL39" s="35">
        <v>1946</v>
      </c>
      <c r="BM39" s="34">
        <f t="shared" si="20"/>
        <v>296</v>
      </c>
      <c r="BN39" s="33">
        <v>0.56189999999999996</v>
      </c>
      <c r="BO39" s="34">
        <f t="shared" si="33"/>
        <v>0.56189999999999996</v>
      </c>
      <c r="BP39" s="34"/>
      <c r="BQ39" s="29">
        <v>2484</v>
      </c>
      <c r="BR39" s="28">
        <f t="shared" si="21"/>
        <v>834</v>
      </c>
      <c r="BS39" s="27">
        <v>0.56369999999999998</v>
      </c>
      <c r="BT39" s="28">
        <f t="shared" si="34"/>
        <v>0.56369999999999998</v>
      </c>
      <c r="BU39" s="28"/>
      <c r="BV39" s="35">
        <v>2214</v>
      </c>
      <c r="BW39" s="34">
        <f t="shared" si="22"/>
        <v>564</v>
      </c>
      <c r="BX39" s="33">
        <v>0.56899999999999995</v>
      </c>
      <c r="BY39" s="34">
        <f t="shared" si="35"/>
        <v>0.56899999999999995</v>
      </c>
      <c r="BZ39" s="34"/>
      <c r="CA39" s="7">
        <v>2656</v>
      </c>
      <c r="CB39" s="7">
        <f t="shared" si="23"/>
        <v>1006</v>
      </c>
      <c r="CC39" s="7"/>
      <c r="CD39" s="7"/>
      <c r="CF39" s="32">
        <v>1650</v>
      </c>
      <c r="CG39" s="27">
        <v>0.57889999999999997</v>
      </c>
      <c r="CH39" s="28">
        <f t="shared" si="36"/>
        <v>0.57889999999999997</v>
      </c>
      <c r="CI39" s="28"/>
      <c r="CJ39" s="28"/>
      <c r="CK39" s="55">
        <v>3567</v>
      </c>
      <c r="CL39" s="57">
        <v>0.62509999999999999</v>
      </c>
      <c r="CM39" s="56">
        <f t="shared" si="37"/>
        <v>0.62509999999999999</v>
      </c>
      <c r="CN39" s="71"/>
      <c r="CO39" s="35">
        <v>1889</v>
      </c>
      <c r="CP39" s="34">
        <f t="shared" si="24"/>
        <v>288</v>
      </c>
      <c r="CQ39" s="33">
        <v>0.66720000000000002</v>
      </c>
      <c r="CR39" s="34">
        <f t="shared" si="38"/>
        <v>0.66720000000000002</v>
      </c>
      <c r="CS39" s="34"/>
      <c r="CT39" s="29">
        <v>1690</v>
      </c>
      <c r="CU39" s="28">
        <f t="shared" si="25"/>
        <v>89</v>
      </c>
      <c r="CV39" s="27">
        <v>0.60680000000000001</v>
      </c>
      <c r="CW39" s="28">
        <f t="shared" si="39"/>
        <v>0.60680000000000001</v>
      </c>
      <c r="CX39" s="28"/>
      <c r="CY39" s="55">
        <v>1660</v>
      </c>
      <c r="CZ39" s="56">
        <f t="shared" si="26"/>
        <v>59</v>
      </c>
      <c r="DA39" s="56">
        <f t="shared" si="40"/>
        <v>59</v>
      </c>
      <c r="DB39" s="56"/>
      <c r="DC39" s="56"/>
      <c r="DD39" s="35">
        <v>1836</v>
      </c>
      <c r="DE39" s="34">
        <f t="shared" si="27"/>
        <v>235</v>
      </c>
      <c r="DF39" s="34"/>
      <c r="DG39" s="34"/>
      <c r="DH39" s="34"/>
      <c r="DI39" s="65">
        <v>2470</v>
      </c>
      <c r="DJ39" s="64">
        <f t="shared" si="28"/>
        <v>869</v>
      </c>
      <c r="DK39" s="64"/>
      <c r="DL39" s="64"/>
      <c r="DM39" s="64"/>
      <c r="DN39" s="55">
        <v>2103</v>
      </c>
      <c r="DO39" s="56">
        <f t="shared" si="29"/>
        <v>502</v>
      </c>
      <c r="DP39" s="56"/>
      <c r="DQ39" s="56"/>
      <c r="DR39" s="56"/>
      <c r="DS39" s="1">
        <v>2434</v>
      </c>
      <c r="DT39">
        <f t="shared" si="30"/>
        <v>833</v>
      </c>
      <c r="DX39" s="37">
        <v>1601</v>
      </c>
      <c r="DY39" s="34"/>
      <c r="DZ39" s="34"/>
      <c r="EA39" s="34"/>
      <c r="EB39" s="34"/>
      <c r="EC39" s="74">
        <v>5633</v>
      </c>
      <c r="ED39" s="73"/>
      <c r="EE39" s="73"/>
      <c r="EF39" s="73"/>
      <c r="EG39" s="73"/>
    </row>
    <row r="40" spans="5:137" x14ac:dyDescent="0.2">
      <c r="E40" s="29">
        <v>1777</v>
      </c>
      <c r="F40" s="28">
        <f t="shared" si="0"/>
        <v>41</v>
      </c>
      <c r="G40" s="27">
        <v>0.50480000000000003</v>
      </c>
      <c r="H40" s="28">
        <v>0.39960000000000001</v>
      </c>
      <c r="I40" s="28">
        <f t="shared" si="1"/>
        <v>102.6026026026026</v>
      </c>
      <c r="J40" s="55">
        <v>1795</v>
      </c>
      <c r="K40" s="56">
        <f>J40-AN40</f>
        <v>59</v>
      </c>
      <c r="L40" s="57">
        <v>0.53710000000000002</v>
      </c>
      <c r="M40" s="56">
        <v>0.43149999999999999</v>
      </c>
      <c r="N40" s="56">
        <f t="shared" si="3"/>
        <v>58.5685</v>
      </c>
      <c r="O40" s="29">
        <v>1836</v>
      </c>
      <c r="P40" s="28">
        <f t="shared" si="4"/>
        <v>100</v>
      </c>
      <c r="Q40" s="27">
        <v>0.51559999999999995</v>
      </c>
      <c r="R40" s="28">
        <v>0.41029999999999994</v>
      </c>
      <c r="S40" s="28">
        <f t="shared" si="5"/>
        <v>243.72410431391668</v>
      </c>
      <c r="T40" s="55">
        <v>1817</v>
      </c>
      <c r="U40" s="56">
        <f t="shared" si="6"/>
        <v>3553</v>
      </c>
      <c r="V40" s="57">
        <v>0.52590000000000003</v>
      </c>
      <c r="W40" s="56">
        <v>0.42090000000000005</v>
      </c>
      <c r="X40" s="56">
        <f t="shared" si="7"/>
        <v>8441.43502019482</v>
      </c>
      <c r="Y40" s="29">
        <v>2281</v>
      </c>
      <c r="Z40" s="28">
        <f t="shared" si="8"/>
        <v>545</v>
      </c>
      <c r="AA40" s="27">
        <v>0.50680000000000003</v>
      </c>
      <c r="AB40" s="28">
        <v>0.39740000000000003</v>
      </c>
      <c r="AC40" s="28">
        <f t="shared" si="9"/>
        <v>1371.4141922496224</v>
      </c>
      <c r="AD40" s="55">
        <v>1914</v>
      </c>
      <c r="AE40" s="56">
        <f t="shared" si="10"/>
        <v>178</v>
      </c>
      <c r="AF40" s="57">
        <v>0.50949999999999995</v>
      </c>
      <c r="AG40" s="56">
        <v>0.40119999999999995</v>
      </c>
      <c r="AH40" s="56">
        <f t="shared" si="11"/>
        <v>443.66899302093725</v>
      </c>
      <c r="AI40" s="7">
        <v>2284</v>
      </c>
      <c r="AJ40" s="7">
        <f t="shared" si="12"/>
        <v>548</v>
      </c>
      <c r="AK40" s="7">
        <v>0.58289999999999997</v>
      </c>
      <c r="AL40" s="7">
        <v>0.4778</v>
      </c>
      <c r="AM40" s="7">
        <v>-0.73856304409042783</v>
      </c>
      <c r="AN40" s="32">
        <v>1736</v>
      </c>
      <c r="AO40" s="28"/>
      <c r="AP40" s="27">
        <v>0.58289999999999997</v>
      </c>
      <c r="AQ40" s="28">
        <v>0.4778</v>
      </c>
      <c r="AR40" s="28">
        <f t="shared" si="13"/>
        <v>3633.3193804939306</v>
      </c>
      <c r="AS40" s="55">
        <v>3183</v>
      </c>
      <c r="AT40" s="56">
        <f t="shared" si="14"/>
        <v>3182.4171000000001</v>
      </c>
      <c r="AU40" s="57">
        <v>0.621</v>
      </c>
      <c r="AV40" s="56">
        <v>0.51319999999999999</v>
      </c>
      <c r="AW40" s="55">
        <f t="shared" si="15"/>
        <v>6201.1245128604833</v>
      </c>
      <c r="AX40" s="1">
        <v>1826</v>
      </c>
      <c r="AY40">
        <f t="shared" si="16"/>
        <v>205</v>
      </c>
      <c r="AZ40" s="8">
        <v>0.59560000000000002</v>
      </c>
      <c r="BA40">
        <f t="shared" si="17"/>
        <v>344.19073203492275</v>
      </c>
      <c r="BB40" s="65">
        <v>1743</v>
      </c>
      <c r="BC40" s="64">
        <f t="shared" si="18"/>
        <v>122</v>
      </c>
      <c r="BD40" s="66">
        <v>0.57020000000000004</v>
      </c>
      <c r="BE40" s="64">
        <f t="shared" si="31"/>
        <v>0.57020000000000004</v>
      </c>
      <c r="BF40" s="64"/>
      <c r="BG40" s="29">
        <v>1811</v>
      </c>
      <c r="BH40" s="28">
        <f t="shared" si="19"/>
        <v>190</v>
      </c>
      <c r="BI40" s="27">
        <v>0.56120000000000003</v>
      </c>
      <c r="BJ40" s="28">
        <f t="shared" si="32"/>
        <v>0.56120000000000003</v>
      </c>
      <c r="BK40" s="28"/>
      <c r="BL40" s="35">
        <v>1931</v>
      </c>
      <c r="BM40" s="34">
        <f t="shared" si="20"/>
        <v>310</v>
      </c>
      <c r="BN40" s="33">
        <v>0.55710000000000004</v>
      </c>
      <c r="BO40" s="34">
        <f t="shared" si="33"/>
        <v>0.55710000000000004</v>
      </c>
      <c r="BP40" s="34"/>
      <c r="BQ40" s="29">
        <v>2501</v>
      </c>
      <c r="BR40" s="28">
        <f t="shared" si="21"/>
        <v>880</v>
      </c>
      <c r="BS40" s="27">
        <v>0.55989999999999995</v>
      </c>
      <c r="BT40" s="28">
        <f t="shared" si="34"/>
        <v>0.55989999999999995</v>
      </c>
      <c r="BU40" s="28"/>
      <c r="BV40" s="35">
        <v>2192</v>
      </c>
      <c r="BW40" s="34">
        <f t="shared" si="22"/>
        <v>571</v>
      </c>
      <c r="BX40" s="33">
        <v>0.56810000000000005</v>
      </c>
      <c r="BY40" s="34">
        <f t="shared" si="35"/>
        <v>0.56810000000000005</v>
      </c>
      <c r="BZ40" s="34"/>
      <c r="CA40" s="7">
        <v>2653</v>
      </c>
      <c r="CB40" s="7">
        <f t="shared" si="23"/>
        <v>1032</v>
      </c>
      <c r="CC40" s="7"/>
      <c r="CD40" s="7"/>
      <c r="CF40" s="32">
        <v>1621</v>
      </c>
      <c r="CG40" s="27">
        <v>0.59330000000000005</v>
      </c>
      <c r="CH40" s="28">
        <f t="shared" si="36"/>
        <v>0.59330000000000005</v>
      </c>
      <c r="CI40" s="28"/>
      <c r="CJ40" s="28"/>
      <c r="CK40" s="55">
        <v>3589</v>
      </c>
      <c r="CL40" s="57">
        <v>0.65559999999999996</v>
      </c>
      <c r="CM40" s="56">
        <f t="shared" si="37"/>
        <v>0.65559999999999996</v>
      </c>
      <c r="CN40" s="71"/>
      <c r="CO40" s="35">
        <v>1862</v>
      </c>
      <c r="CP40" s="34">
        <f t="shared" si="24"/>
        <v>279</v>
      </c>
      <c r="CQ40" s="33">
        <v>0.58960000000000001</v>
      </c>
      <c r="CR40" s="34">
        <f t="shared" si="38"/>
        <v>0.58960000000000001</v>
      </c>
      <c r="CS40" s="34"/>
      <c r="CT40" s="29">
        <v>1645</v>
      </c>
      <c r="CU40" s="28">
        <f t="shared" si="25"/>
        <v>62</v>
      </c>
      <c r="CV40" s="27">
        <v>0.59970000000000001</v>
      </c>
      <c r="CW40" s="28">
        <f t="shared" si="39"/>
        <v>0.59970000000000001</v>
      </c>
      <c r="CX40" s="28"/>
      <c r="CY40" s="55">
        <v>1655</v>
      </c>
      <c r="CZ40" s="56">
        <f t="shared" si="26"/>
        <v>72</v>
      </c>
      <c r="DA40" s="56">
        <f t="shared" si="40"/>
        <v>72</v>
      </c>
      <c r="DB40" s="56"/>
      <c r="DC40" s="56"/>
      <c r="DD40" s="35">
        <v>1822</v>
      </c>
      <c r="DE40" s="34">
        <f t="shared" si="27"/>
        <v>239</v>
      </c>
      <c r="DF40" s="34"/>
      <c r="DG40" s="34"/>
      <c r="DH40" s="34"/>
      <c r="DI40" s="65">
        <v>2415</v>
      </c>
      <c r="DJ40" s="64">
        <f t="shared" si="28"/>
        <v>832</v>
      </c>
      <c r="DK40" s="64"/>
      <c r="DL40" s="64"/>
      <c r="DM40" s="64"/>
      <c r="DN40" s="55">
        <v>2107</v>
      </c>
      <c r="DO40" s="56">
        <f t="shared" si="29"/>
        <v>524</v>
      </c>
      <c r="DP40" s="56"/>
      <c r="DQ40" s="56"/>
      <c r="DR40" s="56"/>
      <c r="DS40" s="1">
        <v>2438</v>
      </c>
      <c r="DT40">
        <f t="shared" si="30"/>
        <v>855</v>
      </c>
      <c r="DX40" s="37">
        <v>1583</v>
      </c>
      <c r="DY40" s="34"/>
      <c r="DZ40" s="34"/>
      <c r="EA40" s="34"/>
      <c r="EB40" s="34"/>
      <c r="EC40" s="74">
        <v>5521</v>
      </c>
      <c r="ED40" s="73"/>
      <c r="EE40" s="73"/>
      <c r="EF40" s="73"/>
      <c r="EG40" s="73"/>
    </row>
    <row r="41" spans="5:137" x14ac:dyDescent="0.2">
      <c r="AI41" s="7"/>
      <c r="AJ41" s="7"/>
      <c r="AK41" s="7"/>
      <c r="AL41" s="7"/>
      <c r="AM41" s="7"/>
      <c r="AN41" s="10"/>
      <c r="AV41" s="15"/>
      <c r="BH41">
        <f t="shared" si="19"/>
        <v>0</v>
      </c>
      <c r="BM41">
        <f t="shared" si="20"/>
        <v>0</v>
      </c>
      <c r="CA41" s="7"/>
      <c r="CB41" s="7"/>
      <c r="CC41" s="7"/>
      <c r="CD41" s="7"/>
      <c r="CF41" s="10"/>
      <c r="CN41" s="15"/>
    </row>
    <row r="42" spans="5:137" x14ac:dyDescent="0.2">
      <c r="I42" s="6" t="s">
        <v>267</v>
      </c>
      <c r="N42" s="6" t="s">
        <v>267</v>
      </c>
      <c r="S42" s="6" t="s">
        <v>267</v>
      </c>
      <c r="X42" s="6" t="s">
        <v>267</v>
      </c>
      <c r="AQ42" s="76"/>
      <c r="AV42" s="15"/>
      <c r="CA42" s="7"/>
      <c r="CB42" s="7"/>
      <c r="CC42" s="7"/>
      <c r="CD42" s="7"/>
      <c r="CF42" s="10"/>
      <c r="CN42" s="15"/>
    </row>
    <row r="43" spans="5:137" ht="16" thickBot="1" x14ac:dyDescent="0.25">
      <c r="I43">
        <f>AVERAGE(I16:I20)</f>
        <v>-2.507115691010493</v>
      </c>
      <c r="N43">
        <f>AVERAGE(N16:N20)</f>
        <v>22.28988</v>
      </c>
      <c r="S43">
        <f>AVERAGE(S16:S21)</f>
        <v>1087.6192712995132</v>
      </c>
      <c r="X43">
        <f>AVERAGE(X16:X20)</f>
        <v>36242.816219294524</v>
      </c>
      <c r="AQ43" s="76"/>
      <c r="AV43" s="16"/>
      <c r="CA43" s="7"/>
      <c r="CB43" s="7"/>
      <c r="CC43" s="7"/>
      <c r="CD43" s="7"/>
      <c r="CF43" s="10"/>
      <c r="CN43" s="15"/>
    </row>
    <row r="44" spans="5:137" x14ac:dyDescent="0.2">
      <c r="AQ44" s="76"/>
      <c r="CA44" s="7"/>
      <c r="CB44" s="7"/>
      <c r="CC44" s="7"/>
      <c r="CD44" s="7"/>
      <c r="CF44" s="10"/>
      <c r="CN44" s="15"/>
    </row>
    <row r="45" spans="5:137" ht="16" thickBot="1" x14ac:dyDescent="0.25">
      <c r="AQ45" s="76"/>
      <c r="CF45" s="10"/>
      <c r="CN45" s="16"/>
    </row>
    <row r="46" spans="5:137" x14ac:dyDescent="0.2">
      <c r="AQ46" s="76"/>
      <c r="CF46" s="10"/>
    </row>
    <row r="47" spans="5:137" x14ac:dyDescent="0.2">
      <c r="AQ47" s="76"/>
      <c r="CF47" s="10"/>
    </row>
    <row r="48" spans="5:137" x14ac:dyDescent="0.2">
      <c r="AQ48" s="76"/>
      <c r="CF48" s="10"/>
    </row>
    <row r="49" spans="43:124" x14ac:dyDescent="0.2">
      <c r="AQ49" s="76"/>
    </row>
    <row r="50" spans="43:124" x14ac:dyDescent="0.2">
      <c r="AQ50" s="76"/>
    </row>
    <row r="51" spans="43:124" x14ac:dyDescent="0.2">
      <c r="AQ51" s="76"/>
      <c r="DS51" s="6" t="s">
        <v>302</v>
      </c>
    </row>
    <row r="52" spans="43:124" x14ac:dyDescent="0.2">
      <c r="AQ52" s="77"/>
      <c r="DR52" s="6" t="s">
        <v>308</v>
      </c>
      <c r="DS52" s="6" t="s">
        <v>263</v>
      </c>
      <c r="DT52" s="6" t="s">
        <v>309</v>
      </c>
    </row>
    <row r="53" spans="43:124" x14ac:dyDescent="0.2">
      <c r="AQ53" s="76"/>
      <c r="DR53" s="32">
        <v>1831</v>
      </c>
      <c r="DS53" s="32">
        <v>1675</v>
      </c>
      <c r="DT53" s="37">
        <v>1646</v>
      </c>
    </row>
    <row r="54" spans="43:124" x14ac:dyDescent="0.2">
      <c r="AQ54" s="76"/>
      <c r="DR54" s="32">
        <v>1795</v>
      </c>
      <c r="DS54" s="32">
        <v>1597</v>
      </c>
      <c r="DT54" s="37">
        <v>1609</v>
      </c>
    </row>
    <row r="55" spans="43:124" x14ac:dyDescent="0.2">
      <c r="AQ55" s="76"/>
      <c r="DR55" s="32">
        <v>1756</v>
      </c>
      <c r="DS55" s="32">
        <v>1558</v>
      </c>
      <c r="DT55" s="37">
        <v>1556</v>
      </c>
    </row>
    <row r="56" spans="43:124" x14ac:dyDescent="0.2">
      <c r="AQ56" s="77"/>
      <c r="DR56" s="32">
        <v>1661</v>
      </c>
      <c r="DS56" s="32">
        <v>1548</v>
      </c>
      <c r="DT56" s="37">
        <v>1522</v>
      </c>
    </row>
    <row r="57" spans="43:124" x14ac:dyDescent="0.2">
      <c r="AQ57" s="77"/>
      <c r="DR57" s="32">
        <v>1641</v>
      </c>
      <c r="DS57" s="32">
        <v>1520</v>
      </c>
      <c r="DT57" s="37">
        <v>1512</v>
      </c>
    </row>
    <row r="58" spans="43:124" x14ac:dyDescent="0.2">
      <c r="AQ58" s="76"/>
      <c r="DR58" s="32">
        <v>1618</v>
      </c>
      <c r="DS58" s="32">
        <v>1491</v>
      </c>
      <c r="DT58" s="37">
        <v>1462</v>
      </c>
    </row>
    <row r="59" spans="43:124" x14ac:dyDescent="0.2">
      <c r="AQ59" s="76"/>
      <c r="DR59" s="32">
        <v>1585</v>
      </c>
      <c r="DS59" s="32">
        <v>1490</v>
      </c>
      <c r="DT59" s="37">
        <v>1441</v>
      </c>
    </row>
    <row r="60" spans="43:124" x14ac:dyDescent="0.2">
      <c r="AQ60" s="76"/>
      <c r="DR60" s="32">
        <v>1610</v>
      </c>
      <c r="DS60" s="32">
        <v>1444</v>
      </c>
      <c r="DT60" s="37">
        <v>1441</v>
      </c>
    </row>
    <row r="61" spans="43:124" x14ac:dyDescent="0.2">
      <c r="AQ61" s="76"/>
      <c r="DR61" s="32">
        <v>1604</v>
      </c>
      <c r="DS61" s="32">
        <v>1462</v>
      </c>
      <c r="DT61" s="37">
        <v>1442</v>
      </c>
    </row>
    <row r="62" spans="43:124" x14ac:dyDescent="0.2">
      <c r="AQ62" s="76"/>
      <c r="DR62" s="32">
        <v>1616</v>
      </c>
      <c r="DS62" s="32">
        <v>1429</v>
      </c>
      <c r="DT62" s="37">
        <v>1443</v>
      </c>
    </row>
    <row r="63" spans="43:124" x14ac:dyDescent="0.2">
      <c r="AQ63" s="76"/>
      <c r="DR63" s="32">
        <v>1585</v>
      </c>
      <c r="DS63" s="32">
        <v>1470</v>
      </c>
      <c r="DT63" s="37">
        <v>1462</v>
      </c>
    </row>
    <row r="64" spans="43:124" x14ac:dyDescent="0.2">
      <c r="AQ64" s="76"/>
      <c r="DR64" s="32">
        <v>1583</v>
      </c>
      <c r="DS64" s="32">
        <v>1453</v>
      </c>
      <c r="DT64" s="37">
        <v>1464</v>
      </c>
    </row>
    <row r="65" spans="43:124" x14ac:dyDescent="0.2">
      <c r="AQ65" s="76"/>
      <c r="DR65" s="32">
        <v>1624</v>
      </c>
      <c r="DS65" s="32">
        <v>1488</v>
      </c>
      <c r="DT65" s="37">
        <v>1511</v>
      </c>
    </row>
    <row r="66" spans="43:124" x14ac:dyDescent="0.2">
      <c r="AQ66" s="76"/>
      <c r="DR66" s="32">
        <v>1607</v>
      </c>
      <c r="DS66" s="32">
        <v>1490</v>
      </c>
      <c r="DT66" s="37">
        <v>1499</v>
      </c>
    </row>
    <row r="67" spans="43:124" x14ac:dyDescent="0.2">
      <c r="AQ67" s="76"/>
      <c r="DR67" s="32">
        <v>1635</v>
      </c>
      <c r="DS67" s="32">
        <v>1494</v>
      </c>
      <c r="DT67" s="37">
        <v>1543</v>
      </c>
    </row>
    <row r="68" spans="43:124" x14ac:dyDescent="0.2">
      <c r="AQ68" s="76"/>
      <c r="DR68" s="32">
        <v>1654</v>
      </c>
      <c r="DS68" s="32">
        <v>1520</v>
      </c>
      <c r="DT68" s="37">
        <v>1569</v>
      </c>
    </row>
    <row r="69" spans="43:124" x14ac:dyDescent="0.2">
      <c r="AQ69" s="76"/>
      <c r="DR69" s="32">
        <v>1672</v>
      </c>
      <c r="DS69" s="32">
        <v>1583</v>
      </c>
      <c r="DT69" s="37">
        <v>1578</v>
      </c>
    </row>
    <row r="70" spans="43:124" x14ac:dyDescent="0.2">
      <c r="AQ70" s="76"/>
      <c r="DR70" s="32">
        <v>1667</v>
      </c>
      <c r="DS70" s="32">
        <v>1594</v>
      </c>
      <c r="DT70" s="37">
        <v>1569</v>
      </c>
    </row>
    <row r="71" spans="43:124" x14ac:dyDescent="0.2">
      <c r="AQ71" s="76"/>
      <c r="DR71" s="32">
        <v>1698</v>
      </c>
      <c r="DS71" s="32">
        <v>1610</v>
      </c>
      <c r="DT71" s="37">
        <v>1569</v>
      </c>
    </row>
    <row r="72" spans="43:124" x14ac:dyDescent="0.2">
      <c r="AQ72" s="76"/>
      <c r="DR72" s="32">
        <v>1720</v>
      </c>
      <c r="DS72" s="32">
        <v>1602</v>
      </c>
      <c r="DT72" s="37">
        <v>1577</v>
      </c>
    </row>
    <row r="73" spans="43:124" x14ac:dyDescent="0.2">
      <c r="AQ73" s="76"/>
      <c r="DR73" s="32">
        <v>1755</v>
      </c>
      <c r="DS73" s="32">
        <v>1607</v>
      </c>
      <c r="DT73" s="37">
        <v>1586</v>
      </c>
    </row>
    <row r="74" spans="43:124" x14ac:dyDescent="0.2">
      <c r="AQ74" s="76"/>
      <c r="DR74" s="32">
        <v>1729</v>
      </c>
      <c r="DS74" s="32">
        <v>1626</v>
      </c>
      <c r="DT74" s="37">
        <v>1592</v>
      </c>
    </row>
    <row r="75" spans="43:124" x14ac:dyDescent="0.2">
      <c r="AQ75" s="76"/>
      <c r="DR75" s="32">
        <v>1725</v>
      </c>
      <c r="DS75" s="32">
        <v>1628</v>
      </c>
      <c r="DT75" s="37">
        <v>1553</v>
      </c>
    </row>
    <row r="76" spans="43:124" x14ac:dyDescent="0.2">
      <c r="AQ76" s="76"/>
      <c r="DR76" s="32">
        <v>1698</v>
      </c>
      <c r="DS76" s="32">
        <v>1626</v>
      </c>
      <c r="DT76" s="37">
        <v>1592</v>
      </c>
    </row>
    <row r="77" spans="43:124" x14ac:dyDescent="0.2">
      <c r="DR77" s="32">
        <v>1721</v>
      </c>
      <c r="DS77" s="32">
        <v>1607</v>
      </c>
      <c r="DT77" s="37">
        <v>1585</v>
      </c>
    </row>
    <row r="78" spans="43:124" x14ac:dyDescent="0.2">
      <c r="DR78" s="32">
        <v>1710</v>
      </c>
      <c r="DS78" s="32">
        <v>1616</v>
      </c>
      <c r="DT78" s="37">
        <v>1573</v>
      </c>
    </row>
    <row r="79" spans="43:124" x14ac:dyDescent="0.2">
      <c r="DR79" s="32">
        <v>1718</v>
      </c>
      <c r="DS79" s="32">
        <v>1646</v>
      </c>
      <c r="DT79" s="37">
        <v>1602</v>
      </c>
    </row>
    <row r="80" spans="43:124" x14ac:dyDescent="0.2">
      <c r="DR80" s="32">
        <v>1742</v>
      </c>
      <c r="DS80" s="32">
        <v>1635</v>
      </c>
      <c r="DT80" s="37">
        <v>1603</v>
      </c>
    </row>
    <row r="81" spans="121:125" x14ac:dyDescent="0.2">
      <c r="DR81" s="32">
        <v>1709</v>
      </c>
      <c r="DS81" s="32">
        <v>1614</v>
      </c>
      <c r="DT81" s="37">
        <v>1599</v>
      </c>
    </row>
    <row r="82" spans="121:125" x14ac:dyDescent="0.2">
      <c r="DR82" s="32">
        <v>1735</v>
      </c>
      <c r="DS82" s="32">
        <v>1628</v>
      </c>
      <c r="DT82" s="37">
        <v>1585</v>
      </c>
    </row>
    <row r="83" spans="121:125" x14ac:dyDescent="0.2">
      <c r="DR83" s="32">
        <v>1737</v>
      </c>
      <c r="DS83" s="32">
        <v>1619</v>
      </c>
      <c r="DT83" s="37">
        <v>1595</v>
      </c>
    </row>
    <row r="84" spans="121:125" x14ac:dyDescent="0.2">
      <c r="DR84" s="32">
        <v>1721</v>
      </c>
      <c r="DS84" s="32">
        <v>1657</v>
      </c>
      <c r="DT84" s="37">
        <v>1618</v>
      </c>
    </row>
    <row r="85" spans="121:125" x14ac:dyDescent="0.2">
      <c r="DR85" s="32">
        <v>1695</v>
      </c>
      <c r="DS85" s="32">
        <v>1629</v>
      </c>
      <c r="DT85" s="37">
        <v>1583</v>
      </c>
    </row>
    <row r="86" spans="121:125" x14ac:dyDescent="0.2">
      <c r="DR86" s="32">
        <v>1737</v>
      </c>
      <c r="DS86" s="32">
        <v>1650</v>
      </c>
      <c r="DT86" s="37">
        <v>1601</v>
      </c>
      <c r="DU86" s="6" t="s">
        <v>310</v>
      </c>
    </row>
    <row r="87" spans="121:125" x14ac:dyDescent="0.2">
      <c r="DR87" s="32">
        <v>1736</v>
      </c>
      <c r="DS87" s="32">
        <v>1621</v>
      </c>
      <c r="DT87" s="37">
        <v>1583</v>
      </c>
      <c r="DU87" s="6" t="s">
        <v>267</v>
      </c>
    </row>
    <row r="88" spans="121:125" x14ac:dyDescent="0.2">
      <c r="DQ88" s="6" t="s">
        <v>267</v>
      </c>
      <c r="DR88">
        <f>AVERAGE(DR53:DR87)</f>
        <v>1686.5714285714287</v>
      </c>
      <c r="DS88">
        <f>AVERAGE(DS53:DS87)</f>
        <v>1569.3428571428572</v>
      </c>
      <c r="DT88">
        <f>AVERAGE(DT53:DT87)</f>
        <v>1550.4285714285713</v>
      </c>
      <c r="DU88">
        <f>AVERAGE(DR88:DT88)</f>
        <v>1602.1142857142859</v>
      </c>
    </row>
    <row r="139" spans="5:77" ht="16" thickBot="1" x14ac:dyDescent="0.25"/>
    <row r="140" spans="5:77" ht="16" thickBot="1" x14ac:dyDescent="0.25">
      <c r="G140" s="164" t="s">
        <v>221</v>
      </c>
      <c r="H140" s="167"/>
      <c r="I140" s="168"/>
      <c r="J140" s="164" t="s">
        <v>235</v>
      </c>
      <c r="K140" s="167"/>
      <c r="L140" s="168"/>
      <c r="M140" s="164" t="s">
        <v>236</v>
      </c>
      <c r="N140" s="167"/>
      <c r="O140" s="168"/>
      <c r="P140" s="164" t="s">
        <v>223</v>
      </c>
      <c r="Q140" s="167"/>
      <c r="R140" s="168"/>
      <c r="S140" s="164" t="s">
        <v>235</v>
      </c>
      <c r="T140" s="167"/>
      <c r="U140" s="168"/>
      <c r="V140" s="164" t="s">
        <v>236</v>
      </c>
      <c r="W140" s="167"/>
      <c r="X140" s="168"/>
      <c r="Y140" s="164" t="s">
        <v>224</v>
      </c>
      <c r="Z140" s="167"/>
      <c r="AA140" s="168"/>
      <c r="AB140" s="164" t="s">
        <v>235</v>
      </c>
      <c r="AC140" s="165"/>
      <c r="AD140" s="166"/>
      <c r="AE140" s="164" t="s">
        <v>236</v>
      </c>
      <c r="AF140" s="165"/>
      <c r="AG140" s="166"/>
      <c r="AH140" s="164" t="s">
        <v>225</v>
      </c>
      <c r="AI140" s="167"/>
      <c r="AJ140" s="168"/>
      <c r="AK140" s="164" t="s">
        <v>235</v>
      </c>
      <c r="AL140" s="165"/>
      <c r="AM140" s="166"/>
      <c r="AN140" s="164" t="s">
        <v>236</v>
      </c>
      <c r="AO140" s="165"/>
      <c r="AP140" s="166"/>
      <c r="AQ140" s="164" t="s">
        <v>226</v>
      </c>
      <c r="AR140" s="167"/>
      <c r="AS140" s="168"/>
      <c r="AT140" s="164" t="s">
        <v>235</v>
      </c>
      <c r="AU140" s="165"/>
      <c r="AV140" s="166"/>
      <c r="AW140" s="164" t="s">
        <v>236</v>
      </c>
      <c r="AX140" s="165"/>
      <c r="AY140" s="166"/>
      <c r="AZ140" s="164" t="s">
        <v>227</v>
      </c>
      <c r="BA140" s="167"/>
      <c r="BB140" s="168"/>
      <c r="BC140" s="164"/>
      <c r="BD140" s="167"/>
      <c r="BE140" s="167"/>
      <c r="BF140" s="172"/>
      <c r="BG140" s="167"/>
      <c r="BH140" s="167"/>
      <c r="BI140" s="164" t="s">
        <v>229</v>
      </c>
      <c r="BJ140" s="167"/>
      <c r="BK140" s="168"/>
      <c r="BL140" s="164" t="s">
        <v>235</v>
      </c>
      <c r="BM140" s="165"/>
      <c r="BN140" s="166"/>
      <c r="BO140" s="164" t="s">
        <v>236</v>
      </c>
      <c r="BP140" s="165"/>
      <c r="BQ140" s="166"/>
      <c r="BR140" s="164" t="s">
        <v>230</v>
      </c>
      <c r="BS140" s="167"/>
      <c r="BT140" s="168"/>
      <c r="BU140" s="8"/>
      <c r="BX140" s="8"/>
    </row>
    <row r="141" spans="5:77" x14ac:dyDescent="0.2">
      <c r="G141" s="8"/>
      <c r="H141">
        <v>0.1052</v>
      </c>
      <c r="J141" s="8"/>
      <c r="K141" s="1">
        <v>0.1008</v>
      </c>
      <c r="M141" s="8"/>
      <c r="N141" s="8">
        <v>0.1072</v>
      </c>
      <c r="P141" s="8"/>
      <c r="Q141">
        <v>0.1056</v>
      </c>
      <c r="S141" s="8"/>
      <c r="T141" s="1">
        <v>0.1048</v>
      </c>
      <c r="V141" s="8"/>
      <c r="W141" s="8">
        <v>0.106</v>
      </c>
      <c r="Y141" s="8"/>
      <c r="Z141">
        <v>0.1053</v>
      </c>
      <c r="AB141" s="8"/>
      <c r="AC141" s="1">
        <v>0.1046</v>
      </c>
      <c r="AE141" s="8"/>
      <c r="AF141" s="8">
        <v>0.10539999999999999</v>
      </c>
      <c r="AH141" s="8"/>
      <c r="AI141">
        <v>0.105</v>
      </c>
      <c r="AK141" s="8"/>
      <c r="AL141" s="1">
        <v>0.1055</v>
      </c>
      <c r="AN141" s="8"/>
      <c r="AO141" s="8">
        <v>0.10589999999999999</v>
      </c>
      <c r="AQ141" s="8"/>
      <c r="AR141">
        <v>0.1094</v>
      </c>
      <c r="AT141" s="8"/>
      <c r="AU141" s="1">
        <v>0.1061</v>
      </c>
      <c r="AW141" s="8"/>
      <c r="AX141" s="8">
        <v>0.1087</v>
      </c>
      <c r="AZ141" s="8"/>
      <c r="BA141">
        <v>0.10829999999999999</v>
      </c>
      <c r="BC141" s="8"/>
      <c r="BD141" s="1">
        <v>0.1071</v>
      </c>
      <c r="BF141" s="8"/>
      <c r="BG141" s="8">
        <v>0.12230000000000001</v>
      </c>
      <c r="BI141" s="8"/>
      <c r="BJ141">
        <v>0.1051</v>
      </c>
      <c r="BL141" s="8" t="s">
        <v>238</v>
      </c>
      <c r="BM141" s="1">
        <v>0.1052</v>
      </c>
      <c r="BO141" s="8"/>
      <c r="BP141" s="8">
        <v>0.10580000000000001</v>
      </c>
      <c r="BR141" s="8"/>
      <c r="BS141">
        <v>0.10780000000000001</v>
      </c>
      <c r="BU141" s="8"/>
      <c r="BV141" s="1">
        <v>0.10580000000000001</v>
      </c>
      <c r="BX141" s="8"/>
    </row>
    <row r="142" spans="5:77" x14ac:dyDescent="0.2">
      <c r="E142" s="6" t="s">
        <v>234</v>
      </c>
      <c r="G142" s="8"/>
      <c r="H142" t="s">
        <v>219</v>
      </c>
      <c r="I142" t="s">
        <v>220</v>
      </c>
      <c r="J142" s="8"/>
      <c r="K142" t="s">
        <v>219</v>
      </c>
      <c r="L142" t="s">
        <v>220</v>
      </c>
      <c r="M142" s="8"/>
      <c r="N142" t="s">
        <v>219</v>
      </c>
      <c r="O142" t="s">
        <v>220</v>
      </c>
      <c r="P142" s="8"/>
      <c r="Q142" t="s">
        <v>219</v>
      </c>
      <c r="R142" t="s">
        <v>220</v>
      </c>
      <c r="S142" s="8"/>
      <c r="T142" t="s">
        <v>219</v>
      </c>
      <c r="U142" t="s">
        <v>220</v>
      </c>
      <c r="V142" s="8"/>
      <c r="W142" t="s">
        <v>219</v>
      </c>
      <c r="X142" t="s">
        <v>220</v>
      </c>
      <c r="Y142" s="8"/>
      <c r="Z142" t="s">
        <v>219</v>
      </c>
      <c r="AA142" t="s">
        <v>220</v>
      </c>
      <c r="AB142" s="8"/>
      <c r="AC142" t="s">
        <v>219</v>
      </c>
      <c r="AD142" t="s">
        <v>220</v>
      </c>
      <c r="AE142" s="8"/>
      <c r="AF142" t="s">
        <v>219</v>
      </c>
      <c r="AG142" t="s">
        <v>220</v>
      </c>
      <c r="AH142" s="8"/>
      <c r="AI142" t="s">
        <v>219</v>
      </c>
      <c r="AJ142" t="s">
        <v>220</v>
      </c>
      <c r="AK142" s="8"/>
      <c r="AL142" t="s">
        <v>219</v>
      </c>
      <c r="AM142" t="s">
        <v>220</v>
      </c>
      <c r="AN142" s="8"/>
      <c r="AO142" t="s">
        <v>219</v>
      </c>
      <c r="AP142" t="s">
        <v>220</v>
      </c>
      <c r="AQ142" s="8"/>
      <c r="AR142" t="s">
        <v>219</v>
      </c>
      <c r="AS142" t="s">
        <v>220</v>
      </c>
      <c r="AT142" s="8"/>
      <c r="AU142" t="s">
        <v>219</v>
      </c>
      <c r="AV142" t="s">
        <v>220</v>
      </c>
      <c r="AW142" s="8"/>
      <c r="AX142" t="s">
        <v>219</v>
      </c>
      <c r="AY142" t="s">
        <v>220</v>
      </c>
      <c r="AZ142" s="8"/>
      <c r="BA142" t="s">
        <v>219</v>
      </c>
      <c r="BB142" t="s">
        <v>220</v>
      </c>
      <c r="BC142" s="8"/>
      <c r="BD142" t="s">
        <v>219</v>
      </c>
      <c r="BE142" t="s">
        <v>220</v>
      </c>
      <c r="BF142" s="8"/>
      <c r="BG142" t="s">
        <v>219</v>
      </c>
      <c r="BH142" t="s">
        <v>220</v>
      </c>
      <c r="BI142" s="8"/>
      <c r="BL142" s="8"/>
      <c r="BM142" t="s">
        <v>219</v>
      </c>
      <c r="BN142" t="s">
        <v>220</v>
      </c>
      <c r="BO142" s="8"/>
      <c r="BP142" t="s">
        <v>219</v>
      </c>
      <c r="BQ142" t="s">
        <v>220</v>
      </c>
      <c r="BR142" s="8"/>
      <c r="BU142" s="8"/>
      <c r="BV142" t="s">
        <v>219</v>
      </c>
      <c r="BW142" t="s">
        <v>220</v>
      </c>
      <c r="BX142" s="8"/>
      <c r="BY142" s="8">
        <v>0.10879999999999999</v>
      </c>
    </row>
    <row r="143" spans="5:77" x14ac:dyDescent="0.2">
      <c r="E143" s="6" t="s">
        <v>234</v>
      </c>
      <c r="F143" t="s">
        <v>133</v>
      </c>
      <c r="G143" s="8" t="s">
        <v>134</v>
      </c>
      <c r="H143" s="6" t="s">
        <v>239</v>
      </c>
      <c r="I143" s="6" t="s">
        <v>239</v>
      </c>
      <c r="J143" s="9" t="s">
        <v>146</v>
      </c>
      <c r="K143" s="6" t="s">
        <v>240</v>
      </c>
      <c r="L143" s="6" t="s">
        <v>240</v>
      </c>
      <c r="M143" s="8" t="s">
        <v>158</v>
      </c>
      <c r="N143" s="6" t="s">
        <v>240</v>
      </c>
      <c r="O143" s="6" t="s">
        <v>240</v>
      </c>
      <c r="P143" s="8" t="s">
        <v>135</v>
      </c>
      <c r="Q143" s="6" t="s">
        <v>241</v>
      </c>
      <c r="R143" s="6" t="s">
        <v>241</v>
      </c>
      <c r="S143" s="9" t="s">
        <v>147</v>
      </c>
      <c r="V143" s="8" t="s">
        <v>159</v>
      </c>
      <c r="Y143" s="8" t="s">
        <v>136</v>
      </c>
      <c r="AB143" s="9" t="s">
        <v>148</v>
      </c>
      <c r="AE143" s="8" t="s">
        <v>160</v>
      </c>
      <c r="AH143" s="8" t="s">
        <v>137</v>
      </c>
      <c r="AK143" s="9" t="s">
        <v>149</v>
      </c>
      <c r="AN143" s="8" t="s">
        <v>161</v>
      </c>
      <c r="AQ143" s="8" t="s">
        <v>138</v>
      </c>
      <c r="AT143" s="9" t="s">
        <v>150</v>
      </c>
      <c r="AW143" s="8" t="s">
        <v>162</v>
      </c>
      <c r="AZ143" s="8" t="s">
        <v>139</v>
      </c>
      <c r="BC143" s="9" t="s">
        <v>151</v>
      </c>
      <c r="BF143" s="8" t="s">
        <v>163</v>
      </c>
      <c r="BI143" s="8" t="s">
        <v>141</v>
      </c>
      <c r="BL143" s="9" t="s">
        <v>153</v>
      </c>
      <c r="BO143" s="8" t="s">
        <v>165</v>
      </c>
      <c r="BR143" s="8" t="s">
        <v>142</v>
      </c>
      <c r="BU143" s="9" t="s">
        <v>154</v>
      </c>
      <c r="BX143" s="8" t="s">
        <v>166</v>
      </c>
    </row>
    <row r="144" spans="5:77" x14ac:dyDescent="0.2">
      <c r="E144">
        <v>0</v>
      </c>
      <c r="G144" s="8">
        <v>0.1104</v>
      </c>
      <c r="H144">
        <v>5.1999999999999963E-3</v>
      </c>
      <c r="I144">
        <v>-5.2590966533947601</v>
      </c>
      <c r="J144" s="8">
        <v>0.1028</v>
      </c>
      <c r="M144" s="8">
        <v>0.1047</v>
      </c>
      <c r="P144" s="8">
        <v>0.1072</v>
      </c>
      <c r="R144" t="e">
        <v>#NUM!</v>
      </c>
      <c r="S144" s="8">
        <v>0.1108</v>
      </c>
      <c r="V144" s="8">
        <v>0.1038</v>
      </c>
      <c r="Y144" s="8">
        <v>0.1067</v>
      </c>
      <c r="Z144">
        <v>1.3999999999999985E-3</v>
      </c>
      <c r="AA144">
        <v>-6.5712830423609256</v>
      </c>
      <c r="AB144" s="8">
        <v>0.1031</v>
      </c>
      <c r="AE144" s="8">
        <v>0.104</v>
      </c>
      <c r="AH144" s="8">
        <v>0.1051</v>
      </c>
      <c r="AI144">
        <v>1.0000000000000286E-4</v>
      </c>
      <c r="AJ144">
        <v>-9.2103403719761534</v>
      </c>
      <c r="AK144" s="8">
        <v>0.10390000000000001</v>
      </c>
      <c r="AN144" s="8">
        <v>0.10349999999999999</v>
      </c>
      <c r="AQ144" s="8">
        <v>0.10979999999999999</v>
      </c>
      <c r="AR144">
        <v>3.9999999999999758E-4</v>
      </c>
      <c r="AS144">
        <v>-7.8240460108562981</v>
      </c>
      <c r="AT144" s="8">
        <v>0.105</v>
      </c>
      <c r="AW144" s="8">
        <v>0.1057</v>
      </c>
      <c r="AZ144" s="8">
        <v>0.10920000000000001</v>
      </c>
      <c r="BA144">
        <v>9.000000000000119E-4</v>
      </c>
      <c r="BB144">
        <v>-7.0131157946399503</v>
      </c>
      <c r="BC144" s="8">
        <v>0.10730000000000001</v>
      </c>
      <c r="BF144" s="8">
        <v>0.1198</v>
      </c>
      <c r="BI144" s="8">
        <v>0.10390000000000001</v>
      </c>
      <c r="BJ144">
        <v>-1.1999999999999927E-3</v>
      </c>
      <c r="BK144" t="e">
        <v>#NUM!</v>
      </c>
      <c r="BL144" s="8">
        <v>0.108</v>
      </c>
      <c r="BO144" s="8">
        <v>0.1051</v>
      </c>
      <c r="BR144" s="8">
        <v>0.1085</v>
      </c>
      <c r="BS144">
        <v>6.999999999999923E-4</v>
      </c>
      <c r="BT144">
        <v>-7.2644302229208808</v>
      </c>
      <c r="BU144" s="8">
        <v>0.1043</v>
      </c>
      <c r="BX144" s="8">
        <v>0.10489999999999999</v>
      </c>
    </row>
    <row r="145" spans="5:79" x14ac:dyDescent="0.2">
      <c r="E145">
        <v>0.23793277777777777</v>
      </c>
      <c r="G145" s="8">
        <v>0.10539999999999999</v>
      </c>
      <c r="H145">
        <v>1.9999999999999185E-4</v>
      </c>
      <c r="I145">
        <v>-8.5171931914162773</v>
      </c>
      <c r="J145" s="8">
        <v>0.1013</v>
      </c>
      <c r="M145" s="8">
        <v>0.1071</v>
      </c>
      <c r="P145" s="8">
        <v>0.1056</v>
      </c>
      <c r="Q145">
        <v>0</v>
      </c>
      <c r="R145" t="e">
        <v>#NUM!</v>
      </c>
      <c r="S145" s="8">
        <v>0.1047</v>
      </c>
      <c r="V145" s="8">
        <v>0.106</v>
      </c>
      <c r="Y145" s="8">
        <v>0.1053</v>
      </c>
      <c r="Z145">
        <v>0</v>
      </c>
      <c r="AA145" t="e">
        <v>#NUM!</v>
      </c>
      <c r="AB145" s="8">
        <v>0.1047</v>
      </c>
      <c r="AE145" s="8">
        <v>0.1053</v>
      </c>
      <c r="AH145" s="8">
        <v>0.105</v>
      </c>
      <c r="AI145">
        <v>0</v>
      </c>
      <c r="AJ145" t="e">
        <v>#NUM!</v>
      </c>
      <c r="AK145" s="8">
        <v>0.105</v>
      </c>
      <c r="AN145" s="8">
        <v>0.1055</v>
      </c>
      <c r="AQ145" s="8">
        <v>0.1094</v>
      </c>
      <c r="AR145">
        <v>0</v>
      </c>
      <c r="AS145" t="e">
        <v>#NUM!</v>
      </c>
      <c r="AT145" s="8">
        <v>0.10539999999999999</v>
      </c>
      <c r="AW145" s="8">
        <v>0.1075</v>
      </c>
      <c r="AZ145" s="8">
        <v>0.10829999999999999</v>
      </c>
      <c r="BA145">
        <v>0</v>
      </c>
      <c r="BB145" t="e">
        <v>#NUM!</v>
      </c>
      <c r="BC145" s="8">
        <v>0.1069</v>
      </c>
      <c r="BF145" s="8">
        <v>0.12189999999999999</v>
      </c>
      <c r="BI145" s="8">
        <v>0.1051</v>
      </c>
      <c r="BJ145">
        <v>0</v>
      </c>
      <c r="BK145" t="e">
        <v>#NUM!</v>
      </c>
      <c r="BL145" s="8">
        <v>0.106</v>
      </c>
      <c r="BO145" s="8">
        <v>0.10589999999999999</v>
      </c>
      <c r="BR145" s="8">
        <v>0.1081</v>
      </c>
      <c r="BS145">
        <v>2.9999999999999472E-4</v>
      </c>
      <c r="BT145">
        <v>-8.1117280833080905</v>
      </c>
      <c r="BU145" s="8">
        <v>0.1053</v>
      </c>
      <c r="BX145" s="8">
        <v>0.10879999999999999</v>
      </c>
    </row>
    <row r="146" spans="5:79" x14ac:dyDescent="0.2">
      <c r="E146">
        <v>0.4757197222222222</v>
      </c>
      <c r="G146" s="8">
        <v>0.1052</v>
      </c>
      <c r="H146">
        <v>0</v>
      </c>
      <c r="I146" t="e">
        <v>#NUM!</v>
      </c>
      <c r="J146" s="8">
        <v>0.1008</v>
      </c>
      <c r="K146">
        <f>J146-$G$2</f>
        <v>0.1008</v>
      </c>
      <c r="L146">
        <f>LN(K146)</f>
        <v>-2.294616923344869</v>
      </c>
      <c r="M146" s="8">
        <v>0.1072</v>
      </c>
      <c r="N146">
        <f>M146-$J$2</f>
        <v>0.1072</v>
      </c>
      <c r="O146">
        <f>LN(N146)</f>
        <v>-2.2330590303454354</v>
      </c>
      <c r="P146" s="8">
        <v>0.106</v>
      </c>
      <c r="Q146">
        <v>3.9999999999999758E-4</v>
      </c>
      <c r="R146">
        <v>-7.8240460108562981</v>
      </c>
      <c r="S146" s="8">
        <v>0.1048</v>
      </c>
      <c r="T146">
        <f t="shared" ref="T146:T178" si="41">S146-$P$2</f>
        <v>0.1048</v>
      </c>
      <c r="U146">
        <f>LN(T146)</f>
        <v>-2.2557015070951953</v>
      </c>
      <c r="V146" s="8">
        <v>0.106</v>
      </c>
      <c r="W146">
        <f>V146-$S$2</f>
        <v>0.106</v>
      </c>
      <c r="X146">
        <f>LN(W146)</f>
        <v>-2.2443161848700699</v>
      </c>
      <c r="Y146" s="8">
        <v>0.1057</v>
      </c>
      <c r="Z146">
        <v>3.9999999999999758E-4</v>
      </c>
      <c r="AA146">
        <v>-7.8240460108562981</v>
      </c>
      <c r="AB146" s="8">
        <v>0.1046</v>
      </c>
      <c r="AC146">
        <f>AB146-$Y$2</f>
        <v>0.1046</v>
      </c>
      <c r="AD146">
        <f>LN(AC146)</f>
        <v>-2.2576117273513145</v>
      </c>
      <c r="AE146" s="8">
        <v>0.10539999999999999</v>
      </c>
      <c r="AF146">
        <f>AE146-$AB$2</f>
        <v>0.10539999999999999</v>
      </c>
      <c r="AG146">
        <f>LN(AF146)</f>
        <v>-2.2499926428748753</v>
      </c>
      <c r="AH146" s="8">
        <v>0.1051</v>
      </c>
      <c r="AI146">
        <v>1.0000000000000286E-4</v>
      </c>
      <c r="AJ146">
        <v>-9.2103403719761534</v>
      </c>
      <c r="AK146" s="8">
        <v>0.1055</v>
      </c>
      <c r="AL146">
        <f>AK146-$AH$2</f>
        <v>0.1055</v>
      </c>
      <c r="AM146">
        <f>LN(AL146)</f>
        <v>-2.249044326066016</v>
      </c>
      <c r="AN146" s="8">
        <v>0.10589999999999999</v>
      </c>
      <c r="AO146">
        <f>AN146-$AK$2</f>
        <v>0.10589999999999999</v>
      </c>
      <c r="AP146">
        <f>LN(AO146)</f>
        <v>-2.2452600263747762</v>
      </c>
      <c r="AQ146" s="8">
        <v>0.11020000000000001</v>
      </c>
      <c r="AR146">
        <v>8.0000000000000904E-4</v>
      </c>
      <c r="AS146">
        <v>-7.1308988302963359</v>
      </c>
      <c r="AT146" s="8">
        <v>0.1061</v>
      </c>
      <c r="AU146">
        <f>AT146-$AQ$2</f>
        <v>0.1061</v>
      </c>
      <c r="AV146">
        <f>LN(AU146)</f>
        <v>-2.2433732333621994</v>
      </c>
      <c r="AW146" s="8">
        <v>0.1087</v>
      </c>
      <c r="AX146">
        <f>AW146-$AT$2</f>
        <v>0.1087</v>
      </c>
      <c r="AY146">
        <f>LN(AX146)</f>
        <v>-2.2191634848549731</v>
      </c>
      <c r="AZ146" s="8">
        <v>0.1089</v>
      </c>
      <c r="BA146">
        <v>6.0000000000000331E-4</v>
      </c>
      <c r="BB146">
        <v>-7.418580902748122</v>
      </c>
      <c r="BC146" s="8">
        <v>0.1071</v>
      </c>
      <c r="BD146">
        <f>BC146-$AZ$2</f>
        <v>0.1071</v>
      </c>
      <c r="BE146">
        <f>LN(BD146)</f>
        <v>-2.233992301528434</v>
      </c>
      <c r="BF146" s="8">
        <v>0.12230000000000001</v>
      </c>
      <c r="BG146">
        <f>BF146-$BC$2</f>
        <v>0.12230000000000001</v>
      </c>
      <c r="BH146">
        <f>LN(BG146)</f>
        <v>-2.1012782362890103</v>
      </c>
      <c r="BI146" s="8">
        <v>0.1057</v>
      </c>
      <c r="BJ146">
        <v>6.0000000000000331E-4</v>
      </c>
      <c r="BK146">
        <v>-7.418580902748122</v>
      </c>
      <c r="BL146" s="8">
        <v>0.1052</v>
      </c>
      <c r="BM146">
        <f>BL146-$BI$2</f>
        <v>0.1052</v>
      </c>
      <c r="BN146">
        <f>LN(BM146)</f>
        <v>-2.2518919786785276</v>
      </c>
      <c r="BO146" s="8">
        <v>0.10580000000000001</v>
      </c>
      <c r="BP146">
        <f>BO146-$BL$2</f>
        <v>0.10580000000000001</v>
      </c>
      <c r="BQ146">
        <f>LN(BP146)</f>
        <v>-2.246204759557938</v>
      </c>
      <c r="BR146" s="8">
        <v>0.10780000000000001</v>
      </c>
      <c r="BS146">
        <v>0</v>
      </c>
      <c r="BT146" t="e">
        <v>#NUM!</v>
      </c>
      <c r="BU146" s="8">
        <v>0.10580000000000001</v>
      </c>
      <c r="BV146">
        <f>BU146-$BR$2</f>
        <v>0.10580000000000001</v>
      </c>
      <c r="BW146">
        <f>LN(BV146)</f>
        <v>-2.246204759557938</v>
      </c>
      <c r="BX146" s="8">
        <v>0.10879999999999999</v>
      </c>
      <c r="BY146">
        <f>BX146-$BU$3</f>
        <v>0.10879999999999999</v>
      </c>
      <c r="BZ146">
        <f>LN(BY146)</f>
        <v>-2.2182439445602951</v>
      </c>
    </row>
    <row r="147" spans="5:79" x14ac:dyDescent="0.2">
      <c r="E147">
        <v>0.7135488888888889</v>
      </c>
      <c r="G147" s="8">
        <v>0.1077</v>
      </c>
      <c r="H147">
        <v>2.5000000000000022E-3</v>
      </c>
      <c r="I147">
        <v>-5.9914645471079808</v>
      </c>
      <c r="J147" s="8">
        <v>0.1009</v>
      </c>
      <c r="K147">
        <f t="shared" ref="K147:K178" si="42">J147-$G$2</f>
        <v>0.1009</v>
      </c>
      <c r="L147">
        <f t="shared" ref="L147:L178" si="43">LN(K147)</f>
        <v>-2.2936253516225737</v>
      </c>
      <c r="M147" s="8">
        <v>0.11070000000000001</v>
      </c>
      <c r="N147">
        <f t="shared" ref="N147:N178" si="44">M147-$J$2</f>
        <v>0.11070000000000001</v>
      </c>
      <c r="O147">
        <f t="shared" ref="O147:O178" si="45">LN(N147)</f>
        <v>-2.2009314392675456</v>
      </c>
      <c r="P147" s="8">
        <v>0.1077</v>
      </c>
      <c r="Q147">
        <v>2.1000000000000046E-3</v>
      </c>
      <c r="R147">
        <v>-6.1658179342527575</v>
      </c>
      <c r="S147" s="8">
        <v>0.1066</v>
      </c>
      <c r="T147">
        <f t="shared" si="41"/>
        <v>0.1066</v>
      </c>
      <c r="U147">
        <f t="shared" ref="U147:U178" si="46">LN(T147)</f>
        <v>-2.2386717672503931</v>
      </c>
      <c r="V147" s="8">
        <v>0.1087</v>
      </c>
      <c r="W147">
        <f t="shared" ref="W147:W178" si="47">V147-$S$2</f>
        <v>0.1087</v>
      </c>
      <c r="X147">
        <f t="shared" ref="X147:X178" si="48">LN(W147)</f>
        <v>-2.2191634848549731</v>
      </c>
      <c r="Y147" s="8">
        <v>0.10780000000000001</v>
      </c>
      <c r="Z147">
        <v>2.5000000000000022E-3</v>
      </c>
      <c r="AA147">
        <v>-5.9914645471079808</v>
      </c>
      <c r="AB147" s="8">
        <v>0.10639999999999999</v>
      </c>
      <c r="AC147">
        <f t="shared" ref="AC147:AC178" si="49">AB147-$Y$2</f>
        <v>0.10639999999999999</v>
      </c>
      <c r="AD147">
        <f t="shared" ref="AD147:AD178" si="50">LN(AC147)</f>
        <v>-2.2405497020745933</v>
      </c>
      <c r="AE147" s="8">
        <v>0.10780000000000001</v>
      </c>
      <c r="AF147">
        <f t="shared" ref="AF147:AF178" si="51">AE147-$AB$2</f>
        <v>0.10780000000000001</v>
      </c>
      <c r="AG147">
        <f t="shared" ref="AG147:AG178" si="52">LN(AF147)</f>
        <v>-2.2274776205072402</v>
      </c>
      <c r="AH147" s="8">
        <v>0.1077</v>
      </c>
      <c r="AI147">
        <v>2.7000000000000079E-3</v>
      </c>
      <c r="AJ147">
        <v>-5.9145035059718509</v>
      </c>
      <c r="AK147" s="8">
        <v>0.10780000000000001</v>
      </c>
      <c r="AL147">
        <f t="shared" ref="AL147:AL178" si="53">AK147-$AH$2</f>
        <v>0.10780000000000001</v>
      </c>
      <c r="AM147">
        <f t="shared" ref="AM147:AM178" si="54">LN(AL147)</f>
        <v>-2.2274776205072402</v>
      </c>
      <c r="AN147" s="8">
        <v>0.1085</v>
      </c>
      <c r="AO147">
        <f t="shared" ref="AO147:AO178" si="55">AN147-$AK$2</f>
        <v>0.1085</v>
      </c>
      <c r="AP147">
        <f t="shared" ref="AP147:AP178" si="56">LN(AO147)</f>
        <v>-2.2210051060016229</v>
      </c>
      <c r="AQ147" s="8">
        <v>0.1115</v>
      </c>
      <c r="AR147">
        <v>2.1000000000000046E-3</v>
      </c>
      <c r="AS147">
        <v>-6.1658179342527575</v>
      </c>
      <c r="AT147" s="8">
        <v>0.1084</v>
      </c>
      <c r="AU147">
        <f t="shared" ref="AU147:AU178" si="57">AT147-$AQ$2</f>
        <v>0.1084</v>
      </c>
      <c r="AV147">
        <f t="shared" ref="AV147:AV178" si="58">LN(AU147)</f>
        <v>-2.2219271899765913</v>
      </c>
      <c r="AW147" s="8">
        <v>0.1115</v>
      </c>
      <c r="AX147">
        <f t="shared" ref="AX147:AX178" si="59">AW147-$AT$2</f>
        <v>0.1115</v>
      </c>
      <c r="AY147">
        <f t="shared" ref="AY147:AY178" si="60">LN(AX147)</f>
        <v>-2.1937306880819634</v>
      </c>
      <c r="AZ147" s="8">
        <v>0.1125</v>
      </c>
      <c r="BA147">
        <v>4.2000000000000093E-3</v>
      </c>
      <c r="BB147">
        <v>-5.4726707536928121</v>
      </c>
      <c r="BC147" s="8">
        <v>0.10979999999999999</v>
      </c>
      <c r="BD147">
        <f t="shared" ref="BD147:BD178" si="61">BC147-$AZ$2</f>
        <v>0.10979999999999999</v>
      </c>
      <c r="BE147">
        <f t="shared" ref="BE147:BE178" si="62">LN(BD147)</f>
        <v>-2.2090947499067068</v>
      </c>
      <c r="BF147" s="8">
        <v>0.12429999999999999</v>
      </c>
      <c r="BG147">
        <f t="shared" ref="BG147:BG178" si="63">BF147-$BC$2</f>
        <v>0.12429999999999999</v>
      </c>
      <c r="BH147">
        <f t="shared" ref="BH147:BH178" si="64">LN(BG147)</f>
        <v>-2.0850572804654717</v>
      </c>
      <c r="BI147" s="8">
        <v>0.1086</v>
      </c>
      <c r="BJ147">
        <v>3.5000000000000031E-3</v>
      </c>
      <c r="BK147">
        <v>-5.6549923104867679</v>
      </c>
      <c r="BL147" s="8">
        <v>0.10730000000000001</v>
      </c>
      <c r="BM147">
        <f t="shared" ref="BM147:BM178" si="65">BL147-$BI$2</f>
        <v>0.10730000000000001</v>
      </c>
      <c r="BN147">
        <f t="shared" ref="BN147:BN178" si="66">LN(BM147)</f>
        <v>-2.2321266293454842</v>
      </c>
      <c r="BO147" s="8">
        <v>0.1087</v>
      </c>
      <c r="BP147">
        <f t="shared" ref="BP147:BP178" si="67">BO147-$BL$2</f>
        <v>0.1087</v>
      </c>
      <c r="BQ147">
        <f t="shared" ref="BQ147:BQ178" si="68">LN(BP147)</f>
        <v>-2.2191634848549731</v>
      </c>
      <c r="BR147" s="8">
        <v>0.10879999999999999</v>
      </c>
      <c r="BS147">
        <v>9.9999999999998701E-4</v>
      </c>
      <c r="BT147">
        <v>-6.9077552789821501</v>
      </c>
      <c r="BU147" s="8">
        <v>0.1075</v>
      </c>
      <c r="BV147">
        <f t="shared" ref="BV147:BV178" si="69">BU147-$BR$2</f>
        <v>0.1075</v>
      </c>
      <c r="BW147">
        <f t="shared" ref="BW147:BW178" si="70">LN(BV147)</f>
        <v>-2.2302644314144198</v>
      </c>
      <c r="BX147" s="8">
        <v>0.1109</v>
      </c>
      <c r="BY147">
        <f t="shared" ref="BY147:BY178" si="71">BX147-$BU$3</f>
        <v>0.1109</v>
      </c>
      <c r="BZ147">
        <f t="shared" ref="BZ147:BZ178" si="72">LN(BY147)</f>
        <v>-2.1991263846258158</v>
      </c>
    </row>
    <row r="148" spans="5:79" x14ac:dyDescent="0.2">
      <c r="E148">
        <v>0.95137944444444444</v>
      </c>
      <c r="G148" s="8">
        <v>0.1119</v>
      </c>
      <c r="H148">
        <v>6.6999999999999976E-3</v>
      </c>
      <c r="I148">
        <v>-5.005647752585217</v>
      </c>
      <c r="J148" s="8">
        <v>0.1014</v>
      </c>
      <c r="K148">
        <f t="shared" si="42"/>
        <v>0.1014</v>
      </c>
      <c r="L148">
        <f t="shared" si="43"/>
        <v>-2.2886821878250543</v>
      </c>
      <c r="M148" s="8">
        <v>0.1168</v>
      </c>
      <c r="N148">
        <f t="shared" si="44"/>
        <v>0.1168</v>
      </c>
      <c r="O148">
        <f t="shared" si="45"/>
        <v>-2.1472922085880102</v>
      </c>
      <c r="P148" s="8">
        <v>0.1124</v>
      </c>
      <c r="Q148">
        <v>6.8000000000000005E-3</v>
      </c>
      <c r="R148">
        <v>-4.9908326668000758</v>
      </c>
      <c r="S148" s="8">
        <v>0.11070000000000001</v>
      </c>
      <c r="T148">
        <f t="shared" si="41"/>
        <v>0.11070000000000001</v>
      </c>
      <c r="U148">
        <f t="shared" si="46"/>
        <v>-2.2009314392675456</v>
      </c>
      <c r="V148" s="8">
        <v>0.1139</v>
      </c>
      <c r="W148">
        <f t="shared" si="47"/>
        <v>0.1139</v>
      </c>
      <c r="X148">
        <f t="shared" si="48"/>
        <v>-2.1724344085290004</v>
      </c>
      <c r="Y148" s="8">
        <v>0.1125</v>
      </c>
      <c r="Z148">
        <v>7.1999999999999981E-3</v>
      </c>
      <c r="AA148">
        <v>-4.9336742529601274</v>
      </c>
      <c r="AB148" s="8">
        <v>0.111</v>
      </c>
      <c r="AC148">
        <f t="shared" si="49"/>
        <v>0.111</v>
      </c>
      <c r="AD148">
        <f t="shared" si="50"/>
        <v>-2.1982250776698029</v>
      </c>
      <c r="AE148" s="8">
        <v>0.113</v>
      </c>
      <c r="AF148">
        <f t="shared" si="51"/>
        <v>0.113</v>
      </c>
      <c r="AG148">
        <f t="shared" si="52"/>
        <v>-2.1803674602697964</v>
      </c>
      <c r="AH148" s="8">
        <v>0.11260000000000001</v>
      </c>
      <c r="AI148">
        <v>7.6000000000000095E-3</v>
      </c>
      <c r="AJ148">
        <v>-4.8796070316898508</v>
      </c>
      <c r="AK148" s="8">
        <v>0.1124</v>
      </c>
      <c r="AL148">
        <f t="shared" si="53"/>
        <v>0.1124</v>
      </c>
      <c r="AM148">
        <f t="shared" si="54"/>
        <v>-2.1856913415225465</v>
      </c>
      <c r="AN148" s="8">
        <v>0.1135</v>
      </c>
      <c r="AO148">
        <f t="shared" si="55"/>
        <v>0.1135</v>
      </c>
      <c r="AP148">
        <f t="shared" si="56"/>
        <v>-2.1759524420606797</v>
      </c>
      <c r="AQ148" s="8">
        <v>0.1158</v>
      </c>
      <c r="AR148">
        <v>6.4000000000000029E-3</v>
      </c>
      <c r="AS148">
        <v>-5.0514572886165103</v>
      </c>
      <c r="AT148" s="8">
        <v>0.11269999999999999</v>
      </c>
      <c r="AU148">
        <f t="shared" si="57"/>
        <v>0.11269999999999999</v>
      </c>
      <c r="AV148">
        <f t="shared" si="58"/>
        <v>-2.1830258579364066</v>
      </c>
      <c r="AW148" s="8">
        <v>0.11650000000000001</v>
      </c>
      <c r="AX148">
        <f t="shared" si="59"/>
        <v>0.11650000000000001</v>
      </c>
      <c r="AY148">
        <f t="shared" si="60"/>
        <v>-2.1498640059763816</v>
      </c>
      <c r="AZ148" s="8">
        <v>0.11899999999999999</v>
      </c>
      <c r="BA148">
        <v>1.0700000000000001E-2</v>
      </c>
      <c r="BB148">
        <v>-4.537511537514276</v>
      </c>
      <c r="BC148" s="8">
        <v>0.1154</v>
      </c>
      <c r="BD148">
        <f t="shared" si="61"/>
        <v>0.1154</v>
      </c>
      <c r="BE148">
        <f t="shared" si="62"/>
        <v>-2.159350924908138</v>
      </c>
      <c r="BF148" s="8">
        <v>0.12920000000000001</v>
      </c>
      <c r="BG148">
        <f t="shared" si="63"/>
        <v>0.12920000000000001</v>
      </c>
      <c r="BH148">
        <f t="shared" si="64"/>
        <v>-2.0463936876336355</v>
      </c>
      <c r="BI148" s="8">
        <v>0.1135</v>
      </c>
      <c r="BJ148">
        <v>8.4000000000000047E-3</v>
      </c>
      <c r="BK148">
        <v>-4.7795235731328685</v>
      </c>
      <c r="BL148" s="8">
        <v>0.1116</v>
      </c>
      <c r="BM148">
        <f t="shared" si="65"/>
        <v>0.1116</v>
      </c>
      <c r="BN148">
        <f t="shared" si="66"/>
        <v>-2.1928342290349265</v>
      </c>
      <c r="BO148" s="8">
        <v>0.11360000000000001</v>
      </c>
      <c r="BP148">
        <f t="shared" si="67"/>
        <v>0.11360000000000001</v>
      </c>
      <c r="BQ148">
        <f t="shared" si="68"/>
        <v>-2.1750717726950861</v>
      </c>
      <c r="BR148" s="8">
        <v>0.1113</v>
      </c>
      <c r="BS148">
        <v>3.4999999999999892E-3</v>
      </c>
      <c r="BT148">
        <v>-5.6549923104867723</v>
      </c>
      <c r="BU148" s="8">
        <v>0.1114</v>
      </c>
      <c r="BV148">
        <f t="shared" si="69"/>
        <v>0.1114</v>
      </c>
      <c r="BW148">
        <f t="shared" si="70"/>
        <v>-2.1946279514889535</v>
      </c>
      <c r="BX148" s="8">
        <v>0.1154</v>
      </c>
      <c r="BY148">
        <f t="shared" si="71"/>
        <v>0.1154</v>
      </c>
      <c r="BZ148">
        <f t="shared" si="72"/>
        <v>-2.159350924908138</v>
      </c>
    </row>
    <row r="149" spans="5:79" x14ac:dyDescent="0.2">
      <c r="E149">
        <v>1.1891449999999999</v>
      </c>
      <c r="G149" s="8">
        <v>0.11609999999999999</v>
      </c>
      <c r="H149">
        <v>1.0899999999999993E-2</v>
      </c>
      <c r="I149">
        <v>-4.5189924897470402</v>
      </c>
      <c r="J149" s="8">
        <v>0.1023</v>
      </c>
      <c r="K149">
        <f t="shared" si="42"/>
        <v>0.1023</v>
      </c>
      <c r="L149">
        <f t="shared" si="43"/>
        <v>-2.2798456060245562</v>
      </c>
      <c r="M149" s="8">
        <v>0.12189999999999999</v>
      </c>
      <c r="N149">
        <f t="shared" si="44"/>
        <v>0.12189999999999999</v>
      </c>
      <c r="O149">
        <f t="shared" si="45"/>
        <v>-2.1045542424949111</v>
      </c>
      <c r="P149" s="8">
        <v>0.1173</v>
      </c>
      <c r="Q149">
        <v>1.1700000000000002E-2</v>
      </c>
      <c r="R149">
        <v>-4.4481664371784264</v>
      </c>
      <c r="S149" s="8">
        <v>0.11559999999999999</v>
      </c>
      <c r="T149">
        <f t="shared" si="41"/>
        <v>0.11559999999999999</v>
      </c>
      <c r="U149">
        <f t="shared" si="46"/>
        <v>-2.15761932274386</v>
      </c>
      <c r="V149" s="8">
        <v>0.1208</v>
      </c>
      <c r="W149">
        <f t="shared" si="47"/>
        <v>0.1208</v>
      </c>
      <c r="X149">
        <f t="shared" si="48"/>
        <v>-2.1136189934814222</v>
      </c>
      <c r="Y149" s="8">
        <v>0.11890000000000001</v>
      </c>
      <c r="Z149">
        <v>1.3600000000000001E-2</v>
      </c>
      <c r="AA149">
        <v>-4.2976854862401304</v>
      </c>
      <c r="AB149" s="8">
        <v>0.11609999999999999</v>
      </c>
      <c r="AC149">
        <f t="shared" si="49"/>
        <v>0.11609999999999999</v>
      </c>
      <c r="AD149">
        <f t="shared" si="50"/>
        <v>-2.1533033902782912</v>
      </c>
      <c r="AE149" s="8">
        <v>0.1193</v>
      </c>
      <c r="AF149">
        <f t="shared" si="51"/>
        <v>0.1193</v>
      </c>
      <c r="AG149">
        <f t="shared" si="52"/>
        <v>-2.1261139498782664</v>
      </c>
      <c r="AH149" s="8">
        <v>0.1196</v>
      </c>
      <c r="AI149">
        <v>1.4600000000000002E-2</v>
      </c>
      <c r="AJ149">
        <v>-4.2267337502678464</v>
      </c>
      <c r="AK149" s="8">
        <v>0.1192</v>
      </c>
      <c r="AL149">
        <f t="shared" si="53"/>
        <v>0.1192</v>
      </c>
      <c r="AM149">
        <f t="shared" si="54"/>
        <v>-2.1269525243508878</v>
      </c>
      <c r="AN149" s="8">
        <v>0.1203</v>
      </c>
      <c r="AO149">
        <f t="shared" si="55"/>
        <v>0.1203</v>
      </c>
      <c r="AP149">
        <f t="shared" si="56"/>
        <v>-2.1177666560015038</v>
      </c>
      <c r="AQ149" s="8">
        <v>0.1216</v>
      </c>
      <c r="AR149">
        <v>1.2200000000000003E-2</v>
      </c>
      <c r="AS149">
        <v>-4.406319327242926</v>
      </c>
      <c r="AT149" s="8">
        <v>0.1188</v>
      </c>
      <c r="AU149">
        <f t="shared" si="57"/>
        <v>0.1188</v>
      </c>
      <c r="AV149">
        <f t="shared" si="58"/>
        <v>-2.1303138720535926</v>
      </c>
      <c r="AW149" s="8">
        <v>0.1235</v>
      </c>
      <c r="AX149">
        <f t="shared" si="59"/>
        <v>0.1235</v>
      </c>
      <c r="AY149">
        <f t="shared" si="60"/>
        <v>-2.0915141229141052</v>
      </c>
      <c r="AZ149" s="8">
        <v>0.12790000000000001</v>
      </c>
      <c r="BA149">
        <v>1.960000000000002E-2</v>
      </c>
      <c r="BB149">
        <v>-3.9322257127456646</v>
      </c>
      <c r="BC149" s="8">
        <v>0.1231</v>
      </c>
      <c r="BD149">
        <f t="shared" si="61"/>
        <v>0.1231</v>
      </c>
      <c r="BE149">
        <f t="shared" si="62"/>
        <v>-2.0947582457917293</v>
      </c>
      <c r="BF149" s="8">
        <v>0.13689999999999999</v>
      </c>
      <c r="BG149">
        <f t="shared" si="63"/>
        <v>0.13689999999999999</v>
      </c>
      <c r="BH149">
        <f t="shared" si="64"/>
        <v>-1.9885045466877338</v>
      </c>
      <c r="BI149" s="8">
        <v>0.12139999999999999</v>
      </c>
      <c r="BJ149">
        <v>1.6299999999999995E-2</v>
      </c>
      <c r="BK149">
        <v>-4.1165901711694204</v>
      </c>
      <c r="BL149" s="8">
        <v>0.12</v>
      </c>
      <c r="BM149">
        <f t="shared" si="65"/>
        <v>0.12</v>
      </c>
      <c r="BN149">
        <f t="shared" si="66"/>
        <v>-2.120263536200091</v>
      </c>
      <c r="BO149" s="8">
        <v>0.1226</v>
      </c>
      <c r="BP149">
        <f t="shared" si="67"/>
        <v>0.1226</v>
      </c>
      <c r="BQ149">
        <f t="shared" si="68"/>
        <v>-2.0988282554800262</v>
      </c>
      <c r="BR149" s="8">
        <v>0.1154</v>
      </c>
      <c r="BS149">
        <v>7.5999999999999956E-3</v>
      </c>
      <c r="BT149">
        <v>-4.8796070316898525</v>
      </c>
      <c r="BU149" s="8">
        <v>0.1181</v>
      </c>
      <c r="BV149">
        <f t="shared" si="69"/>
        <v>0.1181</v>
      </c>
      <c r="BW149">
        <f t="shared" si="70"/>
        <v>-2.1362235557788205</v>
      </c>
      <c r="BX149" s="8">
        <v>0.123</v>
      </c>
      <c r="BY149">
        <f t="shared" si="71"/>
        <v>0.123</v>
      </c>
      <c r="BZ149">
        <f t="shared" si="72"/>
        <v>-2.0955709236097197</v>
      </c>
    </row>
    <row r="150" spans="5:79" x14ac:dyDescent="0.2">
      <c r="E150">
        <v>1.4269777777777777</v>
      </c>
      <c r="G150" s="8">
        <v>0.1187</v>
      </c>
      <c r="H150">
        <v>1.3499999999999998E-2</v>
      </c>
      <c r="I150">
        <v>-4.3050655935377531</v>
      </c>
      <c r="J150" s="8">
        <v>0.1031</v>
      </c>
      <c r="K150">
        <f t="shared" si="42"/>
        <v>0.1031</v>
      </c>
      <c r="L150">
        <f t="shared" si="43"/>
        <v>-2.272055887959223</v>
      </c>
      <c r="M150" s="8">
        <v>0.12859999999999999</v>
      </c>
      <c r="N150">
        <f t="shared" si="44"/>
        <v>0.12859999999999999</v>
      </c>
      <c r="O150">
        <f t="shared" si="45"/>
        <v>-2.0510484671786182</v>
      </c>
      <c r="P150" s="8">
        <v>0.1187</v>
      </c>
      <c r="Q150">
        <v>1.3100000000000001E-2</v>
      </c>
      <c r="R150">
        <v>-4.3351430487750315</v>
      </c>
      <c r="S150" s="8">
        <v>0.1198</v>
      </c>
      <c r="T150">
        <f t="shared" si="41"/>
        <v>0.1198</v>
      </c>
      <c r="U150">
        <f t="shared" si="46"/>
        <v>-2.1219315933007881</v>
      </c>
      <c r="V150" s="8">
        <v>0.1258</v>
      </c>
      <c r="W150">
        <f t="shared" si="47"/>
        <v>0.1258</v>
      </c>
      <c r="X150">
        <f t="shared" si="48"/>
        <v>-2.0730619347157968</v>
      </c>
      <c r="Y150" s="8">
        <v>0.1205</v>
      </c>
      <c r="Z150">
        <v>1.5199999999999991E-2</v>
      </c>
      <c r="AA150">
        <v>-4.1864598511299072</v>
      </c>
      <c r="AB150" s="8">
        <v>0.1202</v>
      </c>
      <c r="AC150">
        <f t="shared" si="49"/>
        <v>0.1202</v>
      </c>
      <c r="AD150">
        <f t="shared" si="50"/>
        <v>-2.1185982568810298</v>
      </c>
      <c r="AE150" s="8">
        <v>0.12529999999999999</v>
      </c>
      <c r="AF150">
        <f t="shared" si="51"/>
        <v>0.12529999999999999</v>
      </c>
      <c r="AG150">
        <f t="shared" si="52"/>
        <v>-2.0770444170801143</v>
      </c>
      <c r="AH150" s="8">
        <v>0.1225</v>
      </c>
      <c r="AI150">
        <v>1.7500000000000002E-2</v>
      </c>
      <c r="AJ150">
        <v>-4.0455543980526683</v>
      </c>
      <c r="AK150" s="8">
        <v>0.1239</v>
      </c>
      <c r="AL150">
        <f t="shared" si="53"/>
        <v>0.1239</v>
      </c>
      <c r="AM150">
        <f t="shared" si="54"/>
        <v>-2.0882804903470404</v>
      </c>
      <c r="AN150" s="8">
        <v>0.1265</v>
      </c>
      <c r="AO150">
        <f t="shared" si="55"/>
        <v>0.1265</v>
      </c>
      <c r="AP150">
        <f t="shared" si="56"/>
        <v>-2.0675129708145623</v>
      </c>
      <c r="AQ150" s="8">
        <v>0.1237</v>
      </c>
      <c r="AR150">
        <v>1.4300000000000007E-2</v>
      </c>
      <c r="AS150">
        <v>-4.2474957417162749</v>
      </c>
      <c r="AT150" s="8">
        <v>0.1235</v>
      </c>
      <c r="AU150">
        <f t="shared" si="57"/>
        <v>0.1235</v>
      </c>
      <c r="AV150">
        <f t="shared" si="58"/>
        <v>-2.0915141229141052</v>
      </c>
      <c r="AW150" s="8">
        <v>0.1288</v>
      </c>
      <c r="AX150">
        <f t="shared" si="59"/>
        <v>0.1288</v>
      </c>
      <c r="AY150">
        <f t="shared" si="60"/>
        <v>-2.0494944653118838</v>
      </c>
      <c r="AZ150" s="8">
        <v>0.13339999999999999</v>
      </c>
      <c r="BA150">
        <v>2.5099999999999997E-2</v>
      </c>
      <c r="BB150">
        <v>-3.6848874328443988</v>
      </c>
      <c r="BC150" s="8">
        <v>0.13</v>
      </c>
      <c r="BD150">
        <f t="shared" si="61"/>
        <v>0.13</v>
      </c>
      <c r="BE150">
        <f t="shared" si="62"/>
        <v>-2.0402208285265546</v>
      </c>
      <c r="BF150" s="8">
        <v>0.14269999999999999</v>
      </c>
      <c r="BG150">
        <f t="shared" si="63"/>
        <v>0.14269999999999999</v>
      </c>
      <c r="BH150">
        <f t="shared" si="64"/>
        <v>-1.9470107544993465</v>
      </c>
      <c r="BI150" s="8">
        <v>0.12989999999999999</v>
      </c>
      <c r="BJ150">
        <v>2.4799999999999989E-2</v>
      </c>
      <c r="BK150">
        <v>-3.6969116258112011</v>
      </c>
      <c r="BL150" s="8">
        <v>0.127</v>
      </c>
      <c r="BM150">
        <f t="shared" si="65"/>
        <v>0.127</v>
      </c>
      <c r="BN150">
        <f t="shared" si="66"/>
        <v>-2.0635681925235456</v>
      </c>
      <c r="BO150" s="8">
        <v>0.13189999999999999</v>
      </c>
      <c r="BP150">
        <f t="shared" si="67"/>
        <v>0.13189999999999999</v>
      </c>
      <c r="BQ150">
        <f t="shared" si="68"/>
        <v>-2.0257112192588682</v>
      </c>
      <c r="BR150" s="8">
        <v>0.1212</v>
      </c>
      <c r="BS150">
        <v>1.3399999999999995E-2</v>
      </c>
      <c r="BT150">
        <v>-4.3125005720252716</v>
      </c>
      <c r="BU150" s="8">
        <v>0.1255</v>
      </c>
      <c r="BV150">
        <f t="shared" si="69"/>
        <v>0.1255</v>
      </c>
      <c r="BW150">
        <f t="shared" si="70"/>
        <v>-2.0754495204102983</v>
      </c>
      <c r="BX150" s="8">
        <v>0.13100000000000001</v>
      </c>
      <c r="BY150">
        <f t="shared" si="71"/>
        <v>0.13100000000000001</v>
      </c>
      <c r="BZ150">
        <f t="shared" si="72"/>
        <v>-2.0325579557809856</v>
      </c>
    </row>
    <row r="151" spans="5:79" x14ac:dyDescent="0.2">
      <c r="E151">
        <v>1.6648077777777779</v>
      </c>
      <c r="G151" s="8">
        <v>0.12570000000000001</v>
      </c>
      <c r="H151">
        <v>2.0500000000000004E-2</v>
      </c>
      <c r="I151">
        <v>-3.8873303928377743</v>
      </c>
      <c r="J151" s="8">
        <v>0.1036</v>
      </c>
      <c r="K151">
        <f t="shared" si="42"/>
        <v>0.1036</v>
      </c>
      <c r="L151">
        <f t="shared" si="43"/>
        <v>-2.2672179491567546</v>
      </c>
      <c r="M151" s="8">
        <v>0.13489999999999999</v>
      </c>
      <c r="N151">
        <f t="shared" si="44"/>
        <v>0.13489999999999999</v>
      </c>
      <c r="O151">
        <f t="shared" si="45"/>
        <v>-2.003221515768427</v>
      </c>
      <c r="P151" s="8">
        <v>0.1205</v>
      </c>
      <c r="Q151">
        <v>1.4899999999999997E-2</v>
      </c>
      <c r="R151">
        <v>-4.2063940660307235</v>
      </c>
      <c r="S151" s="8">
        <v>0.1229</v>
      </c>
      <c r="T151">
        <f t="shared" si="41"/>
        <v>0.1229</v>
      </c>
      <c r="U151">
        <f t="shared" si="46"/>
        <v>-2.0963842624101479</v>
      </c>
      <c r="V151" s="8">
        <v>0.13009999999999999</v>
      </c>
      <c r="W151">
        <f t="shared" si="47"/>
        <v>0.13009999999999999</v>
      </c>
      <c r="X151">
        <f t="shared" si="48"/>
        <v>-2.0394518934636774</v>
      </c>
      <c r="Y151" s="8">
        <v>0.1232</v>
      </c>
      <c r="Z151">
        <v>1.7899999999999999E-2</v>
      </c>
      <c r="AA151">
        <v>-4.0229545661354278</v>
      </c>
      <c r="AB151" s="8">
        <v>0.12379999999999999</v>
      </c>
      <c r="AC151">
        <f t="shared" si="49"/>
        <v>0.12379999999999999</v>
      </c>
      <c r="AD151">
        <f t="shared" si="50"/>
        <v>-2.0890879187316416</v>
      </c>
      <c r="AE151" s="8">
        <v>0.13170000000000001</v>
      </c>
      <c r="AF151">
        <f t="shared" si="51"/>
        <v>0.13170000000000001</v>
      </c>
      <c r="AG151">
        <f t="shared" si="52"/>
        <v>-2.0272286702329017</v>
      </c>
      <c r="AH151" s="8">
        <v>0.1246</v>
      </c>
      <c r="AI151">
        <v>1.9600000000000006E-2</v>
      </c>
      <c r="AJ151">
        <v>-3.932225712745665</v>
      </c>
      <c r="AK151" s="8">
        <v>0.1285</v>
      </c>
      <c r="AL151">
        <f t="shared" si="53"/>
        <v>0.1285</v>
      </c>
      <c r="AM151">
        <f t="shared" si="54"/>
        <v>-2.0518263746468626</v>
      </c>
      <c r="AN151" s="8">
        <v>0.13150000000000001</v>
      </c>
      <c r="AO151">
        <f t="shared" si="55"/>
        <v>0.13150000000000001</v>
      </c>
      <c r="AP151">
        <f t="shared" si="56"/>
        <v>-2.0287484273643179</v>
      </c>
      <c r="AQ151" s="8">
        <v>0.1263</v>
      </c>
      <c r="AR151">
        <v>1.6899999999999998E-2</v>
      </c>
      <c r="AS151">
        <v>-4.0804416570531092</v>
      </c>
      <c r="AT151" s="8">
        <v>0.1268</v>
      </c>
      <c r="AU151">
        <f t="shared" si="57"/>
        <v>0.1268</v>
      </c>
      <c r="AV151">
        <f t="shared" si="58"/>
        <v>-2.0651442369790116</v>
      </c>
      <c r="AW151" s="8">
        <v>0.13389999999999999</v>
      </c>
      <c r="AX151">
        <f t="shared" si="59"/>
        <v>0.13389999999999999</v>
      </c>
      <c r="AY151">
        <f t="shared" si="60"/>
        <v>-2.0106620262850101</v>
      </c>
      <c r="AZ151" s="8">
        <v>0.13719999999999999</v>
      </c>
      <c r="BA151">
        <v>2.8899999999999995E-2</v>
      </c>
      <c r="BB151">
        <v>-3.5439136838637508</v>
      </c>
      <c r="BC151" s="8">
        <v>0.13420000000000001</v>
      </c>
      <c r="BD151">
        <f t="shared" si="61"/>
        <v>0.13420000000000001</v>
      </c>
      <c r="BE151">
        <f t="shared" si="62"/>
        <v>-2.0084240544445557</v>
      </c>
      <c r="BF151" s="8">
        <v>0.14960000000000001</v>
      </c>
      <c r="BG151">
        <f t="shared" si="63"/>
        <v>0.14960000000000001</v>
      </c>
      <c r="BH151">
        <f t="shared" si="64"/>
        <v>-1.8997902134417601</v>
      </c>
      <c r="BI151" s="8">
        <v>0.13400000000000001</v>
      </c>
      <c r="BJ151">
        <v>2.8900000000000009E-2</v>
      </c>
      <c r="BK151">
        <v>-3.5439136838637504</v>
      </c>
      <c r="BL151" s="8">
        <v>0.13320000000000001</v>
      </c>
      <c r="BM151">
        <f t="shared" si="65"/>
        <v>0.13320000000000001</v>
      </c>
      <c r="BN151">
        <f t="shared" si="66"/>
        <v>-2.015903520875848</v>
      </c>
      <c r="BO151" s="8">
        <v>0.14219999999999999</v>
      </c>
      <c r="BP151">
        <f t="shared" si="67"/>
        <v>0.14219999999999999</v>
      </c>
      <c r="BQ151">
        <f t="shared" si="68"/>
        <v>-1.9505207616129967</v>
      </c>
      <c r="BR151" s="8">
        <v>0.1237</v>
      </c>
      <c r="BS151">
        <v>1.5899999999999997E-2</v>
      </c>
      <c r="BT151">
        <v>-4.1414361697559512</v>
      </c>
      <c r="BU151" s="8">
        <v>0.13150000000000001</v>
      </c>
      <c r="BV151">
        <f t="shared" si="69"/>
        <v>0.13150000000000001</v>
      </c>
      <c r="BW151">
        <f t="shared" si="70"/>
        <v>-2.0287484273643179</v>
      </c>
      <c r="BX151" s="8">
        <v>0.13789999999999999</v>
      </c>
      <c r="BY151">
        <f t="shared" si="71"/>
        <v>0.13789999999999999</v>
      </c>
      <c r="BZ151">
        <f t="shared" si="72"/>
        <v>-1.981226494182881</v>
      </c>
    </row>
    <row r="152" spans="5:79" x14ac:dyDescent="0.2">
      <c r="E152" s="11">
        <v>1.9025777777777777</v>
      </c>
      <c r="F152" s="11"/>
      <c r="G152" s="11">
        <v>0.1328</v>
      </c>
      <c r="H152" s="11">
        <v>2.76E-2</v>
      </c>
      <c r="I152" s="11">
        <v>-3.5899395062590327</v>
      </c>
      <c r="J152" s="11">
        <v>0.1048</v>
      </c>
      <c r="K152" s="11">
        <f t="shared" si="42"/>
        <v>0.1048</v>
      </c>
      <c r="L152" s="11">
        <f t="shared" si="43"/>
        <v>-2.2557015070951953</v>
      </c>
      <c r="M152" s="11">
        <v>0.1517</v>
      </c>
      <c r="N152" s="11">
        <f t="shared" si="44"/>
        <v>0.1517</v>
      </c>
      <c r="O152" s="11">
        <f t="shared" si="45"/>
        <v>-1.8858503926276504</v>
      </c>
      <c r="P152" s="11">
        <v>0.1298</v>
      </c>
      <c r="Q152" s="11">
        <v>2.4199999999999999E-2</v>
      </c>
      <c r="R152" s="11">
        <v>-3.7214026458194964</v>
      </c>
      <c r="S152" s="11">
        <v>0.13220000000000001</v>
      </c>
      <c r="T152" s="11">
        <f t="shared" si="41"/>
        <v>0.13220000000000001</v>
      </c>
      <c r="U152" s="11">
        <f t="shared" si="46"/>
        <v>-2.023439351564551</v>
      </c>
      <c r="V152" s="11">
        <v>0.14319999999999999</v>
      </c>
      <c r="W152" s="11">
        <f t="shared" si="47"/>
        <v>0.14319999999999999</v>
      </c>
      <c r="X152" s="11">
        <f t="shared" si="48"/>
        <v>-1.9435130244555918</v>
      </c>
      <c r="Y152" s="11">
        <v>0.1321</v>
      </c>
      <c r="Z152" s="11">
        <v>2.679999999999999E-2</v>
      </c>
      <c r="AA152" s="11">
        <v>-3.6193533914653262</v>
      </c>
      <c r="AB152" s="11">
        <v>0.1343</v>
      </c>
      <c r="AC152" s="11">
        <f t="shared" si="49"/>
        <v>0.1343</v>
      </c>
      <c r="AD152" s="11">
        <f t="shared" si="50"/>
        <v>-2.0076791754529451</v>
      </c>
      <c r="AE152" s="11">
        <v>0.14480000000000001</v>
      </c>
      <c r="AF152">
        <f t="shared" si="51"/>
        <v>0.14480000000000001</v>
      </c>
      <c r="AG152">
        <f t="shared" si="52"/>
        <v>-1.9324017990305209</v>
      </c>
      <c r="AH152" s="8">
        <v>0.13669999999999999</v>
      </c>
      <c r="AI152">
        <v>3.1699999999999992E-2</v>
      </c>
      <c r="AJ152">
        <v>-3.4514385980989024</v>
      </c>
      <c r="AK152" s="8">
        <v>0.1404</v>
      </c>
      <c r="AL152">
        <f t="shared" si="53"/>
        <v>0.1404</v>
      </c>
      <c r="AM152">
        <f t="shared" si="54"/>
        <v>-1.9632597873904263</v>
      </c>
      <c r="AN152" s="8">
        <v>0.1462</v>
      </c>
      <c r="AO152">
        <f t="shared" si="55"/>
        <v>0.1462</v>
      </c>
      <c r="AP152">
        <f t="shared" si="56"/>
        <v>-1.922779731666459</v>
      </c>
      <c r="AQ152" s="8">
        <v>0.13689999999999999</v>
      </c>
      <c r="AR152">
        <v>2.7499999999999997E-2</v>
      </c>
      <c r="AS152">
        <v>-3.5935692743096115</v>
      </c>
      <c r="AT152" s="8">
        <v>0.1404</v>
      </c>
      <c r="AU152">
        <f t="shared" si="57"/>
        <v>0.1404</v>
      </c>
      <c r="AV152">
        <f t="shared" si="58"/>
        <v>-1.9632597873904263</v>
      </c>
      <c r="AW152" s="8">
        <v>0.1474</v>
      </c>
      <c r="AX152">
        <f t="shared" si="59"/>
        <v>0.1474</v>
      </c>
      <c r="AY152">
        <f t="shared" si="60"/>
        <v>-1.9146052992269007</v>
      </c>
      <c r="AZ152" s="8">
        <v>0.15240000000000001</v>
      </c>
      <c r="BA152">
        <v>4.4100000000000014E-2</v>
      </c>
      <c r="BB152">
        <v>-3.1212954965293362</v>
      </c>
      <c r="BC152" s="8">
        <v>0.15140000000000001</v>
      </c>
      <c r="BD152">
        <f t="shared" si="61"/>
        <v>0.15140000000000001</v>
      </c>
      <c r="BE152">
        <f t="shared" si="62"/>
        <v>-1.8878299379787886</v>
      </c>
      <c r="BF152" s="8">
        <v>0.17119999999999999</v>
      </c>
      <c r="BG152">
        <f t="shared" si="63"/>
        <v>0.17119999999999999</v>
      </c>
      <c r="BH152">
        <f t="shared" si="64"/>
        <v>-1.7649228152744953</v>
      </c>
      <c r="BI152" s="8">
        <v>0.1517</v>
      </c>
      <c r="BJ152">
        <v>4.6600000000000003E-2</v>
      </c>
      <c r="BK152">
        <v>-3.0661547378505367</v>
      </c>
      <c r="BL152" s="8">
        <v>0.15409999999999999</v>
      </c>
      <c r="BM152">
        <f t="shared" si="65"/>
        <v>0.15409999999999999</v>
      </c>
      <c r="BN152">
        <f t="shared" si="66"/>
        <v>-1.8701535366560671</v>
      </c>
      <c r="BO152" s="8">
        <v>0.16850000000000001</v>
      </c>
      <c r="BP152">
        <f t="shared" si="67"/>
        <v>0.16850000000000001</v>
      </c>
      <c r="BQ152">
        <f t="shared" si="68"/>
        <v>-1.7808195291897206</v>
      </c>
      <c r="BR152" s="8">
        <v>0.1406</v>
      </c>
      <c r="BS152">
        <v>3.2799999999999996E-2</v>
      </c>
      <c r="BT152">
        <v>-3.417326763592039</v>
      </c>
      <c r="BU152" s="8">
        <v>0.15110000000000001</v>
      </c>
      <c r="BV152">
        <f t="shared" si="69"/>
        <v>0.15110000000000001</v>
      </c>
      <c r="BW152">
        <f t="shared" si="70"/>
        <v>-1.8898134097034431</v>
      </c>
      <c r="BX152" s="8">
        <v>0.16009999999999999</v>
      </c>
      <c r="BY152">
        <f t="shared" si="71"/>
        <v>0.16009999999999999</v>
      </c>
      <c r="BZ152">
        <f t="shared" si="72"/>
        <v>-1.831956658979468</v>
      </c>
    </row>
    <row r="153" spans="5:79" x14ac:dyDescent="0.2">
      <c r="E153" s="11">
        <v>2.1403772222222224</v>
      </c>
      <c r="F153" s="11"/>
      <c r="G153" s="11">
        <v>0.14460000000000001</v>
      </c>
      <c r="H153" s="11">
        <v>3.9400000000000004E-2</v>
      </c>
      <c r="I153" s="11">
        <v>-3.2339894626782488</v>
      </c>
      <c r="J153" s="11">
        <v>0.107</v>
      </c>
      <c r="K153" s="11">
        <f t="shared" si="42"/>
        <v>0.107</v>
      </c>
      <c r="L153" s="11">
        <f t="shared" si="43"/>
        <v>-2.234926444520231</v>
      </c>
      <c r="M153" s="11">
        <v>0.16930000000000001</v>
      </c>
      <c r="N153" s="11">
        <f t="shared" si="44"/>
        <v>0.16930000000000001</v>
      </c>
      <c r="O153" s="11">
        <f t="shared" si="45"/>
        <v>-1.7760829898430475</v>
      </c>
      <c r="P153" s="11">
        <v>0.13900000000000001</v>
      </c>
      <c r="Q153" s="11">
        <v>3.3400000000000013E-2</v>
      </c>
      <c r="R153" s="11">
        <v>-3.3991993789994819</v>
      </c>
      <c r="S153" s="11">
        <v>0.1462</v>
      </c>
      <c r="T153" s="11">
        <f t="shared" si="41"/>
        <v>0.1462</v>
      </c>
      <c r="U153" s="11">
        <f t="shared" si="46"/>
        <v>-1.922779731666459</v>
      </c>
      <c r="V153" s="11">
        <v>0.16439999999999999</v>
      </c>
      <c r="W153" s="11">
        <f t="shared" si="47"/>
        <v>0.16439999999999999</v>
      </c>
      <c r="X153" s="11">
        <f t="shared" si="48"/>
        <v>-1.8054527963600575</v>
      </c>
      <c r="Y153" s="11">
        <v>0.14349999999999999</v>
      </c>
      <c r="Z153" s="11">
        <v>3.8199999999999984E-2</v>
      </c>
      <c r="AA153" s="11">
        <v>-3.2649197633696079</v>
      </c>
      <c r="AB153" s="11">
        <v>0.14810000000000001</v>
      </c>
      <c r="AC153" s="11">
        <f t="shared" si="49"/>
        <v>0.14810000000000001</v>
      </c>
      <c r="AD153" s="11">
        <f t="shared" si="50"/>
        <v>-1.9098675577083839</v>
      </c>
      <c r="AE153" s="11">
        <v>0.16650000000000001</v>
      </c>
      <c r="AF153">
        <f t="shared" si="51"/>
        <v>0.16650000000000001</v>
      </c>
      <c r="AG153">
        <f t="shared" si="52"/>
        <v>-1.7927599695616385</v>
      </c>
      <c r="AH153" s="8">
        <v>0.1477</v>
      </c>
      <c r="AI153">
        <v>4.2700000000000002E-2</v>
      </c>
      <c r="AJ153">
        <v>-3.1535563587475584</v>
      </c>
      <c r="AK153" s="8">
        <v>0.15659999999999999</v>
      </c>
      <c r="AL153">
        <f t="shared" si="53"/>
        <v>0.15659999999999999</v>
      </c>
      <c r="AM153">
        <f t="shared" si="54"/>
        <v>-1.8540604954254345</v>
      </c>
      <c r="AN153" s="8">
        <v>0.16919999999999999</v>
      </c>
      <c r="AO153">
        <f t="shared" si="55"/>
        <v>0.16919999999999999</v>
      </c>
      <c r="AP153">
        <f t="shared" si="56"/>
        <v>-1.7766738318100141</v>
      </c>
      <c r="AQ153" s="8">
        <v>0.1487</v>
      </c>
      <c r="AR153">
        <v>3.9300000000000002E-2</v>
      </c>
      <c r="AS153">
        <v>-3.2365307601069215</v>
      </c>
      <c r="AT153" s="8">
        <v>0.15459999999999999</v>
      </c>
      <c r="AU153">
        <f t="shared" si="57"/>
        <v>0.15459999999999999</v>
      </c>
      <c r="AV153">
        <f t="shared" si="58"/>
        <v>-1.8669141428288156</v>
      </c>
      <c r="AW153" s="8">
        <v>0.16950000000000001</v>
      </c>
      <c r="AX153">
        <f t="shared" si="59"/>
        <v>0.16950000000000001</v>
      </c>
      <c r="AY153">
        <f t="shared" si="60"/>
        <v>-1.7749023521616321</v>
      </c>
      <c r="AZ153" s="8">
        <v>0.16839999999999999</v>
      </c>
      <c r="BA153">
        <v>6.0100000000000001E-2</v>
      </c>
      <c r="BB153">
        <v>-2.8117454374409752</v>
      </c>
      <c r="BC153" s="8">
        <v>0.16889999999999999</v>
      </c>
      <c r="BD153">
        <f t="shared" si="61"/>
        <v>0.16889999999999999</v>
      </c>
      <c r="BE153">
        <f t="shared" si="62"/>
        <v>-1.7784484551683828</v>
      </c>
      <c r="BF153" s="8">
        <v>0.2044</v>
      </c>
      <c r="BG153">
        <f t="shared" si="63"/>
        <v>0.2044</v>
      </c>
      <c r="BH153">
        <f t="shared" si="64"/>
        <v>-1.5876764206525877</v>
      </c>
      <c r="BI153" s="8">
        <v>0.1731</v>
      </c>
      <c r="BJ153">
        <v>6.8000000000000005E-2</v>
      </c>
      <c r="BK153">
        <v>-2.6882475738060303</v>
      </c>
      <c r="BL153" s="8">
        <v>0.18079999999999999</v>
      </c>
      <c r="BM153">
        <f t="shared" si="65"/>
        <v>0.18079999999999999</v>
      </c>
      <c r="BN153">
        <f t="shared" si="66"/>
        <v>-1.710363831024061</v>
      </c>
      <c r="BO153" s="8">
        <v>0.20760000000000001</v>
      </c>
      <c r="BP153">
        <f t="shared" si="67"/>
        <v>0.20760000000000001</v>
      </c>
      <c r="BQ153">
        <f t="shared" si="68"/>
        <v>-1.5721421276904035</v>
      </c>
      <c r="BR153" s="8">
        <v>0.16309999999999999</v>
      </c>
      <c r="BS153">
        <v>5.5299999999999988E-2</v>
      </c>
      <c r="BT153">
        <v>-2.8949823704538482</v>
      </c>
      <c r="BU153" s="8">
        <v>0.1769</v>
      </c>
      <c r="BV153">
        <f t="shared" si="69"/>
        <v>0.1769</v>
      </c>
      <c r="BW153">
        <f t="shared" si="70"/>
        <v>-1.7321706778163974</v>
      </c>
      <c r="BX153" s="8">
        <v>0.19320000000000001</v>
      </c>
      <c r="BY153">
        <f t="shared" si="71"/>
        <v>0.19320000000000001</v>
      </c>
      <c r="BZ153">
        <f t="shared" si="72"/>
        <v>-1.6440293572037195</v>
      </c>
    </row>
    <row r="154" spans="5:79" x14ac:dyDescent="0.2">
      <c r="E154" s="10">
        <v>2.3782172222222222</v>
      </c>
      <c r="F154" s="10"/>
      <c r="G154" s="10">
        <v>0.15570000000000001</v>
      </c>
      <c r="H154" s="10">
        <v>5.0500000000000003E-2</v>
      </c>
      <c r="I154" s="10">
        <v>-2.985781942700823</v>
      </c>
      <c r="J154" s="10">
        <v>0.10920000000000001</v>
      </c>
      <c r="K154" s="10">
        <f t="shared" si="42"/>
        <v>0.10920000000000001</v>
      </c>
      <c r="L154" s="10">
        <f t="shared" si="43"/>
        <v>-2.2145742156713322</v>
      </c>
      <c r="M154" s="10">
        <v>0.1925</v>
      </c>
      <c r="N154" s="10">
        <f t="shared" si="44"/>
        <v>0.1925</v>
      </c>
      <c r="O154" s="10">
        <f t="shared" si="45"/>
        <v>-1.647659125254298</v>
      </c>
      <c r="P154" s="10">
        <v>0.14899999999999999</v>
      </c>
      <c r="Q154" s="10">
        <v>4.3399999999999994E-2</v>
      </c>
      <c r="R154" s="10">
        <v>-3.137295837875778</v>
      </c>
      <c r="S154" s="10">
        <v>0.1585</v>
      </c>
      <c r="T154" s="10">
        <f t="shared" si="41"/>
        <v>0.1585</v>
      </c>
      <c r="U154" s="10">
        <f t="shared" si="46"/>
        <v>-1.8420006856648017</v>
      </c>
      <c r="V154" s="10">
        <v>0.184</v>
      </c>
      <c r="W154" s="10">
        <f t="shared" si="47"/>
        <v>0.184</v>
      </c>
      <c r="X154" s="10">
        <f t="shared" si="48"/>
        <v>-1.6928195213731514</v>
      </c>
      <c r="Y154" s="10">
        <v>0.15229999999999999</v>
      </c>
      <c r="Z154" s="10">
        <v>4.6999999999999986E-2</v>
      </c>
      <c r="AA154" s="10">
        <v>-3.0576076772720788</v>
      </c>
      <c r="AB154" s="10">
        <v>0.15989999999999999</v>
      </c>
      <c r="AC154" s="10">
        <f t="shared" si="49"/>
        <v>0.15989999999999999</v>
      </c>
      <c r="AD154" s="10">
        <f t="shared" si="50"/>
        <v>-1.8332066591422287</v>
      </c>
      <c r="AE154" s="10">
        <v>0.1865</v>
      </c>
      <c r="AF154" s="10">
        <f t="shared" si="51"/>
        <v>0.1865</v>
      </c>
      <c r="AG154" s="10">
        <f t="shared" si="52"/>
        <v>-1.6793240398982667</v>
      </c>
      <c r="AH154" s="10">
        <v>0.1552</v>
      </c>
      <c r="AI154" s="10">
        <v>5.0200000000000009E-2</v>
      </c>
      <c r="AJ154" s="10">
        <v>-2.9917402522844534</v>
      </c>
      <c r="AK154" s="10">
        <v>0.1706</v>
      </c>
      <c r="AL154" s="10">
        <f t="shared" si="53"/>
        <v>0.1706</v>
      </c>
      <c r="AM154" s="10">
        <f t="shared" si="54"/>
        <v>-1.7684336439245583</v>
      </c>
      <c r="AN154" s="10">
        <v>0.1885</v>
      </c>
      <c r="AO154" s="10">
        <f t="shared" si="55"/>
        <v>0.1885</v>
      </c>
      <c r="AP154" s="10">
        <f t="shared" si="56"/>
        <v>-1.6686572720940716</v>
      </c>
      <c r="AQ154" s="10">
        <v>0.1547</v>
      </c>
      <c r="AR154" s="10">
        <v>4.5300000000000007E-2</v>
      </c>
      <c r="AS154" s="10">
        <v>-3.0944482464931484</v>
      </c>
      <c r="AT154" s="10">
        <v>0.16650000000000001</v>
      </c>
      <c r="AU154" s="10">
        <f t="shared" si="57"/>
        <v>0.16650000000000001</v>
      </c>
      <c r="AV154" s="10">
        <f t="shared" si="58"/>
        <v>-1.7927599695616385</v>
      </c>
      <c r="AW154" s="10">
        <v>0.188</v>
      </c>
      <c r="AX154" s="10">
        <f t="shared" si="59"/>
        <v>0.188</v>
      </c>
      <c r="AY154" s="10">
        <f t="shared" si="60"/>
        <v>-1.6713133161521878</v>
      </c>
      <c r="AZ154" s="10">
        <v>0.18110000000000001</v>
      </c>
      <c r="BA154" s="10">
        <v>7.2800000000000017E-2</v>
      </c>
      <c r="BB154" s="10">
        <v>-2.6200393237794963</v>
      </c>
      <c r="BC154" s="10">
        <v>0.18440000000000001</v>
      </c>
      <c r="BD154" s="10">
        <f t="shared" si="61"/>
        <v>0.18440000000000001</v>
      </c>
      <c r="BE154" s="10">
        <f t="shared" si="62"/>
        <v>-1.6906479678596436</v>
      </c>
      <c r="BF154" s="10">
        <v>0.23050000000000001</v>
      </c>
      <c r="BG154" s="10">
        <f t="shared" si="63"/>
        <v>0.23050000000000001</v>
      </c>
      <c r="BH154">
        <f t="shared" si="64"/>
        <v>-1.4675044165454338</v>
      </c>
      <c r="BI154" s="10">
        <v>0.1835</v>
      </c>
      <c r="BJ154" s="10">
        <v>7.8399999999999997E-2</v>
      </c>
      <c r="BK154" s="10">
        <v>-2.5459313516257751</v>
      </c>
      <c r="BL154" s="10">
        <v>0.2044</v>
      </c>
      <c r="BM154" s="10">
        <f t="shared" si="65"/>
        <v>0.2044</v>
      </c>
      <c r="BN154" s="10">
        <f t="shared" si="66"/>
        <v>-1.5876764206525877</v>
      </c>
      <c r="BO154" s="10">
        <v>0.24970000000000001</v>
      </c>
      <c r="BP154" s="10">
        <f t="shared" si="67"/>
        <v>0.24970000000000001</v>
      </c>
      <c r="BQ154" s="10">
        <f t="shared" si="68"/>
        <v>-1.3874950816964096</v>
      </c>
      <c r="BR154" s="10">
        <v>0.1666</v>
      </c>
      <c r="BS154" s="10">
        <v>5.8799999999999991E-2</v>
      </c>
      <c r="BT154" s="10">
        <v>-2.8336134240775559</v>
      </c>
      <c r="BU154" s="10">
        <v>0.20169999999999999</v>
      </c>
      <c r="BV154" s="10">
        <f t="shared" si="69"/>
        <v>0.20169999999999999</v>
      </c>
      <c r="BW154" s="10">
        <f t="shared" si="70"/>
        <v>-1.600973834021971</v>
      </c>
      <c r="BX154" s="10">
        <v>0.2298</v>
      </c>
      <c r="BY154" s="10">
        <f t="shared" si="71"/>
        <v>0.2298</v>
      </c>
      <c r="BZ154" s="10">
        <f t="shared" si="72"/>
        <v>-1.4705459135674817</v>
      </c>
      <c r="CA154" s="10"/>
    </row>
    <row r="155" spans="5:79" x14ac:dyDescent="0.2">
      <c r="E155" s="11">
        <v>2.6159794444444442</v>
      </c>
      <c r="F155" s="11"/>
      <c r="G155" s="11">
        <v>0.18540000000000001</v>
      </c>
      <c r="H155" s="11">
        <v>8.0200000000000007E-2</v>
      </c>
      <c r="I155" s="11">
        <v>-2.523231764109668</v>
      </c>
      <c r="J155" s="11">
        <v>0.1138</v>
      </c>
      <c r="K155" s="11">
        <f t="shared" si="42"/>
        <v>0.1138</v>
      </c>
      <c r="L155" s="11">
        <f t="shared" si="43"/>
        <v>-2.1733127572899065</v>
      </c>
      <c r="M155" s="11">
        <v>0.24579999999999999</v>
      </c>
      <c r="N155" s="11">
        <f t="shared" si="44"/>
        <v>0.24579999999999999</v>
      </c>
      <c r="O155" s="11">
        <f t="shared" si="45"/>
        <v>-1.4032370818502027</v>
      </c>
      <c r="P155" s="11">
        <v>0.1744</v>
      </c>
      <c r="Q155" s="11">
        <v>6.88E-2</v>
      </c>
      <c r="R155" s="11">
        <v>-2.6765515340428392</v>
      </c>
      <c r="S155" s="11">
        <v>0.18820000000000001</v>
      </c>
      <c r="T155" s="11">
        <f t="shared" si="41"/>
        <v>0.18820000000000001</v>
      </c>
      <c r="U155" s="11">
        <f t="shared" si="46"/>
        <v>-1.6702500518308578</v>
      </c>
      <c r="V155" s="11">
        <v>0.22700000000000001</v>
      </c>
      <c r="W155" s="11">
        <f t="shared" si="47"/>
        <v>0.22700000000000001</v>
      </c>
      <c r="X155" s="11">
        <f t="shared" si="48"/>
        <v>-1.4828052615007343</v>
      </c>
      <c r="Y155" s="11">
        <v>0.17799999999999999</v>
      </c>
      <c r="Z155" s="11">
        <v>7.2699999999999987E-2</v>
      </c>
      <c r="AA155" s="11">
        <v>-2.6214138944426635</v>
      </c>
      <c r="AB155" s="11">
        <v>0.18970000000000001</v>
      </c>
      <c r="AC155" s="11">
        <f t="shared" si="49"/>
        <v>0.18970000000000001</v>
      </c>
      <c r="AD155" s="11">
        <f t="shared" si="50"/>
        <v>-1.6623114020411685</v>
      </c>
      <c r="AE155" s="11">
        <v>0.2321</v>
      </c>
      <c r="AF155">
        <f t="shared" si="51"/>
        <v>0.2321</v>
      </c>
      <c r="AG155">
        <f t="shared" si="52"/>
        <v>-1.4605869657017456</v>
      </c>
      <c r="AH155" s="8">
        <v>0.18110000000000001</v>
      </c>
      <c r="AI155">
        <v>7.6100000000000015E-2</v>
      </c>
      <c r="AJ155">
        <v>-2.5757070141144967</v>
      </c>
      <c r="AK155" s="8">
        <v>0.20469999999999999</v>
      </c>
      <c r="AL155">
        <f t="shared" si="53"/>
        <v>0.20469999999999999</v>
      </c>
      <c r="AM155">
        <f t="shared" si="54"/>
        <v>-1.5862097863148932</v>
      </c>
      <c r="AN155" s="8">
        <v>0.23430000000000001</v>
      </c>
      <c r="AO155">
        <f t="shared" si="55"/>
        <v>0.23430000000000001</v>
      </c>
      <c r="AP155">
        <f t="shared" si="56"/>
        <v>-1.451152933468387</v>
      </c>
      <c r="AQ155" s="8">
        <v>0.1817</v>
      </c>
      <c r="AR155">
        <v>7.2300000000000003E-2</v>
      </c>
      <c r="AS155">
        <v>-2.6269311498174179</v>
      </c>
      <c r="AT155" s="8">
        <v>0.19839999999999999</v>
      </c>
      <c r="AU155">
        <f t="shared" si="57"/>
        <v>0.19839999999999999</v>
      </c>
      <c r="AV155">
        <f t="shared" si="58"/>
        <v>-1.6174700841313647</v>
      </c>
      <c r="AW155" s="8">
        <v>0.23350000000000001</v>
      </c>
      <c r="AX155">
        <f t="shared" si="59"/>
        <v>0.23350000000000001</v>
      </c>
      <c r="AY155">
        <f t="shared" si="60"/>
        <v>-1.454573201873185</v>
      </c>
      <c r="AZ155" s="8">
        <v>0.21479999999999999</v>
      </c>
      <c r="BA155">
        <v>0.1065</v>
      </c>
      <c r="BB155">
        <v>-2.2396102938326572</v>
      </c>
      <c r="BC155" s="8">
        <v>0.22370000000000001</v>
      </c>
      <c r="BD155">
        <f t="shared" si="61"/>
        <v>0.22370000000000001</v>
      </c>
      <c r="BE155">
        <f t="shared" si="62"/>
        <v>-1.4974494104860532</v>
      </c>
      <c r="BF155" s="8">
        <v>0.29470000000000002</v>
      </c>
      <c r="BG155">
        <f t="shared" si="63"/>
        <v>0.29470000000000002</v>
      </c>
      <c r="BH155">
        <f t="shared" si="64"/>
        <v>-1.2217973892384879</v>
      </c>
      <c r="BI155" s="8">
        <v>0.2276</v>
      </c>
      <c r="BJ155">
        <v>0.1225</v>
      </c>
      <c r="BK155">
        <v>-2.0996442489973552</v>
      </c>
      <c r="BL155" s="8">
        <v>0.26229999999999998</v>
      </c>
      <c r="BM155">
        <f t="shared" si="65"/>
        <v>0.26229999999999998</v>
      </c>
      <c r="BN155">
        <f t="shared" si="66"/>
        <v>-1.3382663921093092</v>
      </c>
      <c r="BO155" s="8">
        <v>0.31950000000000001</v>
      </c>
      <c r="BP155">
        <f t="shared" si="67"/>
        <v>0.31950000000000001</v>
      </c>
      <c r="BQ155">
        <f t="shared" si="68"/>
        <v>-1.1409980051645476</v>
      </c>
      <c r="BR155" s="8">
        <v>0.2087</v>
      </c>
      <c r="BS155">
        <v>0.10089999999999999</v>
      </c>
      <c r="BT155">
        <v>-2.2936253516225737</v>
      </c>
      <c r="BU155" s="8">
        <v>0.26100000000000001</v>
      </c>
      <c r="BV155">
        <f t="shared" si="69"/>
        <v>0.26100000000000001</v>
      </c>
      <c r="BW155">
        <f t="shared" si="70"/>
        <v>-1.3432348716594436</v>
      </c>
      <c r="BX155" s="8">
        <v>0.29930000000000001</v>
      </c>
      <c r="BY155">
        <f t="shared" si="71"/>
        <v>0.29930000000000001</v>
      </c>
      <c r="BZ155">
        <f t="shared" si="72"/>
        <v>-1.2063088641234838</v>
      </c>
    </row>
    <row r="156" spans="5:79" x14ac:dyDescent="0.2">
      <c r="E156">
        <v>2.8537316666666666</v>
      </c>
      <c r="G156" s="8">
        <v>0.22090000000000001</v>
      </c>
      <c r="H156">
        <v>0.11570000000000001</v>
      </c>
      <c r="I156">
        <v>-2.1567546447825059</v>
      </c>
      <c r="J156" s="8">
        <v>0.12180000000000001</v>
      </c>
      <c r="K156">
        <f t="shared" si="42"/>
        <v>0.12180000000000001</v>
      </c>
      <c r="L156">
        <f t="shared" si="43"/>
        <v>-2.1053749237063402</v>
      </c>
      <c r="M156" s="8">
        <v>0.2984</v>
      </c>
      <c r="N156">
        <f t="shared" si="44"/>
        <v>0.2984</v>
      </c>
      <c r="O156">
        <f t="shared" si="45"/>
        <v>-1.2093204106525313</v>
      </c>
      <c r="P156" s="8">
        <v>0.20280000000000001</v>
      </c>
      <c r="Q156">
        <v>9.7200000000000009E-2</v>
      </c>
      <c r="R156">
        <v>-2.3309845675157437</v>
      </c>
      <c r="S156" s="8">
        <v>0.23350000000000001</v>
      </c>
      <c r="T156">
        <f t="shared" si="41"/>
        <v>0.23350000000000001</v>
      </c>
      <c r="U156">
        <f t="shared" si="46"/>
        <v>-1.454573201873185</v>
      </c>
      <c r="V156" s="8">
        <v>0.29089999999999999</v>
      </c>
      <c r="W156">
        <f t="shared" si="47"/>
        <v>0.29089999999999999</v>
      </c>
      <c r="X156">
        <f t="shared" si="48"/>
        <v>-1.2347757134809811</v>
      </c>
      <c r="Y156" s="8">
        <v>0.20910000000000001</v>
      </c>
      <c r="Z156">
        <v>0.1038</v>
      </c>
      <c r="AA156">
        <v>-2.2652893082503489</v>
      </c>
      <c r="AB156" s="8">
        <v>0.23230000000000001</v>
      </c>
      <c r="AC156">
        <f t="shared" si="49"/>
        <v>0.23230000000000001</v>
      </c>
      <c r="AD156">
        <f t="shared" si="50"/>
        <v>-1.4597256392057736</v>
      </c>
      <c r="AE156" s="8">
        <v>0.29360000000000003</v>
      </c>
      <c r="AF156">
        <f t="shared" si="51"/>
        <v>0.29360000000000003</v>
      </c>
      <c r="AG156">
        <f t="shared" si="52"/>
        <v>-1.2255369822417765</v>
      </c>
      <c r="AH156" s="8">
        <v>0.21029999999999999</v>
      </c>
      <c r="AI156">
        <v>0.10529999999999999</v>
      </c>
      <c r="AJ156">
        <v>-2.2509418598422073</v>
      </c>
      <c r="AK156" s="8">
        <v>0.24990000000000001</v>
      </c>
      <c r="AL156">
        <f t="shared" si="53"/>
        <v>0.24990000000000001</v>
      </c>
      <c r="AM156">
        <f t="shared" si="54"/>
        <v>-1.3866944411412303</v>
      </c>
      <c r="AN156" s="8">
        <v>0.29659999999999997</v>
      </c>
      <c r="AO156">
        <f t="shared" si="55"/>
        <v>0.29659999999999997</v>
      </c>
      <c r="AP156">
        <f t="shared" si="56"/>
        <v>-1.2153708492783055</v>
      </c>
      <c r="AQ156" s="8">
        <v>0.2089</v>
      </c>
      <c r="AR156">
        <v>9.9500000000000005E-2</v>
      </c>
      <c r="AS156">
        <v>-2.3075976348175899</v>
      </c>
      <c r="AT156" s="8">
        <v>0.23630000000000001</v>
      </c>
      <c r="AU156">
        <f t="shared" si="57"/>
        <v>0.23630000000000001</v>
      </c>
      <c r="AV156">
        <f t="shared" si="58"/>
        <v>-1.4426530947892748</v>
      </c>
      <c r="AW156" s="8">
        <v>0.29260000000000003</v>
      </c>
      <c r="AX156">
        <f t="shared" si="59"/>
        <v>0.29260000000000003</v>
      </c>
      <c r="AY156">
        <f t="shared" si="60"/>
        <v>-1.2289487903961129</v>
      </c>
      <c r="AZ156" s="8">
        <v>0.25240000000000001</v>
      </c>
      <c r="BA156">
        <v>0.14410000000000001</v>
      </c>
      <c r="BB156">
        <v>-1.9372477759766606</v>
      </c>
      <c r="BC156" s="8">
        <v>0.2702</v>
      </c>
      <c r="BD156">
        <f t="shared" si="61"/>
        <v>0.2702</v>
      </c>
      <c r="BE156">
        <f t="shared" si="62"/>
        <v>-1.3085928534560385</v>
      </c>
      <c r="BF156" s="8">
        <v>0.3301</v>
      </c>
      <c r="BG156">
        <f t="shared" si="63"/>
        <v>0.3301</v>
      </c>
      <c r="BH156">
        <f t="shared" si="64"/>
        <v>-1.1083596401229898</v>
      </c>
      <c r="BI156" s="8">
        <v>0.26240000000000002</v>
      </c>
      <c r="BJ156">
        <v>0.15730000000000002</v>
      </c>
      <c r="BK156">
        <v>-1.8496004689179049</v>
      </c>
      <c r="BL156" s="8">
        <v>0.3039</v>
      </c>
      <c r="BM156">
        <f t="shared" si="65"/>
        <v>0.3039</v>
      </c>
      <c r="BN156">
        <f t="shared" si="66"/>
        <v>-1.1910565790593897</v>
      </c>
      <c r="BO156" s="8">
        <v>0.35189999999999999</v>
      </c>
      <c r="BP156">
        <f t="shared" si="67"/>
        <v>0.35189999999999999</v>
      </c>
      <c r="BQ156">
        <f t="shared" si="68"/>
        <v>-1.0444082346545975</v>
      </c>
      <c r="BR156" s="8">
        <v>0.2414</v>
      </c>
      <c r="BS156">
        <v>0.1336</v>
      </c>
      <c r="BT156">
        <v>-2.0129050178795915</v>
      </c>
      <c r="BU156" s="8">
        <v>0.30499999999999999</v>
      </c>
      <c r="BV156">
        <f t="shared" si="69"/>
        <v>0.30499999999999999</v>
      </c>
      <c r="BW156">
        <f t="shared" si="70"/>
        <v>-1.1874435023747254</v>
      </c>
      <c r="BX156" s="8">
        <v>0.35270000000000001</v>
      </c>
      <c r="BY156">
        <f t="shared" si="71"/>
        <v>0.35270000000000001</v>
      </c>
      <c r="BZ156">
        <f t="shared" si="72"/>
        <v>-1.0421374417401308</v>
      </c>
    </row>
    <row r="157" spans="5:79" x14ac:dyDescent="0.2">
      <c r="E157">
        <v>3.0915727777777779</v>
      </c>
      <c r="G157" s="8">
        <v>0.28489999999999999</v>
      </c>
      <c r="H157">
        <v>0.17969999999999997</v>
      </c>
      <c r="I157">
        <v>-1.7164664851926239</v>
      </c>
      <c r="J157" s="8">
        <v>0.13450000000000001</v>
      </c>
      <c r="K157">
        <f t="shared" si="42"/>
        <v>0.13450000000000001</v>
      </c>
      <c r="L157">
        <f t="shared" si="43"/>
        <v>-2.0061910799402431</v>
      </c>
      <c r="M157" s="8">
        <v>0.36659999999999998</v>
      </c>
      <c r="N157">
        <f t="shared" si="44"/>
        <v>0.36659999999999998</v>
      </c>
      <c r="O157">
        <f t="shared" si="45"/>
        <v>-1.0034839435765324</v>
      </c>
      <c r="P157" s="8">
        <v>0.25419999999999998</v>
      </c>
      <c r="Q157">
        <v>0.14859999999999998</v>
      </c>
      <c r="R157">
        <v>-1.9064971466984784</v>
      </c>
      <c r="S157" s="8">
        <v>0.30299999999999999</v>
      </c>
      <c r="T157">
        <f t="shared" si="41"/>
        <v>0.30299999999999999</v>
      </c>
      <c r="U157">
        <f t="shared" si="46"/>
        <v>-1.194022473472768</v>
      </c>
      <c r="V157" s="8">
        <v>0.34699999999999998</v>
      </c>
      <c r="W157">
        <f t="shared" si="47"/>
        <v>0.34699999999999998</v>
      </c>
      <c r="X157">
        <f t="shared" si="48"/>
        <v>-1.058430499035278</v>
      </c>
      <c r="Y157" s="8">
        <v>0.25829999999999997</v>
      </c>
      <c r="Z157">
        <v>0.15299999999999997</v>
      </c>
      <c r="AA157">
        <v>-1.8773173575897018</v>
      </c>
      <c r="AB157" s="8">
        <v>0.30280000000000001</v>
      </c>
      <c r="AC157">
        <f t="shared" si="49"/>
        <v>0.30280000000000001</v>
      </c>
      <c r="AD157">
        <f t="shared" si="50"/>
        <v>-1.1946827574188432</v>
      </c>
      <c r="AE157" s="8">
        <v>0.3422</v>
      </c>
      <c r="AF157">
        <f t="shared" si="51"/>
        <v>0.3422</v>
      </c>
      <c r="AG157">
        <f t="shared" si="52"/>
        <v>-1.0723599175240439</v>
      </c>
      <c r="AH157" s="8">
        <v>0.26090000000000002</v>
      </c>
      <c r="AI157">
        <v>0.15590000000000004</v>
      </c>
      <c r="AJ157">
        <v>-1.8585405029184059</v>
      </c>
      <c r="AK157" s="8">
        <v>0.31540000000000001</v>
      </c>
      <c r="AL157">
        <f t="shared" si="53"/>
        <v>0.31540000000000001</v>
      </c>
      <c r="AM157">
        <f t="shared" si="54"/>
        <v>-1.153913604453199</v>
      </c>
      <c r="AN157" s="8">
        <v>0.34179999999999999</v>
      </c>
      <c r="AO157">
        <f t="shared" si="55"/>
        <v>0.34179999999999999</v>
      </c>
      <c r="AP157">
        <f t="shared" si="56"/>
        <v>-1.0735295083006466</v>
      </c>
      <c r="AQ157" s="8">
        <v>0.2631</v>
      </c>
      <c r="AR157">
        <v>0.1537</v>
      </c>
      <c r="AS157">
        <v>-1.8727526284375868</v>
      </c>
      <c r="AT157" s="8">
        <v>0.30530000000000002</v>
      </c>
      <c r="AU157">
        <f t="shared" si="57"/>
        <v>0.30530000000000002</v>
      </c>
      <c r="AV157">
        <f t="shared" si="58"/>
        <v>-1.1864603792413049</v>
      </c>
      <c r="AW157" s="8">
        <v>0.33739999999999998</v>
      </c>
      <c r="AX157">
        <f t="shared" si="59"/>
        <v>0.33739999999999998</v>
      </c>
      <c r="AY157">
        <f t="shared" si="60"/>
        <v>-1.0864861088702691</v>
      </c>
      <c r="AZ157" s="8">
        <v>0.30740000000000001</v>
      </c>
      <c r="BA157">
        <v>0.1991</v>
      </c>
      <c r="BB157">
        <v>-1.6139480679119864</v>
      </c>
      <c r="BC157" s="8">
        <v>0.32219999999999999</v>
      </c>
      <c r="BD157">
        <f t="shared" si="61"/>
        <v>0.32219999999999999</v>
      </c>
      <c r="BE157">
        <f t="shared" si="62"/>
        <v>-1.1325828082392631</v>
      </c>
      <c r="BF157" s="8">
        <v>0.39450000000000002</v>
      </c>
      <c r="BG157">
        <f t="shared" si="63"/>
        <v>0.39450000000000002</v>
      </c>
      <c r="BH157">
        <f t="shared" si="64"/>
        <v>-0.93013613869620804</v>
      </c>
      <c r="BI157" s="8">
        <v>0.34300000000000003</v>
      </c>
      <c r="BJ157">
        <v>0.23790000000000003</v>
      </c>
      <c r="BK157">
        <v>-1.4359048616732248</v>
      </c>
      <c r="BL157" s="8">
        <v>0.35820000000000002</v>
      </c>
      <c r="BM157">
        <f t="shared" si="65"/>
        <v>0.35820000000000002</v>
      </c>
      <c r="BN157">
        <f t="shared" si="66"/>
        <v>-1.0266637893555255</v>
      </c>
      <c r="BO157" s="8">
        <v>0.4279</v>
      </c>
      <c r="BP157">
        <f t="shared" si="67"/>
        <v>0.4279</v>
      </c>
      <c r="BQ157">
        <f t="shared" si="68"/>
        <v>-0.84886575555936594</v>
      </c>
      <c r="BR157" s="8">
        <v>0.3286</v>
      </c>
      <c r="BS157">
        <v>0.2208</v>
      </c>
      <c r="BT157">
        <v>-1.5104979645791967</v>
      </c>
      <c r="BU157" s="8">
        <v>0.3715</v>
      </c>
      <c r="BV157">
        <f t="shared" si="69"/>
        <v>0.3715</v>
      </c>
      <c r="BW157">
        <f t="shared" si="70"/>
        <v>-0.99020641482432326</v>
      </c>
      <c r="BX157" s="8">
        <v>0.43640000000000001</v>
      </c>
      <c r="BY157">
        <f t="shared" si="71"/>
        <v>0.43640000000000001</v>
      </c>
      <c r="BZ157">
        <f t="shared" si="72"/>
        <v>-0.82919602502322132</v>
      </c>
    </row>
    <row r="158" spans="5:79" x14ac:dyDescent="0.2">
      <c r="E158" s="10">
        <v>3.3293372222222222</v>
      </c>
      <c r="F158" s="10"/>
      <c r="G158" s="10">
        <v>0.309</v>
      </c>
      <c r="H158" s="10">
        <v>0.20379999999999998</v>
      </c>
      <c r="I158" s="10">
        <v>-1.5906161581935128</v>
      </c>
      <c r="J158" s="10">
        <v>0.14760000000000001</v>
      </c>
      <c r="K158" s="10">
        <f t="shared" si="42"/>
        <v>0.14760000000000001</v>
      </c>
      <c r="L158" s="10">
        <f t="shared" si="43"/>
        <v>-1.9132493668157649</v>
      </c>
      <c r="M158" s="10">
        <v>0.41860000000000003</v>
      </c>
      <c r="N158" s="10">
        <f t="shared" si="44"/>
        <v>0.41860000000000003</v>
      </c>
      <c r="O158" s="10">
        <f t="shared" si="45"/>
        <v>-0.87083946897023767</v>
      </c>
      <c r="P158" s="10">
        <v>0.29820000000000002</v>
      </c>
      <c r="Q158" s="10">
        <v>0.19260000000000002</v>
      </c>
      <c r="R158" s="10">
        <v>-1.6471397796181118</v>
      </c>
      <c r="S158" s="10">
        <v>0.32869999999999999</v>
      </c>
      <c r="T158" s="10">
        <f t="shared" si="41"/>
        <v>0.32869999999999999</v>
      </c>
      <c r="U158" s="10">
        <f t="shared" si="46"/>
        <v>-1.1126097983119634</v>
      </c>
      <c r="V158" s="10">
        <v>0.38729999999999998</v>
      </c>
      <c r="W158" s="10">
        <f t="shared" si="47"/>
        <v>0.38729999999999998</v>
      </c>
      <c r="X158" s="10">
        <f t="shared" si="48"/>
        <v>-0.94855569246143057</v>
      </c>
      <c r="Y158" s="10">
        <v>0.29859999999999998</v>
      </c>
      <c r="Z158" s="10">
        <v>0.19329999999999997</v>
      </c>
      <c r="AA158" s="10">
        <v>-1.643511892767852</v>
      </c>
      <c r="AB158" s="10">
        <v>0.32679999999999998</v>
      </c>
      <c r="AC158" s="10">
        <f t="shared" si="49"/>
        <v>0.32679999999999998</v>
      </c>
      <c r="AD158" s="10">
        <f t="shared" si="50"/>
        <v>-1.1184069159962893</v>
      </c>
      <c r="AE158" s="10">
        <v>0.3896</v>
      </c>
      <c r="AF158" s="10">
        <f t="shared" si="51"/>
        <v>0.3896</v>
      </c>
      <c r="AG158" s="10">
        <f t="shared" si="52"/>
        <v>-0.94263470721375697</v>
      </c>
      <c r="AH158" s="10">
        <v>0.29799999999999999</v>
      </c>
      <c r="AI158" s="10">
        <v>0.193</v>
      </c>
      <c r="AJ158" s="10">
        <v>-1.6450650900772514</v>
      </c>
      <c r="AK158" s="10">
        <v>0.33579999999999999</v>
      </c>
      <c r="AL158" s="10">
        <f t="shared" si="53"/>
        <v>0.33579999999999999</v>
      </c>
      <c r="AM158" s="10">
        <f t="shared" si="54"/>
        <v>-1.0912395343386967</v>
      </c>
      <c r="AN158" s="10">
        <v>0.38679999999999998</v>
      </c>
      <c r="AO158" s="10">
        <f t="shared" si="55"/>
        <v>0.38679999999999998</v>
      </c>
      <c r="AP158" s="10">
        <f t="shared" si="56"/>
        <v>-0.94984751540299783</v>
      </c>
      <c r="AQ158" s="10">
        <v>0.30349999999999999</v>
      </c>
      <c r="AR158" s="10">
        <v>0.19409999999999999</v>
      </c>
      <c r="AS158" s="10">
        <v>-1.6393817888071724</v>
      </c>
      <c r="AT158" s="10">
        <v>0.32350000000000001</v>
      </c>
      <c r="AU158" s="10">
        <f t="shared" si="57"/>
        <v>0.32350000000000001</v>
      </c>
      <c r="AV158" s="10">
        <f t="shared" si="58"/>
        <v>-1.1285561650411817</v>
      </c>
      <c r="AW158" s="10">
        <v>0.38329999999999997</v>
      </c>
      <c r="AX158" s="10">
        <f t="shared" si="59"/>
        <v>0.38329999999999997</v>
      </c>
      <c r="AY158" s="10">
        <f t="shared" si="60"/>
        <v>-0.9589373065956277</v>
      </c>
      <c r="AZ158" s="10">
        <v>0.32119999999999999</v>
      </c>
      <c r="BA158" s="10">
        <v>0.21289999999999998</v>
      </c>
      <c r="BB158" s="10">
        <v>-1.5469327070827035</v>
      </c>
      <c r="BC158" s="10">
        <v>0.34810000000000002</v>
      </c>
      <c r="BD158" s="10">
        <f t="shared" si="61"/>
        <v>0.34810000000000002</v>
      </c>
      <c r="BE158" s="10">
        <f t="shared" si="62"/>
        <v>-1.0552654841647438</v>
      </c>
      <c r="BF158" s="10">
        <v>0.4541</v>
      </c>
      <c r="BG158" s="10">
        <f t="shared" si="63"/>
        <v>0.4541</v>
      </c>
      <c r="BH158">
        <f t="shared" si="64"/>
        <v>-0.78943784087823166</v>
      </c>
      <c r="BI158" s="10">
        <v>0.35630000000000001</v>
      </c>
      <c r="BJ158" s="10">
        <v>0.25119999999999998</v>
      </c>
      <c r="BK158" s="10">
        <v>-1.3815058443880934</v>
      </c>
      <c r="BL158" s="10">
        <v>0.4148</v>
      </c>
      <c r="BM158" s="10">
        <f t="shared" si="65"/>
        <v>0.4148</v>
      </c>
      <c r="BN158" s="10">
        <f t="shared" si="66"/>
        <v>-0.87995880262676474</v>
      </c>
      <c r="BO158" s="10">
        <v>0.49969999999999998</v>
      </c>
      <c r="BP158" s="10">
        <f t="shared" si="67"/>
        <v>0.49969999999999998</v>
      </c>
      <c r="BQ158" s="10">
        <f t="shared" si="68"/>
        <v>-0.69374736063197773</v>
      </c>
      <c r="BR158" s="10">
        <v>0.37830000000000003</v>
      </c>
      <c r="BS158" s="10">
        <v>0.27050000000000002</v>
      </c>
      <c r="BT158" s="10">
        <v>-1.3074831806956009</v>
      </c>
      <c r="BU158" s="10">
        <v>0.437</v>
      </c>
      <c r="BV158" s="10">
        <f t="shared" si="69"/>
        <v>0.437</v>
      </c>
      <c r="BW158" s="10">
        <f t="shared" si="70"/>
        <v>-0.82782208388654688</v>
      </c>
      <c r="BX158" s="10">
        <v>0.52139999999999997</v>
      </c>
      <c r="BY158" s="10">
        <f t="shared" si="71"/>
        <v>0.52139999999999997</v>
      </c>
      <c r="BZ158" s="10">
        <f t="shared" si="72"/>
        <v>-0.6512377774827357</v>
      </c>
    </row>
    <row r="159" spans="5:79" x14ac:dyDescent="0.2">
      <c r="E159" s="10">
        <v>3.5670933333333332</v>
      </c>
      <c r="F159" s="10"/>
      <c r="G159" s="10">
        <v>0.32529999999999998</v>
      </c>
      <c r="H159" s="10">
        <v>0.22009999999999996</v>
      </c>
      <c r="I159" s="10">
        <v>-1.5136732904497212</v>
      </c>
      <c r="J159" s="10">
        <v>0.16250000000000001</v>
      </c>
      <c r="K159" s="10">
        <f t="shared" si="42"/>
        <v>0.16250000000000001</v>
      </c>
      <c r="L159" s="10">
        <f t="shared" si="43"/>
        <v>-1.8170772772123449</v>
      </c>
      <c r="M159" s="10">
        <v>0.4304</v>
      </c>
      <c r="N159" s="10">
        <f t="shared" si="44"/>
        <v>0.4304</v>
      </c>
      <c r="O159" s="10">
        <f t="shared" si="45"/>
        <v>-0.8430402701345624</v>
      </c>
      <c r="P159" s="10">
        <v>0.29580000000000001</v>
      </c>
      <c r="Q159" s="10">
        <v>0.19020000000000001</v>
      </c>
      <c r="R159" s="10">
        <v>-1.659679128870847</v>
      </c>
      <c r="S159" s="10">
        <v>0.34970000000000001</v>
      </c>
      <c r="T159" s="10">
        <f t="shared" si="41"/>
        <v>0.34970000000000001</v>
      </c>
      <c r="U159" s="10">
        <f t="shared" si="46"/>
        <v>-1.0506796349128069</v>
      </c>
      <c r="V159" s="10">
        <v>0.42020000000000002</v>
      </c>
      <c r="W159" s="10">
        <f t="shared" si="47"/>
        <v>0.42020000000000002</v>
      </c>
      <c r="X159" s="10">
        <f t="shared" si="48"/>
        <v>-0.86702449057123698</v>
      </c>
      <c r="Y159" s="10">
        <v>0.29459999999999997</v>
      </c>
      <c r="Z159" s="10">
        <v>0.18929999999999997</v>
      </c>
      <c r="AA159" s="10">
        <v>-1.66442222076686</v>
      </c>
      <c r="AB159" s="10">
        <v>0.34520000000000001</v>
      </c>
      <c r="AC159" s="10">
        <f t="shared" si="49"/>
        <v>0.34520000000000001</v>
      </c>
      <c r="AD159" s="10">
        <f t="shared" si="50"/>
        <v>-1.0636313197728642</v>
      </c>
      <c r="AE159" s="10">
        <v>0.41299999999999998</v>
      </c>
      <c r="AF159" s="10">
        <f t="shared" si="51"/>
        <v>0.41299999999999998</v>
      </c>
      <c r="AG159" s="10">
        <f t="shared" si="52"/>
        <v>-0.88430768602110432</v>
      </c>
      <c r="AH159" s="10">
        <v>0.30559999999999998</v>
      </c>
      <c r="AI159" s="10">
        <v>0.2006</v>
      </c>
      <c r="AJ159" s="10">
        <v>-1.6064424034543019</v>
      </c>
      <c r="AK159" s="10">
        <v>0.35320000000000001</v>
      </c>
      <c r="AL159" s="10">
        <f t="shared" si="53"/>
        <v>0.35320000000000001</v>
      </c>
      <c r="AM159" s="10">
        <f t="shared" si="54"/>
        <v>-1.040720810252332</v>
      </c>
      <c r="AN159" s="10">
        <v>0.41399999999999998</v>
      </c>
      <c r="AO159" s="10">
        <f t="shared" si="55"/>
        <v>0.41399999999999998</v>
      </c>
      <c r="AP159" s="10">
        <f t="shared" si="56"/>
        <v>-0.88188930515682273</v>
      </c>
      <c r="AQ159" s="10">
        <v>0.31059999999999999</v>
      </c>
      <c r="AR159" s="10">
        <v>0.20119999999999999</v>
      </c>
      <c r="AS159" s="10">
        <v>-1.6034558407565529</v>
      </c>
      <c r="AT159" s="10">
        <v>0.33829999999999999</v>
      </c>
      <c r="AU159" s="10">
        <f t="shared" si="57"/>
        <v>0.33829999999999999</v>
      </c>
      <c r="AV159" s="10">
        <f t="shared" si="58"/>
        <v>-1.0838222031954743</v>
      </c>
      <c r="AW159" s="10">
        <v>0.41049999999999998</v>
      </c>
      <c r="AX159" s="10">
        <f t="shared" si="59"/>
        <v>0.41049999999999998</v>
      </c>
      <c r="AY159" s="10">
        <f t="shared" si="60"/>
        <v>-0.89037935008965419</v>
      </c>
      <c r="AZ159" s="10">
        <v>0.3342</v>
      </c>
      <c r="BA159" s="10">
        <v>0.22589999999999999</v>
      </c>
      <c r="BB159" s="10">
        <v>-1.4876628555081794</v>
      </c>
      <c r="BC159" s="10">
        <v>0.36509999999999998</v>
      </c>
      <c r="BD159" s="10">
        <f t="shared" si="61"/>
        <v>0.36509999999999998</v>
      </c>
      <c r="BE159" s="10">
        <f t="shared" si="62"/>
        <v>-1.0075839903205459</v>
      </c>
      <c r="BF159" s="10">
        <v>0.48920000000000002</v>
      </c>
      <c r="BG159" s="10">
        <f t="shared" si="63"/>
        <v>0.48920000000000002</v>
      </c>
      <c r="BH159">
        <f t="shared" si="64"/>
        <v>-0.71498387516911976</v>
      </c>
      <c r="BI159" s="10">
        <v>0.35520000000000002</v>
      </c>
      <c r="BJ159" s="10">
        <v>0.25009999999999999</v>
      </c>
      <c r="BK159" s="10">
        <v>-1.3858944410985636</v>
      </c>
      <c r="BL159" s="10">
        <v>0.44379999999999997</v>
      </c>
      <c r="BM159" s="10">
        <f t="shared" si="65"/>
        <v>0.44379999999999997</v>
      </c>
      <c r="BN159" s="10">
        <f t="shared" si="66"/>
        <v>-0.81238126848364356</v>
      </c>
      <c r="BO159" s="10">
        <v>0.53979999999999995</v>
      </c>
      <c r="BP159" s="10">
        <f t="shared" si="67"/>
        <v>0.53979999999999995</v>
      </c>
      <c r="BQ159" s="10">
        <f t="shared" si="68"/>
        <v>-0.61655657839823286</v>
      </c>
      <c r="BR159" s="10">
        <v>0.36709999999999998</v>
      </c>
      <c r="BS159" s="10">
        <v>0.25929999999999997</v>
      </c>
      <c r="BT159" s="10">
        <v>-1.3497695864375185</v>
      </c>
      <c r="BU159" s="10">
        <v>0.47089999999999999</v>
      </c>
      <c r="BV159" s="10">
        <f t="shared" si="69"/>
        <v>0.47089999999999999</v>
      </c>
      <c r="BW159" s="10">
        <f t="shared" si="70"/>
        <v>-0.75310952173262824</v>
      </c>
      <c r="BX159" s="10">
        <v>0.58450000000000002</v>
      </c>
      <c r="BY159" s="10">
        <f t="shared" si="71"/>
        <v>0.58450000000000002</v>
      </c>
      <c r="BZ159" s="10">
        <f t="shared" si="72"/>
        <v>-0.53699849807001387</v>
      </c>
    </row>
    <row r="160" spans="5:79" x14ac:dyDescent="0.2">
      <c r="E160" s="11">
        <v>3.8049416666666671</v>
      </c>
      <c r="F160" s="11"/>
      <c r="G160" s="11">
        <v>0.3664</v>
      </c>
      <c r="H160" s="11">
        <v>0.26119999999999999</v>
      </c>
      <c r="I160" s="11">
        <v>-1.3424688815798611</v>
      </c>
      <c r="J160" s="11">
        <v>0.19109999999999999</v>
      </c>
      <c r="K160" s="11">
        <f t="shared" si="42"/>
        <v>0.19109999999999999</v>
      </c>
      <c r="L160" s="11">
        <f t="shared" si="43"/>
        <v>-1.6549584277359097</v>
      </c>
      <c r="M160" s="11">
        <v>0.51419999999999999</v>
      </c>
      <c r="N160" s="11">
        <f t="shared" si="44"/>
        <v>0.51419999999999999</v>
      </c>
      <c r="O160" s="11">
        <f t="shared" si="45"/>
        <v>-0.665142984150348</v>
      </c>
      <c r="P160" s="8">
        <v>0.33729999999999999</v>
      </c>
      <c r="Q160">
        <v>0.23169999999999999</v>
      </c>
      <c r="R160">
        <v>-1.4623118475438066</v>
      </c>
      <c r="S160" s="8">
        <v>0.39129999999999998</v>
      </c>
      <c r="T160">
        <f t="shared" si="41"/>
        <v>0.39129999999999998</v>
      </c>
      <c r="U160">
        <f t="shared" si="46"/>
        <v>-0.93828074976577036</v>
      </c>
      <c r="V160" s="8">
        <v>0.47010000000000002</v>
      </c>
      <c r="W160">
        <f t="shared" si="47"/>
        <v>0.47010000000000002</v>
      </c>
      <c r="X160">
        <f t="shared" si="48"/>
        <v>-0.75480984095205217</v>
      </c>
      <c r="Y160" s="8">
        <v>0.32679999999999998</v>
      </c>
      <c r="Z160">
        <v>0.22149999999999997</v>
      </c>
      <c r="AA160">
        <v>-1.5073326894969468</v>
      </c>
      <c r="AB160" s="8">
        <v>0.38159999999999999</v>
      </c>
      <c r="AC160">
        <f t="shared" si="49"/>
        <v>0.38159999999999999</v>
      </c>
      <c r="AD160">
        <f t="shared" si="50"/>
        <v>-0.96338233940800555</v>
      </c>
      <c r="AE160" s="8">
        <v>0.47</v>
      </c>
      <c r="AF160">
        <f t="shared" si="51"/>
        <v>0.47</v>
      </c>
      <c r="AG160">
        <f t="shared" si="52"/>
        <v>-0.75502258427803282</v>
      </c>
      <c r="AH160" s="8">
        <v>0.3291</v>
      </c>
      <c r="AI160">
        <v>0.22410000000000002</v>
      </c>
      <c r="AJ160">
        <v>-1.4956628981752556</v>
      </c>
      <c r="AK160" s="8">
        <v>0.39240000000000003</v>
      </c>
      <c r="AL160">
        <f t="shared" si="53"/>
        <v>0.39240000000000003</v>
      </c>
      <c r="AM160">
        <f t="shared" si="54"/>
        <v>-0.93547355129092902</v>
      </c>
      <c r="AN160" s="8">
        <v>0.46260000000000001</v>
      </c>
      <c r="AO160">
        <f t="shared" si="55"/>
        <v>0.46260000000000001</v>
      </c>
      <c r="AP160">
        <f t="shared" si="56"/>
        <v>-0.77089252918479823</v>
      </c>
      <c r="AQ160" s="8">
        <v>0.32600000000000001</v>
      </c>
      <c r="AR160">
        <v>0.21660000000000001</v>
      </c>
      <c r="AS160">
        <v>-1.5297029444152468</v>
      </c>
      <c r="AT160" s="8">
        <v>0.37469999999999998</v>
      </c>
      <c r="AU160">
        <f t="shared" si="57"/>
        <v>0.37469999999999998</v>
      </c>
      <c r="AV160">
        <f t="shared" si="58"/>
        <v>-0.98162957318249544</v>
      </c>
      <c r="AW160" s="8">
        <v>0.45939999999999998</v>
      </c>
      <c r="AX160">
        <f t="shared" si="59"/>
        <v>0.45939999999999998</v>
      </c>
      <c r="AY160">
        <f t="shared" si="60"/>
        <v>-0.77783398872713927</v>
      </c>
      <c r="AZ160" s="8">
        <v>0.36049999999999999</v>
      </c>
      <c r="BA160">
        <v>0.25219999999999998</v>
      </c>
      <c r="BB160">
        <v>-1.377532855451318</v>
      </c>
      <c r="BC160" s="8">
        <v>0.40360000000000001</v>
      </c>
      <c r="BD160">
        <f t="shared" si="61"/>
        <v>0.40360000000000001</v>
      </c>
      <c r="BE160">
        <f t="shared" si="62"/>
        <v>-0.90733099050268318</v>
      </c>
      <c r="BF160" s="8">
        <v>0.52210000000000001</v>
      </c>
      <c r="BG160">
        <f t="shared" si="63"/>
        <v>0.52210000000000001</v>
      </c>
      <c r="BH160">
        <f t="shared" si="64"/>
        <v>-0.64989613856563033</v>
      </c>
      <c r="BI160" s="8">
        <v>0.39190000000000003</v>
      </c>
      <c r="BJ160">
        <v>0.28680000000000005</v>
      </c>
      <c r="BK160">
        <v>-1.2489701702566716</v>
      </c>
      <c r="BL160" s="8">
        <v>0.47689999999999999</v>
      </c>
      <c r="BM160">
        <f t="shared" si="65"/>
        <v>0.47689999999999999</v>
      </c>
      <c r="BN160">
        <f t="shared" si="66"/>
        <v>-0.74044845367795842</v>
      </c>
      <c r="BO160" s="8">
        <v>0.56910000000000005</v>
      </c>
      <c r="BP160">
        <f t="shared" si="67"/>
        <v>0.56910000000000005</v>
      </c>
      <c r="BQ160">
        <f t="shared" si="68"/>
        <v>-0.56369911337305878</v>
      </c>
      <c r="BR160" s="8">
        <v>0.41010000000000002</v>
      </c>
      <c r="BS160">
        <v>0.30230000000000001</v>
      </c>
      <c r="BT160">
        <v>-1.1963353771967247</v>
      </c>
      <c r="BU160" s="8">
        <v>0.50360000000000005</v>
      </c>
      <c r="BV160">
        <f t="shared" si="69"/>
        <v>0.50360000000000005</v>
      </c>
      <c r="BW160">
        <f t="shared" si="70"/>
        <v>-0.6859729768119448</v>
      </c>
      <c r="BX160" s="8">
        <v>0.60109999999999997</v>
      </c>
      <c r="BY160">
        <f t="shared" si="71"/>
        <v>0.60109999999999997</v>
      </c>
      <c r="BZ160">
        <f t="shared" si="72"/>
        <v>-0.50899396893702076</v>
      </c>
    </row>
    <row r="161" spans="5:78" x14ac:dyDescent="0.2">
      <c r="E161" s="11">
        <v>4.0427038888888891</v>
      </c>
      <c r="F161" s="11"/>
      <c r="G161" s="11">
        <v>0.41210000000000002</v>
      </c>
      <c r="H161" s="11">
        <v>0.30690000000000001</v>
      </c>
      <c r="I161" s="11">
        <v>-1.1812333173564464</v>
      </c>
      <c r="J161" s="11">
        <v>0.2266</v>
      </c>
      <c r="K161" s="11">
        <f t="shared" si="42"/>
        <v>0.2266</v>
      </c>
      <c r="L161" s="11">
        <f t="shared" si="43"/>
        <v>-1.4845689303882312</v>
      </c>
      <c r="M161" s="11">
        <v>0.58819999999999995</v>
      </c>
      <c r="N161" s="11">
        <f t="shared" si="44"/>
        <v>0.58819999999999995</v>
      </c>
      <c r="O161" s="11">
        <f t="shared" si="45"/>
        <v>-0.53068825286224253</v>
      </c>
      <c r="P161" s="8">
        <v>0.38009999999999999</v>
      </c>
      <c r="Q161">
        <v>0.27449999999999997</v>
      </c>
      <c r="R161">
        <v>-1.292804018032552</v>
      </c>
      <c r="S161" s="8">
        <v>0.4481</v>
      </c>
      <c r="T161">
        <f t="shared" si="41"/>
        <v>0.4481</v>
      </c>
      <c r="U161">
        <f t="shared" si="46"/>
        <v>-0.80273885719003968</v>
      </c>
      <c r="V161" s="8">
        <v>0.52900000000000003</v>
      </c>
      <c r="W161">
        <f t="shared" si="47"/>
        <v>0.52900000000000003</v>
      </c>
      <c r="X161">
        <f t="shared" si="48"/>
        <v>-0.63676684712383758</v>
      </c>
      <c r="Y161" s="8">
        <v>0.36359999999999998</v>
      </c>
      <c r="Z161">
        <v>0.25829999999999997</v>
      </c>
      <c r="AA161">
        <v>-1.3536335788803424</v>
      </c>
      <c r="AB161" s="8">
        <v>0.43419999999999997</v>
      </c>
      <c r="AC161">
        <f t="shared" si="49"/>
        <v>0.43419999999999997</v>
      </c>
      <c r="AD161">
        <f t="shared" si="50"/>
        <v>-0.8342500215379457</v>
      </c>
      <c r="AE161" s="8">
        <v>0.52100000000000002</v>
      </c>
      <c r="AF161">
        <f t="shared" si="51"/>
        <v>0.52100000000000002</v>
      </c>
      <c r="AG161">
        <f t="shared" si="52"/>
        <v>-0.65200523722877013</v>
      </c>
      <c r="AH161" s="8">
        <v>0.36280000000000001</v>
      </c>
      <c r="AI161">
        <v>0.25780000000000003</v>
      </c>
      <c r="AJ161">
        <v>-1.3555711884770498</v>
      </c>
      <c r="AK161" s="8">
        <v>0.43859999999999999</v>
      </c>
      <c r="AL161">
        <f t="shared" si="53"/>
        <v>0.43859999999999999</v>
      </c>
      <c r="AM161">
        <f t="shared" si="54"/>
        <v>-0.82416744299834921</v>
      </c>
      <c r="AN161" s="8">
        <v>0.51419999999999999</v>
      </c>
      <c r="AO161">
        <f t="shared" si="55"/>
        <v>0.51419999999999999</v>
      </c>
      <c r="AP161">
        <f t="shared" si="56"/>
        <v>-0.665142984150348</v>
      </c>
      <c r="AQ161" s="8">
        <v>0.35580000000000001</v>
      </c>
      <c r="AR161">
        <v>0.24640000000000001</v>
      </c>
      <c r="AS161">
        <v>-1.4007990473227723</v>
      </c>
      <c r="AT161" s="8">
        <v>0.42120000000000002</v>
      </c>
      <c r="AU161">
        <f t="shared" si="57"/>
        <v>0.42120000000000002</v>
      </c>
      <c r="AV161">
        <f t="shared" si="58"/>
        <v>-0.86464749872231661</v>
      </c>
      <c r="AW161" s="8">
        <v>0.51570000000000005</v>
      </c>
      <c r="AX161">
        <f t="shared" si="59"/>
        <v>0.51570000000000005</v>
      </c>
      <c r="AY161">
        <f t="shared" si="60"/>
        <v>-0.6622300779252237</v>
      </c>
      <c r="AZ161" s="8">
        <v>0.39479999999999998</v>
      </c>
      <c r="BA161">
        <v>0.28649999999999998</v>
      </c>
      <c r="BB161">
        <v>-1.250016742827343</v>
      </c>
      <c r="BC161" s="8">
        <v>0.44829999999999998</v>
      </c>
      <c r="BD161">
        <f t="shared" si="61"/>
        <v>0.44829999999999998</v>
      </c>
      <c r="BE161">
        <f t="shared" si="62"/>
        <v>-0.80229262782074329</v>
      </c>
      <c r="BF161" s="8">
        <v>0.56369999999999998</v>
      </c>
      <c r="BG161">
        <f t="shared" si="63"/>
        <v>0.56369999999999998</v>
      </c>
      <c r="BH161">
        <f t="shared" si="64"/>
        <v>-0.57323308389460781</v>
      </c>
      <c r="BI161" s="8">
        <v>0.42849999999999999</v>
      </c>
      <c r="BJ161">
        <v>0.32340000000000002</v>
      </c>
      <c r="BK161">
        <v>-1.1288653318391306</v>
      </c>
      <c r="BL161" s="8">
        <v>0.52200000000000002</v>
      </c>
      <c r="BM161">
        <f t="shared" si="65"/>
        <v>0.52200000000000002</v>
      </c>
      <c r="BN161">
        <f t="shared" si="66"/>
        <v>-0.65008769109949827</v>
      </c>
      <c r="BO161" s="8">
        <v>0.60560000000000003</v>
      </c>
      <c r="BP161">
        <f t="shared" si="67"/>
        <v>0.60560000000000003</v>
      </c>
      <c r="BQ161">
        <f t="shared" si="68"/>
        <v>-0.50153557685889794</v>
      </c>
      <c r="BR161" s="8">
        <v>0.47320000000000001</v>
      </c>
      <c r="BS161">
        <v>0.3654</v>
      </c>
      <c r="BT161">
        <v>-1.0067626350382306</v>
      </c>
      <c r="BU161" s="8">
        <v>0.55130000000000001</v>
      </c>
      <c r="BV161">
        <f t="shared" si="69"/>
        <v>0.55130000000000001</v>
      </c>
      <c r="BW161">
        <f t="shared" si="70"/>
        <v>-0.59547615338649917</v>
      </c>
      <c r="BX161" s="8">
        <v>0.65529999999999999</v>
      </c>
      <c r="BY161">
        <f t="shared" si="71"/>
        <v>0.65529999999999999</v>
      </c>
      <c r="BZ161">
        <f t="shared" si="72"/>
        <v>-0.42266213293668586</v>
      </c>
    </row>
    <row r="162" spans="5:78" x14ac:dyDescent="0.2">
      <c r="E162" s="11">
        <v>4.2804622222222228</v>
      </c>
      <c r="F162" s="11"/>
      <c r="G162" s="11">
        <v>0.42809999999999998</v>
      </c>
      <c r="H162" s="11">
        <v>0.32289999999999996</v>
      </c>
      <c r="I162" s="11">
        <v>-1.1304126012179077</v>
      </c>
      <c r="J162" s="11">
        <v>0.26219999999999999</v>
      </c>
      <c r="K162" s="11">
        <f t="shared" si="42"/>
        <v>0.26219999999999999</v>
      </c>
      <c r="L162" s="11">
        <f t="shared" si="43"/>
        <v>-1.3386477076525376</v>
      </c>
      <c r="M162" s="11">
        <v>0.57050000000000001</v>
      </c>
      <c r="N162" s="11">
        <f t="shared" si="44"/>
        <v>0.57050000000000001</v>
      </c>
      <c r="O162" s="11">
        <f t="shared" si="45"/>
        <v>-0.56124210968000676</v>
      </c>
      <c r="P162" s="8">
        <v>0.39340000000000003</v>
      </c>
      <c r="Q162">
        <v>0.28780000000000006</v>
      </c>
      <c r="R162">
        <v>-1.2454894845288693</v>
      </c>
      <c r="S162" s="8">
        <v>0.48349999999999999</v>
      </c>
      <c r="T162">
        <f t="shared" si="41"/>
        <v>0.48349999999999999</v>
      </c>
      <c r="U162">
        <f t="shared" si="46"/>
        <v>-0.72670396408878801</v>
      </c>
      <c r="V162" s="8">
        <v>0.55479999999999996</v>
      </c>
      <c r="W162">
        <f t="shared" si="47"/>
        <v>0.55479999999999996</v>
      </c>
      <c r="X162">
        <f t="shared" si="48"/>
        <v>-0.5891475905414606</v>
      </c>
      <c r="Y162" s="8">
        <v>0.37769999999999998</v>
      </c>
      <c r="Z162">
        <v>0.27239999999999998</v>
      </c>
      <c r="AA162">
        <v>-1.3004837047067799</v>
      </c>
      <c r="AB162" s="8">
        <v>0.4627</v>
      </c>
      <c r="AC162">
        <f t="shared" si="49"/>
        <v>0.4627</v>
      </c>
      <c r="AD162">
        <f t="shared" si="50"/>
        <v>-0.77067638306918318</v>
      </c>
      <c r="AE162" s="8">
        <v>0.54800000000000004</v>
      </c>
      <c r="AF162">
        <f t="shared" si="51"/>
        <v>0.54800000000000004</v>
      </c>
      <c r="AG162">
        <f t="shared" si="52"/>
        <v>-0.60147999203412139</v>
      </c>
      <c r="AH162" s="8">
        <v>0.38229999999999997</v>
      </c>
      <c r="AI162">
        <v>0.27729999999999999</v>
      </c>
      <c r="AJ162">
        <v>-1.2826553263604048</v>
      </c>
      <c r="AK162" s="8">
        <v>0.46560000000000001</v>
      </c>
      <c r="AL162">
        <f t="shared" si="53"/>
        <v>0.46560000000000001</v>
      </c>
      <c r="AM162">
        <f t="shared" si="54"/>
        <v>-0.76442838256490897</v>
      </c>
      <c r="AN162" s="8">
        <v>0.5413</v>
      </c>
      <c r="AO162">
        <f t="shared" si="55"/>
        <v>0.5413</v>
      </c>
      <c r="AP162">
        <f t="shared" si="56"/>
        <v>-0.61378162517920487</v>
      </c>
      <c r="AQ162" s="8">
        <v>0.37759999999999999</v>
      </c>
      <c r="AR162">
        <v>0.26819999999999999</v>
      </c>
      <c r="AS162">
        <v>-1.316022308134559</v>
      </c>
      <c r="AT162" s="8">
        <v>0.4456</v>
      </c>
      <c r="AU162">
        <f t="shared" si="57"/>
        <v>0.4456</v>
      </c>
      <c r="AV162">
        <f t="shared" si="58"/>
        <v>-0.80833359036906283</v>
      </c>
      <c r="AW162" s="8">
        <v>0.54259999999999997</v>
      </c>
      <c r="AX162">
        <f t="shared" si="59"/>
        <v>0.54259999999999997</v>
      </c>
      <c r="AY162">
        <f t="shared" si="60"/>
        <v>-0.61138287875730568</v>
      </c>
      <c r="AZ162" s="8">
        <v>0.41489999999999999</v>
      </c>
      <c r="BA162">
        <v>0.30659999999999998</v>
      </c>
      <c r="BB162">
        <v>-1.1822113125444234</v>
      </c>
      <c r="BC162" s="8">
        <v>0.4713</v>
      </c>
      <c r="BD162">
        <f t="shared" si="61"/>
        <v>0.4713</v>
      </c>
      <c r="BE162">
        <f t="shared" si="62"/>
        <v>-0.75226044505245193</v>
      </c>
      <c r="BF162" s="8">
        <v>0.59099999999999997</v>
      </c>
      <c r="BG162">
        <f t="shared" si="63"/>
        <v>0.59099999999999997</v>
      </c>
      <c r="BH162">
        <f t="shared" si="64"/>
        <v>-0.52593926157603887</v>
      </c>
      <c r="BI162" s="8">
        <v>0.44969999999999999</v>
      </c>
      <c r="BJ162">
        <v>0.34460000000000002</v>
      </c>
      <c r="BK162">
        <v>-1.0653709548883077</v>
      </c>
      <c r="BL162" s="8">
        <v>0.54200000000000004</v>
      </c>
      <c r="BM162">
        <f t="shared" si="65"/>
        <v>0.54200000000000004</v>
      </c>
      <c r="BN162">
        <f t="shared" si="66"/>
        <v>-0.61248927754249083</v>
      </c>
      <c r="BO162" s="8">
        <v>0.62219999999999998</v>
      </c>
      <c r="BP162">
        <f t="shared" si="67"/>
        <v>0.62219999999999998</v>
      </c>
      <c r="BQ162">
        <f t="shared" si="68"/>
        <v>-0.47449369451860046</v>
      </c>
      <c r="BR162" s="8">
        <v>0.48649999999999999</v>
      </c>
      <c r="BS162">
        <v>0.37869999999999998</v>
      </c>
      <c r="BT162">
        <v>-0.97101094407438793</v>
      </c>
      <c r="BU162" s="8">
        <v>0.58220000000000005</v>
      </c>
      <c r="BV162">
        <f t="shared" si="69"/>
        <v>0.58220000000000005</v>
      </c>
      <c r="BW162">
        <f t="shared" si="70"/>
        <v>-0.54094124767061413</v>
      </c>
      <c r="BX162" s="8">
        <v>0.6734</v>
      </c>
      <c r="BY162">
        <f t="shared" si="71"/>
        <v>0.6734</v>
      </c>
      <c r="BZ162">
        <f t="shared" si="72"/>
        <v>-0.39541577225516295</v>
      </c>
    </row>
    <row r="163" spans="5:78" x14ac:dyDescent="0.2">
      <c r="E163" s="11">
        <v>4.5183066666666667</v>
      </c>
      <c r="F163" s="11"/>
      <c r="G163" s="11">
        <v>0.44190000000000002</v>
      </c>
      <c r="H163" s="11">
        <v>0.3367</v>
      </c>
      <c r="I163" s="11">
        <v>-1.0885629528151082</v>
      </c>
      <c r="J163" s="11">
        <v>0.29389999999999999</v>
      </c>
      <c r="K163" s="11">
        <f t="shared" si="42"/>
        <v>0.29389999999999999</v>
      </c>
      <c r="L163" s="11">
        <f t="shared" si="43"/>
        <v>-1.2245157055572653</v>
      </c>
      <c r="M163" s="11">
        <v>0.64659999999999995</v>
      </c>
      <c r="N163" s="11">
        <f t="shared" si="44"/>
        <v>0.64659999999999995</v>
      </c>
      <c r="O163" s="11">
        <f t="shared" si="45"/>
        <v>-0.43602741369080444</v>
      </c>
      <c r="P163" s="8">
        <v>0.42330000000000001</v>
      </c>
      <c r="Q163">
        <v>0.31769999999999998</v>
      </c>
      <c r="R163">
        <v>-1.1466477377066666</v>
      </c>
      <c r="S163" s="8">
        <v>0.49959999999999999</v>
      </c>
      <c r="T163">
        <f t="shared" si="41"/>
        <v>0.49959999999999999</v>
      </c>
      <c r="U163">
        <f t="shared" si="46"/>
        <v>-0.69394750073071443</v>
      </c>
      <c r="V163" s="8">
        <v>0.57479999999999998</v>
      </c>
      <c r="W163">
        <f t="shared" si="47"/>
        <v>0.57479999999999998</v>
      </c>
      <c r="X163">
        <f t="shared" si="48"/>
        <v>-0.55373312477726722</v>
      </c>
      <c r="Y163" s="8">
        <v>0.40079999999999999</v>
      </c>
      <c r="Z163">
        <v>0.29549999999999998</v>
      </c>
      <c r="AA163">
        <v>-1.2190864421359842</v>
      </c>
      <c r="AB163" s="8">
        <v>0.48220000000000002</v>
      </c>
      <c r="AC163">
        <f t="shared" si="49"/>
        <v>0.48220000000000002</v>
      </c>
      <c r="AD163">
        <f t="shared" si="50"/>
        <v>-0.72939631323506637</v>
      </c>
      <c r="AE163" s="8">
        <v>0.57250000000000001</v>
      </c>
      <c r="AF163">
        <f t="shared" si="51"/>
        <v>0.57250000000000001</v>
      </c>
      <c r="AG163">
        <f t="shared" si="52"/>
        <v>-0.55774254355374231</v>
      </c>
      <c r="AH163" s="8">
        <v>0.40749999999999997</v>
      </c>
      <c r="AI163">
        <v>0.30249999999999999</v>
      </c>
      <c r="AJ163">
        <v>-1.195674001511241</v>
      </c>
      <c r="AK163" s="8">
        <v>0.48470000000000002</v>
      </c>
      <c r="AL163">
        <f t="shared" si="53"/>
        <v>0.48470000000000002</v>
      </c>
      <c r="AM163">
        <f t="shared" si="54"/>
        <v>-0.72422513613080675</v>
      </c>
      <c r="AN163" s="8">
        <v>0.56040000000000001</v>
      </c>
      <c r="AO163">
        <f t="shared" si="55"/>
        <v>0.56040000000000001</v>
      </c>
      <c r="AP163">
        <f t="shared" si="56"/>
        <v>-0.5791044645192851</v>
      </c>
      <c r="AQ163" s="8">
        <v>0.39129999999999998</v>
      </c>
      <c r="AR163">
        <v>0.28189999999999998</v>
      </c>
      <c r="AS163">
        <v>-1.2662028808620702</v>
      </c>
      <c r="AT163" s="8">
        <v>0.47020000000000001</v>
      </c>
      <c r="AU163">
        <f t="shared" si="57"/>
        <v>0.47020000000000001</v>
      </c>
      <c r="AV163">
        <f t="shared" si="58"/>
        <v>-0.75459714287616786</v>
      </c>
      <c r="AW163" s="8">
        <v>0.5615</v>
      </c>
      <c r="AX163">
        <f t="shared" si="59"/>
        <v>0.5615</v>
      </c>
      <c r="AY163">
        <f t="shared" si="60"/>
        <v>-0.57714350480363918</v>
      </c>
      <c r="AZ163" s="8">
        <v>0.43070000000000003</v>
      </c>
      <c r="BA163">
        <v>0.32240000000000002</v>
      </c>
      <c r="BB163">
        <v>-1.1319622683496637</v>
      </c>
      <c r="BC163" s="8">
        <v>0.49130000000000001</v>
      </c>
      <c r="BD163">
        <f t="shared" si="61"/>
        <v>0.49130000000000001</v>
      </c>
      <c r="BE163">
        <f t="shared" si="62"/>
        <v>-0.71070033980753444</v>
      </c>
      <c r="BF163" s="8">
        <v>0.60099999999999998</v>
      </c>
      <c r="BG163">
        <f t="shared" si="63"/>
        <v>0.60099999999999998</v>
      </c>
      <c r="BH163">
        <f t="shared" si="64"/>
        <v>-0.50916034444692948</v>
      </c>
      <c r="BI163" s="8">
        <v>0.47110000000000002</v>
      </c>
      <c r="BJ163">
        <v>0.36599999999999999</v>
      </c>
      <c r="BK163">
        <v>-1.0051219455807707</v>
      </c>
      <c r="BL163" s="8">
        <v>0.55910000000000004</v>
      </c>
      <c r="BM163">
        <f t="shared" si="65"/>
        <v>0.55910000000000004</v>
      </c>
      <c r="BN163">
        <f t="shared" si="66"/>
        <v>-0.58142693094953735</v>
      </c>
      <c r="BO163" s="8">
        <v>0.62629999999999997</v>
      </c>
      <c r="BP163">
        <f t="shared" si="67"/>
        <v>0.62629999999999997</v>
      </c>
      <c r="BQ163">
        <f t="shared" si="68"/>
        <v>-0.46792578945076996</v>
      </c>
      <c r="BR163" s="8">
        <v>0.5091</v>
      </c>
      <c r="BS163">
        <v>0.40129999999999999</v>
      </c>
      <c r="BT163">
        <v>-0.91304600170926609</v>
      </c>
      <c r="BU163" s="8">
        <v>0.59589999999999999</v>
      </c>
      <c r="BV163">
        <f t="shared" si="69"/>
        <v>0.59589999999999999</v>
      </c>
      <c r="BW163">
        <f t="shared" si="70"/>
        <v>-0.51768241122920389</v>
      </c>
      <c r="BX163" s="8">
        <v>0.67910000000000004</v>
      </c>
      <c r="BY163">
        <f t="shared" si="71"/>
        <v>0.67910000000000004</v>
      </c>
      <c r="BZ163">
        <f t="shared" si="72"/>
        <v>-0.3869868868623913</v>
      </c>
    </row>
    <row r="164" spans="5:78" x14ac:dyDescent="0.2">
      <c r="E164" s="11">
        <v>4.7560597222222221</v>
      </c>
      <c r="F164" s="11"/>
      <c r="G164" s="11">
        <v>0.47870000000000001</v>
      </c>
      <c r="H164" s="11">
        <v>0.3735</v>
      </c>
      <c r="I164" s="11">
        <v>-0.98483727440926505</v>
      </c>
      <c r="J164" s="11">
        <v>0.34189999999999998</v>
      </c>
      <c r="K164" s="11">
        <f t="shared" si="42"/>
        <v>0.34189999999999998</v>
      </c>
      <c r="L164" s="11">
        <f t="shared" si="43"/>
        <v>-1.0732369823368815</v>
      </c>
      <c r="M164" s="11">
        <v>0.68110000000000004</v>
      </c>
      <c r="N164" s="11">
        <f t="shared" si="44"/>
        <v>0.68110000000000004</v>
      </c>
      <c r="O164" s="11">
        <f t="shared" si="45"/>
        <v>-0.38404614073486432</v>
      </c>
      <c r="P164" s="8">
        <v>0.4667</v>
      </c>
      <c r="Q164">
        <v>0.36109999999999998</v>
      </c>
      <c r="R164">
        <v>-1.0186003506987251</v>
      </c>
      <c r="S164" s="8">
        <v>0.53959999999999997</v>
      </c>
      <c r="T164">
        <f t="shared" si="41"/>
        <v>0.53959999999999997</v>
      </c>
      <c r="U164">
        <f t="shared" si="46"/>
        <v>-0.61692715464853631</v>
      </c>
      <c r="V164" s="8">
        <v>0.60419999999999996</v>
      </c>
      <c r="W164">
        <f t="shared" si="47"/>
        <v>0.60419999999999996</v>
      </c>
      <c r="X164">
        <f t="shared" si="48"/>
        <v>-0.50385001002956553</v>
      </c>
      <c r="Y164" s="8">
        <v>0.44230000000000003</v>
      </c>
      <c r="Z164">
        <v>0.33700000000000002</v>
      </c>
      <c r="AA164">
        <v>-1.0876723486297752</v>
      </c>
      <c r="AB164" s="8">
        <v>0.51939999999999997</v>
      </c>
      <c r="AC164">
        <f t="shared" si="49"/>
        <v>0.51939999999999997</v>
      </c>
      <c r="AD164">
        <f t="shared" si="50"/>
        <v>-0.655080979753489</v>
      </c>
      <c r="AE164" s="8">
        <v>0.59919999999999995</v>
      </c>
      <c r="AF164">
        <f t="shared" si="51"/>
        <v>0.59919999999999995</v>
      </c>
      <c r="AG164">
        <f t="shared" si="52"/>
        <v>-0.5121598467791274</v>
      </c>
      <c r="AH164" s="8">
        <v>0.44500000000000001</v>
      </c>
      <c r="AI164">
        <v>0.34</v>
      </c>
      <c r="AJ164">
        <v>-1.0788096613719298</v>
      </c>
      <c r="AK164" s="8">
        <v>0.52139999999999997</v>
      </c>
      <c r="AL164">
        <f t="shared" si="53"/>
        <v>0.52139999999999997</v>
      </c>
      <c r="AM164">
        <f t="shared" si="54"/>
        <v>-0.6512377774827357</v>
      </c>
      <c r="AN164" s="8">
        <v>0.58789999999999998</v>
      </c>
      <c r="AO164">
        <f t="shared" si="55"/>
        <v>0.58789999999999998</v>
      </c>
      <c r="AP164">
        <f t="shared" si="56"/>
        <v>-0.53119841357392783</v>
      </c>
      <c r="AQ164" s="8">
        <v>0.42730000000000001</v>
      </c>
      <c r="AR164">
        <v>0.31790000000000002</v>
      </c>
      <c r="AS164">
        <v>-1.1460184110653799</v>
      </c>
      <c r="AT164" s="8">
        <v>0.50590000000000002</v>
      </c>
      <c r="AU164">
        <f t="shared" si="57"/>
        <v>0.50590000000000002</v>
      </c>
      <c r="AV164">
        <f t="shared" si="58"/>
        <v>-0.68141625768424663</v>
      </c>
      <c r="AW164" s="8">
        <v>0.59519999999999995</v>
      </c>
      <c r="AX164">
        <f t="shared" si="59"/>
        <v>0.59519999999999995</v>
      </c>
      <c r="AY164">
        <f t="shared" si="60"/>
        <v>-0.51885779546325506</v>
      </c>
      <c r="AZ164" s="8">
        <v>0.4612</v>
      </c>
      <c r="BA164">
        <v>0.35289999999999999</v>
      </c>
      <c r="BB164">
        <v>-1.0415705483009128</v>
      </c>
      <c r="BC164" s="8">
        <v>0.52569999999999995</v>
      </c>
      <c r="BD164">
        <f t="shared" si="61"/>
        <v>0.52569999999999995</v>
      </c>
      <c r="BE164">
        <f t="shared" si="62"/>
        <v>-0.64302457115673484</v>
      </c>
      <c r="BF164" s="8">
        <v>0.62090000000000001</v>
      </c>
      <c r="BG164">
        <f t="shared" si="63"/>
        <v>0.62090000000000001</v>
      </c>
      <c r="BH164">
        <f t="shared" si="64"/>
        <v>-0.47658524061128993</v>
      </c>
      <c r="BI164" s="8">
        <v>0.50260000000000005</v>
      </c>
      <c r="BJ164">
        <v>0.39750000000000008</v>
      </c>
      <c r="BK164">
        <v>-0.92256034488775029</v>
      </c>
      <c r="BL164" s="8">
        <v>0.58799999999999997</v>
      </c>
      <c r="BM164">
        <f t="shared" si="65"/>
        <v>0.58799999999999997</v>
      </c>
      <c r="BN164">
        <f t="shared" si="66"/>
        <v>-0.53102833108351022</v>
      </c>
      <c r="BO164" s="8">
        <v>0.63639999999999997</v>
      </c>
      <c r="BP164">
        <f t="shared" si="67"/>
        <v>0.63639999999999997</v>
      </c>
      <c r="BQ164">
        <f t="shared" si="68"/>
        <v>-0.4519279825185053</v>
      </c>
      <c r="BR164" s="8">
        <v>0.55800000000000005</v>
      </c>
      <c r="BS164">
        <v>0.45020000000000004</v>
      </c>
      <c r="BT164">
        <v>-0.79806335050950505</v>
      </c>
      <c r="BU164" s="8">
        <v>0.6129</v>
      </c>
      <c r="BV164">
        <f t="shared" si="69"/>
        <v>0.6129</v>
      </c>
      <c r="BW164">
        <f t="shared" si="70"/>
        <v>-0.48955348849045099</v>
      </c>
      <c r="BX164" s="8">
        <v>0.68979999999999997</v>
      </c>
      <c r="BY164">
        <f t="shared" si="71"/>
        <v>0.68979999999999997</v>
      </c>
      <c r="BZ164">
        <f t="shared" si="72"/>
        <v>-0.37135357847939654</v>
      </c>
    </row>
    <row r="165" spans="5:78" x14ac:dyDescent="0.2">
      <c r="E165" s="11">
        <v>4.9938205555555557</v>
      </c>
      <c r="F165" s="11"/>
      <c r="G165" s="11">
        <v>0.4985</v>
      </c>
      <c r="H165" s="11">
        <v>0.39329999999999998</v>
      </c>
      <c r="I165" s="11">
        <v>-0.93318259954437321</v>
      </c>
      <c r="J165" s="11">
        <v>0.37080000000000002</v>
      </c>
      <c r="K165" s="11">
        <f t="shared" si="42"/>
        <v>0.37080000000000002</v>
      </c>
      <c r="L165" s="11">
        <f t="shared" si="43"/>
        <v>-0.99209244529043694</v>
      </c>
      <c r="M165" s="11">
        <v>0.62670000000000003</v>
      </c>
      <c r="N165" s="11">
        <f t="shared" si="44"/>
        <v>0.62670000000000003</v>
      </c>
      <c r="O165" s="11">
        <f t="shared" si="45"/>
        <v>-0.46728732175150722</v>
      </c>
      <c r="P165" s="8">
        <v>0.47720000000000001</v>
      </c>
      <c r="Q165">
        <v>0.37160000000000004</v>
      </c>
      <c r="R165">
        <v>-0.98993727204245352</v>
      </c>
      <c r="S165" s="8">
        <v>0.56020000000000003</v>
      </c>
      <c r="T165">
        <f t="shared" si="41"/>
        <v>0.56020000000000003</v>
      </c>
      <c r="U165">
        <f t="shared" si="46"/>
        <v>-0.57946141615612889</v>
      </c>
      <c r="V165" s="8">
        <v>0.61799999999999999</v>
      </c>
      <c r="W165">
        <f t="shared" si="47"/>
        <v>0.61799999999999999</v>
      </c>
      <c r="X165">
        <f t="shared" si="48"/>
        <v>-0.48126682152444628</v>
      </c>
      <c r="Y165" s="8">
        <v>0.46110000000000001</v>
      </c>
      <c r="Z165">
        <v>0.35580000000000001</v>
      </c>
      <c r="AA165">
        <v>-1.0333865037504022</v>
      </c>
      <c r="AB165" s="8">
        <v>0.54069999999999996</v>
      </c>
      <c r="AC165">
        <f t="shared" si="49"/>
        <v>0.54069999999999996</v>
      </c>
      <c r="AD165">
        <f t="shared" si="50"/>
        <v>-0.61489068259417801</v>
      </c>
      <c r="AE165" s="8">
        <v>0.61180000000000001</v>
      </c>
      <c r="AF165">
        <f t="shared" si="51"/>
        <v>0.61180000000000001</v>
      </c>
      <c r="AG165">
        <f t="shared" si="52"/>
        <v>-0.49134984726533393</v>
      </c>
      <c r="AH165" s="8">
        <v>0.46129999999999999</v>
      </c>
      <c r="AI165">
        <v>0.35630000000000001</v>
      </c>
      <c r="AJ165">
        <v>-1.0319822063703468</v>
      </c>
      <c r="AK165" s="8">
        <v>0.54059999999999997</v>
      </c>
      <c r="AL165">
        <f t="shared" si="53"/>
        <v>0.54059999999999997</v>
      </c>
      <c r="AM165">
        <f t="shared" si="54"/>
        <v>-0.61507564513978985</v>
      </c>
      <c r="AN165" s="8">
        <v>0.6028</v>
      </c>
      <c r="AO165">
        <f t="shared" si="55"/>
        <v>0.6028</v>
      </c>
      <c r="AP165">
        <f t="shared" si="56"/>
        <v>-0.50616981222979662</v>
      </c>
      <c r="AQ165" s="8">
        <v>0.44740000000000002</v>
      </c>
      <c r="AR165">
        <v>0.33800000000000002</v>
      </c>
      <c r="AS165">
        <v>-1.0847093834991182</v>
      </c>
      <c r="AT165" s="8">
        <v>0.5252</v>
      </c>
      <c r="AU165">
        <f t="shared" si="57"/>
        <v>0.5252</v>
      </c>
      <c r="AV165">
        <f t="shared" si="58"/>
        <v>-0.64397613655349595</v>
      </c>
      <c r="AW165" s="8">
        <v>0.60560000000000003</v>
      </c>
      <c r="AX165">
        <f t="shared" si="59"/>
        <v>0.60560000000000003</v>
      </c>
      <c r="AY165">
        <f t="shared" si="60"/>
        <v>-0.50153557685889794</v>
      </c>
      <c r="AZ165" s="8">
        <v>0.47220000000000001</v>
      </c>
      <c r="BA165">
        <v>0.3639</v>
      </c>
      <c r="BB165">
        <v>-1.0108761743640229</v>
      </c>
      <c r="BC165" s="8">
        <v>0.54169999999999996</v>
      </c>
      <c r="BD165">
        <f t="shared" si="61"/>
        <v>0.54169999999999996</v>
      </c>
      <c r="BE165">
        <f t="shared" si="62"/>
        <v>-0.61304293631828399</v>
      </c>
      <c r="BF165" s="8">
        <v>0.63290000000000002</v>
      </c>
      <c r="BG165">
        <f t="shared" si="63"/>
        <v>0.63290000000000002</v>
      </c>
      <c r="BH165">
        <f t="shared" si="64"/>
        <v>-0.45744284720087736</v>
      </c>
      <c r="BI165" s="8">
        <v>0.51680000000000004</v>
      </c>
      <c r="BJ165">
        <v>0.41170000000000007</v>
      </c>
      <c r="BK165">
        <v>-0.88746035020627789</v>
      </c>
      <c r="BL165" s="8">
        <v>0.58799999999999997</v>
      </c>
      <c r="BM165">
        <f t="shared" si="65"/>
        <v>0.58799999999999997</v>
      </c>
      <c r="BN165">
        <f t="shared" si="66"/>
        <v>-0.53102833108351022</v>
      </c>
      <c r="BO165" s="8">
        <v>0.64990000000000003</v>
      </c>
      <c r="BP165">
        <f t="shared" si="67"/>
        <v>0.64990000000000003</v>
      </c>
      <c r="BQ165">
        <f t="shared" si="68"/>
        <v>-0.43093677408183378</v>
      </c>
      <c r="BR165" s="8">
        <v>0.57179999999999997</v>
      </c>
      <c r="BS165">
        <v>0.46399999999999997</v>
      </c>
      <c r="BT165">
        <v>-0.76787072675588186</v>
      </c>
      <c r="BU165" s="8">
        <v>0.61929999999999996</v>
      </c>
      <c r="BV165">
        <f t="shared" si="69"/>
        <v>0.61929999999999996</v>
      </c>
      <c r="BW165">
        <f t="shared" si="70"/>
        <v>-0.47916547103812185</v>
      </c>
      <c r="BX165" s="8">
        <v>0.68830000000000002</v>
      </c>
      <c r="BY165">
        <f t="shared" si="71"/>
        <v>0.68830000000000002</v>
      </c>
      <c r="BZ165">
        <f t="shared" si="72"/>
        <v>-0.37353048957781854</v>
      </c>
    </row>
    <row r="166" spans="5:78" x14ac:dyDescent="0.2">
      <c r="E166" s="11">
        <v>5.2316730555555555</v>
      </c>
      <c r="F166" s="11"/>
      <c r="G166" s="11">
        <v>0.4985</v>
      </c>
      <c r="H166" s="11">
        <v>0.39329999999999998</v>
      </c>
      <c r="I166" s="11">
        <v>-0.93318259954437321</v>
      </c>
      <c r="J166" s="11">
        <v>0.40839999999999999</v>
      </c>
      <c r="K166" s="11">
        <f t="shared" si="42"/>
        <v>0.40839999999999999</v>
      </c>
      <c r="L166" s="11">
        <f t="shared" si="43"/>
        <v>-0.89550819269162663</v>
      </c>
      <c r="M166" s="11">
        <v>0.71750000000000003</v>
      </c>
      <c r="N166" s="11">
        <f t="shared" si="44"/>
        <v>0.71750000000000003</v>
      </c>
      <c r="O166" s="11">
        <f t="shared" si="45"/>
        <v>-0.33198233134836086</v>
      </c>
      <c r="P166" s="8">
        <v>0.48899999999999999</v>
      </c>
      <c r="Q166">
        <v>0.38339999999999996</v>
      </c>
      <c r="R166">
        <v>-0.95867644837059307</v>
      </c>
      <c r="S166" s="8">
        <v>0.55930000000000002</v>
      </c>
      <c r="T166">
        <f t="shared" si="41"/>
        <v>0.55930000000000002</v>
      </c>
      <c r="U166">
        <f t="shared" si="46"/>
        <v>-0.58106927715459478</v>
      </c>
      <c r="V166" s="8">
        <v>0.62419999999999998</v>
      </c>
      <c r="W166">
        <f t="shared" si="47"/>
        <v>0.62419999999999998</v>
      </c>
      <c r="X166">
        <f t="shared" si="48"/>
        <v>-0.47128444914545803</v>
      </c>
      <c r="Y166" s="8">
        <v>0.46289999999999998</v>
      </c>
      <c r="Z166">
        <v>0.35759999999999997</v>
      </c>
      <c r="AA166">
        <v>-1.028340235682778</v>
      </c>
      <c r="AB166" s="8">
        <v>0.54300000000000004</v>
      </c>
      <c r="AC166">
        <f t="shared" si="49"/>
        <v>0.54300000000000004</v>
      </c>
      <c r="AD166">
        <f t="shared" si="50"/>
        <v>-0.61064595904820151</v>
      </c>
      <c r="AE166" s="8">
        <v>0.62409999999999999</v>
      </c>
      <c r="AF166">
        <f t="shared" si="51"/>
        <v>0.62409999999999999</v>
      </c>
      <c r="AG166">
        <f t="shared" si="52"/>
        <v>-0.47144466704213978</v>
      </c>
      <c r="AH166" s="8">
        <v>0.46529999999999999</v>
      </c>
      <c r="AI166">
        <v>0.36030000000000001</v>
      </c>
      <c r="AJ166">
        <v>-1.0208182612280894</v>
      </c>
      <c r="AK166" s="8">
        <v>0.54349999999999998</v>
      </c>
      <c r="AL166">
        <f t="shared" si="53"/>
        <v>0.54349999999999998</v>
      </c>
      <c r="AM166">
        <f t="shared" si="54"/>
        <v>-0.609725572420873</v>
      </c>
      <c r="AN166" s="8">
        <v>0.61480000000000001</v>
      </c>
      <c r="AO166">
        <f t="shared" si="55"/>
        <v>0.61480000000000001</v>
      </c>
      <c r="AP166">
        <f t="shared" si="56"/>
        <v>-0.48645826731769626</v>
      </c>
      <c r="AQ166" s="8">
        <v>0.45079999999999998</v>
      </c>
      <c r="AR166">
        <v>0.34139999999999998</v>
      </c>
      <c r="AS166">
        <v>-1.0747004686217969</v>
      </c>
      <c r="AT166" s="8">
        <v>0.53100000000000003</v>
      </c>
      <c r="AU166">
        <f t="shared" si="57"/>
        <v>0.53100000000000003</v>
      </c>
      <c r="AV166">
        <f t="shared" si="58"/>
        <v>-0.63299325774019821</v>
      </c>
      <c r="AW166" s="8">
        <v>0.61990000000000001</v>
      </c>
      <c r="AX166">
        <f t="shared" si="59"/>
        <v>0.61990000000000001</v>
      </c>
      <c r="AY166">
        <f t="shared" si="60"/>
        <v>-0.47819710427426332</v>
      </c>
      <c r="AZ166" s="8">
        <v>0.4899</v>
      </c>
      <c r="BA166">
        <v>0.38159999999999999</v>
      </c>
      <c r="BB166">
        <v>-0.96338233940800555</v>
      </c>
      <c r="BC166" s="8">
        <v>0.54869999999999997</v>
      </c>
      <c r="BD166">
        <f t="shared" si="61"/>
        <v>0.54869999999999997</v>
      </c>
      <c r="BE166">
        <f t="shared" si="62"/>
        <v>-0.6002034349172074</v>
      </c>
      <c r="BF166" s="8">
        <v>0.64190000000000003</v>
      </c>
      <c r="BG166">
        <f t="shared" si="63"/>
        <v>0.64190000000000003</v>
      </c>
      <c r="BH166">
        <f t="shared" si="64"/>
        <v>-0.44332275066440452</v>
      </c>
      <c r="BI166" s="8">
        <v>0.53620000000000001</v>
      </c>
      <c r="BJ166">
        <v>0.43110000000000004</v>
      </c>
      <c r="BK166">
        <v>-0.84141519722904801</v>
      </c>
      <c r="BL166" s="8">
        <v>0.60060000000000002</v>
      </c>
      <c r="BM166">
        <f t="shared" si="65"/>
        <v>0.60060000000000002</v>
      </c>
      <c r="BN166">
        <f t="shared" si="66"/>
        <v>-0.50982612343290712</v>
      </c>
      <c r="BO166" s="8">
        <v>0.65169999999999995</v>
      </c>
      <c r="BP166">
        <f t="shared" si="67"/>
        <v>0.65169999999999995</v>
      </c>
      <c r="BQ166">
        <f t="shared" si="68"/>
        <v>-0.42817094564380243</v>
      </c>
      <c r="BR166" s="8">
        <v>0.58860000000000001</v>
      </c>
      <c r="BS166">
        <v>0.48080000000000001</v>
      </c>
      <c r="BT166">
        <v>-0.73230389576113919</v>
      </c>
      <c r="BU166" s="8">
        <v>0.627</v>
      </c>
      <c r="BV166">
        <f t="shared" si="69"/>
        <v>0.627</v>
      </c>
      <c r="BW166">
        <f t="shared" si="70"/>
        <v>-0.46680873834921638</v>
      </c>
      <c r="BX166" s="8">
        <v>0.68740000000000001</v>
      </c>
      <c r="BY166">
        <f t="shared" si="71"/>
        <v>0.68740000000000001</v>
      </c>
      <c r="BZ166">
        <f t="shared" si="72"/>
        <v>-0.3748389145664035</v>
      </c>
    </row>
    <row r="167" spans="5:78" x14ac:dyDescent="0.2">
      <c r="E167">
        <v>5.4694311111111116</v>
      </c>
      <c r="G167" s="8">
        <v>0.51829999999999998</v>
      </c>
      <c r="H167">
        <v>0.41309999999999997</v>
      </c>
      <c r="I167">
        <v>-0.88406558457941831</v>
      </c>
      <c r="J167" s="8">
        <v>0.4491</v>
      </c>
      <c r="K167">
        <f t="shared" si="42"/>
        <v>0.4491</v>
      </c>
      <c r="L167">
        <f t="shared" si="43"/>
        <v>-0.8005096988884447</v>
      </c>
      <c r="M167" s="8">
        <v>0.71819999999999995</v>
      </c>
      <c r="N167">
        <f t="shared" si="44"/>
        <v>0.71819999999999995</v>
      </c>
      <c r="O167">
        <f t="shared" si="45"/>
        <v>-0.33100719719015465</v>
      </c>
      <c r="P167" s="8">
        <v>0.50629999999999997</v>
      </c>
      <c r="Q167">
        <v>0.40069999999999995</v>
      </c>
      <c r="R167">
        <v>-0.91454226134003835</v>
      </c>
      <c r="S167" s="8">
        <v>0.57679999999999998</v>
      </c>
      <c r="T167">
        <f t="shared" si="41"/>
        <v>0.57679999999999998</v>
      </c>
      <c r="U167">
        <f t="shared" si="46"/>
        <v>-0.55025969301139777</v>
      </c>
      <c r="V167" s="8">
        <v>0.62880000000000003</v>
      </c>
      <c r="W167">
        <f t="shared" si="47"/>
        <v>0.62880000000000003</v>
      </c>
      <c r="X167">
        <f t="shared" si="48"/>
        <v>-0.46394203786714022</v>
      </c>
      <c r="Y167" s="8">
        <v>0.48430000000000001</v>
      </c>
      <c r="Z167">
        <v>0.379</v>
      </c>
      <c r="AA167">
        <v>-0.97021907389971074</v>
      </c>
      <c r="AB167" s="8">
        <v>0.55989999999999995</v>
      </c>
      <c r="AC167">
        <f t="shared" si="49"/>
        <v>0.55989999999999995</v>
      </c>
      <c r="AD167">
        <f t="shared" si="50"/>
        <v>-0.57999708262728955</v>
      </c>
      <c r="AE167" s="8">
        <v>0.63060000000000005</v>
      </c>
      <c r="AF167">
        <f t="shared" si="51"/>
        <v>0.63060000000000005</v>
      </c>
      <c r="AG167">
        <f t="shared" si="52"/>
        <v>-0.46108353187117651</v>
      </c>
      <c r="AH167" s="8">
        <v>0.48499999999999999</v>
      </c>
      <c r="AI167">
        <v>0.38</v>
      </c>
      <c r="AJ167">
        <v>-0.96758402626170559</v>
      </c>
      <c r="AK167" s="8">
        <v>0.56140000000000001</v>
      </c>
      <c r="AL167">
        <f t="shared" si="53"/>
        <v>0.56140000000000001</v>
      </c>
      <c r="AM167">
        <f t="shared" si="54"/>
        <v>-0.57732161505435486</v>
      </c>
      <c r="AN167" s="8">
        <v>0.61450000000000005</v>
      </c>
      <c r="AO167">
        <f t="shared" si="55"/>
        <v>0.61450000000000005</v>
      </c>
      <c r="AP167">
        <f t="shared" si="56"/>
        <v>-0.48694634997604747</v>
      </c>
      <c r="AQ167" s="8">
        <v>0.47</v>
      </c>
      <c r="AR167">
        <v>0.36059999999999998</v>
      </c>
      <c r="AS167">
        <v>-1.0199859682129202</v>
      </c>
      <c r="AT167" s="8">
        <v>0.55000000000000004</v>
      </c>
      <c r="AU167">
        <f t="shared" si="57"/>
        <v>0.55000000000000004</v>
      </c>
      <c r="AV167">
        <f t="shared" si="58"/>
        <v>-0.59783700075562041</v>
      </c>
      <c r="AW167" s="8">
        <v>0.61950000000000005</v>
      </c>
      <c r="AX167">
        <f t="shared" si="59"/>
        <v>0.61950000000000005</v>
      </c>
      <c r="AY167">
        <f t="shared" si="60"/>
        <v>-0.47884257791293983</v>
      </c>
      <c r="AZ167" s="8">
        <v>0.48909999999999998</v>
      </c>
      <c r="BA167">
        <v>0.38079999999999997</v>
      </c>
      <c r="BB167">
        <v>-0.96548097606492689</v>
      </c>
      <c r="BC167" s="8">
        <v>0.56359999999999999</v>
      </c>
      <c r="BD167">
        <f t="shared" si="61"/>
        <v>0.56359999999999999</v>
      </c>
      <c r="BE167">
        <f t="shared" si="62"/>
        <v>-0.57341049895761187</v>
      </c>
      <c r="BF167" s="8">
        <v>0.63460000000000005</v>
      </c>
      <c r="BG167">
        <f t="shared" si="63"/>
        <v>0.63460000000000005</v>
      </c>
      <c r="BH167">
        <f t="shared" si="64"/>
        <v>-0.45476039983304178</v>
      </c>
      <c r="BI167" s="8">
        <v>0.54120000000000001</v>
      </c>
      <c r="BJ167">
        <v>0.43610000000000004</v>
      </c>
      <c r="BK167">
        <v>-0.82988370413341617</v>
      </c>
      <c r="BL167" s="8">
        <v>0.59699999999999998</v>
      </c>
      <c r="BM167">
        <f t="shared" si="65"/>
        <v>0.59699999999999998</v>
      </c>
      <c r="BN167">
        <f t="shared" si="66"/>
        <v>-0.51583816558953499</v>
      </c>
      <c r="BO167" s="8">
        <v>0.64559999999999995</v>
      </c>
      <c r="BP167">
        <f t="shared" si="67"/>
        <v>0.64559999999999995</v>
      </c>
      <c r="BQ167">
        <f t="shared" si="68"/>
        <v>-0.43757516202639807</v>
      </c>
      <c r="BR167" s="8">
        <v>0.60729999999999995</v>
      </c>
      <c r="BS167">
        <v>0.49949999999999994</v>
      </c>
      <c r="BT167">
        <v>-0.69414768089352896</v>
      </c>
      <c r="BU167" s="8">
        <v>0.62470000000000003</v>
      </c>
      <c r="BV167">
        <f t="shared" si="69"/>
        <v>0.62470000000000003</v>
      </c>
      <c r="BW167">
        <f t="shared" si="70"/>
        <v>-0.47048374448261276</v>
      </c>
      <c r="BX167" s="8">
        <v>0.67600000000000005</v>
      </c>
      <c r="BY167">
        <f t="shared" si="71"/>
        <v>0.67600000000000005</v>
      </c>
      <c r="BZ167">
        <f t="shared" si="72"/>
        <v>-0.39156220293917288</v>
      </c>
    </row>
    <row r="168" spans="5:78" x14ac:dyDescent="0.2">
      <c r="E168">
        <v>5.7071944444444451</v>
      </c>
      <c r="G168" s="8">
        <v>0.51900000000000002</v>
      </c>
      <c r="H168">
        <v>0.4138</v>
      </c>
      <c r="I168">
        <v>-0.88237251367069436</v>
      </c>
      <c r="J168" s="8">
        <v>0.49280000000000002</v>
      </c>
      <c r="K168">
        <f t="shared" si="42"/>
        <v>0.49280000000000002</v>
      </c>
      <c r="L168">
        <f t="shared" si="43"/>
        <v>-0.70765186676282699</v>
      </c>
      <c r="M168" s="8">
        <v>0.70279999999999998</v>
      </c>
      <c r="N168">
        <f t="shared" si="44"/>
        <v>0.70279999999999998</v>
      </c>
      <c r="O168">
        <f t="shared" si="45"/>
        <v>-0.35268292266919493</v>
      </c>
      <c r="P168" s="8">
        <v>0.5151</v>
      </c>
      <c r="Q168">
        <v>0.40949999999999998</v>
      </c>
      <c r="R168">
        <v>-0.89281837568901301</v>
      </c>
      <c r="S168" s="8">
        <v>0.58699999999999997</v>
      </c>
      <c r="T168">
        <f t="shared" si="41"/>
        <v>0.58699999999999997</v>
      </c>
      <c r="U168">
        <f t="shared" si="46"/>
        <v>-0.53273045915404071</v>
      </c>
      <c r="V168" s="8">
        <v>0.64400000000000002</v>
      </c>
      <c r="W168">
        <f t="shared" si="47"/>
        <v>0.64400000000000002</v>
      </c>
      <c r="X168">
        <f t="shared" si="48"/>
        <v>-0.44005655287778339</v>
      </c>
      <c r="Y168" s="8">
        <v>0.49890000000000001</v>
      </c>
      <c r="Z168">
        <v>0.39360000000000001</v>
      </c>
      <c r="AA168">
        <v>-0.93242011380403866</v>
      </c>
      <c r="AB168" s="8">
        <v>0.57410000000000005</v>
      </c>
      <c r="AC168">
        <f t="shared" si="49"/>
        <v>0.57410000000000005</v>
      </c>
      <c r="AD168">
        <f t="shared" si="50"/>
        <v>-0.55495168180854582</v>
      </c>
      <c r="AE168" s="8">
        <v>0.63500000000000001</v>
      </c>
      <c r="AF168">
        <f t="shared" si="51"/>
        <v>0.63500000000000001</v>
      </c>
      <c r="AG168">
        <f t="shared" si="52"/>
        <v>-0.45413028008944539</v>
      </c>
      <c r="AH168" s="8">
        <v>0.49559999999999998</v>
      </c>
      <c r="AI168">
        <v>0.3906</v>
      </c>
      <c r="AJ168">
        <v>-0.94007126053955847</v>
      </c>
      <c r="AK168" s="8">
        <v>0.57089999999999996</v>
      </c>
      <c r="AL168">
        <f t="shared" si="53"/>
        <v>0.57089999999999996</v>
      </c>
      <c r="AM168">
        <f t="shared" si="54"/>
        <v>-0.56054121601192364</v>
      </c>
      <c r="AN168" s="8">
        <v>0.62109999999999999</v>
      </c>
      <c r="AO168">
        <f t="shared" si="55"/>
        <v>0.62109999999999999</v>
      </c>
      <c r="AP168">
        <f t="shared" si="56"/>
        <v>-0.47626317941687979</v>
      </c>
      <c r="AQ168" s="8">
        <v>0.48209999999999997</v>
      </c>
      <c r="AR168">
        <v>0.37269999999999998</v>
      </c>
      <c r="AS168">
        <v>-0.98698147249692436</v>
      </c>
      <c r="AT168" s="8">
        <v>0.5595</v>
      </c>
      <c r="AU168">
        <f t="shared" si="57"/>
        <v>0.5595</v>
      </c>
      <c r="AV168">
        <f t="shared" si="58"/>
        <v>-0.58071175123015717</v>
      </c>
      <c r="AW168" s="8">
        <v>0.62770000000000004</v>
      </c>
      <c r="AX168">
        <f t="shared" si="59"/>
        <v>0.62770000000000004</v>
      </c>
      <c r="AY168">
        <f t="shared" si="60"/>
        <v>-0.46569293365865094</v>
      </c>
      <c r="AZ168" s="8">
        <v>0.51749999999999996</v>
      </c>
      <c r="BA168">
        <v>0.40919999999999995</v>
      </c>
      <c r="BB168">
        <v>-0.89355124490466575</v>
      </c>
      <c r="BC168" s="8">
        <v>0.57410000000000005</v>
      </c>
      <c r="BD168">
        <f t="shared" si="61"/>
        <v>0.57410000000000005</v>
      </c>
      <c r="BE168">
        <f t="shared" si="62"/>
        <v>-0.55495168180854582</v>
      </c>
      <c r="BF168" s="8">
        <v>0.63700000000000001</v>
      </c>
      <c r="BG168">
        <f t="shared" si="63"/>
        <v>0.63700000000000001</v>
      </c>
      <c r="BH168">
        <f t="shared" si="64"/>
        <v>-0.45098562340997367</v>
      </c>
      <c r="BI168" s="8">
        <v>0.57040000000000002</v>
      </c>
      <c r="BJ168">
        <v>0.46530000000000005</v>
      </c>
      <c r="BK168">
        <v>-0.76507292013153416</v>
      </c>
      <c r="BL168" s="8">
        <v>0.60799999999999998</v>
      </c>
      <c r="BM168">
        <f t="shared" si="65"/>
        <v>0.60799999999999998</v>
      </c>
      <c r="BN168">
        <f t="shared" si="66"/>
        <v>-0.49758039701597007</v>
      </c>
      <c r="BO168" s="8">
        <v>0.65</v>
      </c>
      <c r="BP168">
        <f t="shared" si="67"/>
        <v>0.65</v>
      </c>
      <c r="BQ168">
        <f t="shared" si="68"/>
        <v>-0.43078291609245423</v>
      </c>
      <c r="BR168" s="8">
        <v>0.62109999999999999</v>
      </c>
      <c r="BS168">
        <v>0.51329999999999998</v>
      </c>
      <c r="BT168">
        <v>-0.66689480941587964</v>
      </c>
      <c r="BU168" s="8">
        <v>0.64290000000000003</v>
      </c>
      <c r="BV168">
        <f t="shared" si="69"/>
        <v>0.64290000000000003</v>
      </c>
      <c r="BW168">
        <f t="shared" si="70"/>
        <v>-0.441766087834496</v>
      </c>
      <c r="BX168" s="8">
        <v>0.67579999999999996</v>
      </c>
      <c r="BY168">
        <f t="shared" si="71"/>
        <v>0.67579999999999996</v>
      </c>
      <c r="BZ168">
        <f t="shared" si="72"/>
        <v>-0.39185810470194754</v>
      </c>
    </row>
    <row r="169" spans="5:78" x14ac:dyDescent="0.2">
      <c r="E169">
        <v>5.9450247222222226</v>
      </c>
      <c r="G169" s="8">
        <v>0.52849999999999997</v>
      </c>
      <c r="H169">
        <v>0.42329999999999995</v>
      </c>
      <c r="I169">
        <v>-0.85967413145525917</v>
      </c>
      <c r="J169" s="8">
        <v>0.52710000000000001</v>
      </c>
      <c r="K169">
        <f t="shared" si="42"/>
        <v>0.52710000000000001</v>
      </c>
      <c r="L169">
        <f t="shared" si="43"/>
        <v>-0.64036499512097578</v>
      </c>
      <c r="M169" s="8">
        <v>0.73099999999999998</v>
      </c>
      <c r="N169">
        <f t="shared" si="44"/>
        <v>0.73099999999999998</v>
      </c>
      <c r="O169">
        <f t="shared" si="45"/>
        <v>-0.3133418192323586</v>
      </c>
      <c r="P169" s="8">
        <v>0.53490000000000004</v>
      </c>
      <c r="Q169">
        <v>0.42930000000000001</v>
      </c>
      <c r="R169">
        <v>-0.84559930375162207</v>
      </c>
      <c r="S169" s="8">
        <v>0.59279999999999999</v>
      </c>
      <c r="T169">
        <f t="shared" si="41"/>
        <v>0.59279999999999999</v>
      </c>
      <c r="U169">
        <f t="shared" si="46"/>
        <v>-0.52289820500025996</v>
      </c>
      <c r="V169" s="8">
        <v>0.63660000000000005</v>
      </c>
      <c r="W169">
        <f t="shared" si="47"/>
        <v>0.63660000000000005</v>
      </c>
      <c r="X169">
        <f t="shared" si="48"/>
        <v>-0.4516137641341445</v>
      </c>
      <c r="Y169" s="8">
        <v>0.5071</v>
      </c>
      <c r="Z169">
        <v>0.40179999999999999</v>
      </c>
      <c r="AA169">
        <v>-0.91180082660130302</v>
      </c>
      <c r="AB169" s="8">
        <v>0.58309999999999995</v>
      </c>
      <c r="AC169">
        <f t="shared" si="49"/>
        <v>0.58309999999999995</v>
      </c>
      <c r="AD169">
        <f t="shared" si="50"/>
        <v>-0.53939658075402686</v>
      </c>
      <c r="AE169" s="8">
        <v>0.63590000000000002</v>
      </c>
      <c r="AF169">
        <f t="shared" si="51"/>
        <v>0.63590000000000002</v>
      </c>
      <c r="AG169">
        <f t="shared" si="52"/>
        <v>-0.4527139607087749</v>
      </c>
      <c r="AH169" s="8">
        <v>0.5091</v>
      </c>
      <c r="AI169">
        <v>0.40410000000000001</v>
      </c>
      <c r="AJ169">
        <v>-0.90609290689770905</v>
      </c>
      <c r="AK169" s="8">
        <v>0.58220000000000005</v>
      </c>
      <c r="AL169">
        <f t="shared" si="53"/>
        <v>0.58220000000000005</v>
      </c>
      <c r="AM169">
        <f t="shared" si="54"/>
        <v>-0.54094124767061413</v>
      </c>
      <c r="AN169" s="8">
        <v>0.61750000000000005</v>
      </c>
      <c r="AO169">
        <f t="shared" si="55"/>
        <v>0.61750000000000005</v>
      </c>
      <c r="AP169">
        <f t="shared" si="56"/>
        <v>-0.48207621048000471</v>
      </c>
      <c r="AQ169" s="8">
        <v>0.49619999999999997</v>
      </c>
      <c r="AR169">
        <v>0.38679999999999998</v>
      </c>
      <c r="AS169">
        <v>-0.94984751540299783</v>
      </c>
      <c r="AT169" s="8">
        <v>0.57489999999999997</v>
      </c>
      <c r="AU169">
        <f t="shared" si="57"/>
        <v>0.57489999999999997</v>
      </c>
      <c r="AV169">
        <f t="shared" si="58"/>
        <v>-0.55355916635289193</v>
      </c>
      <c r="AW169" s="8">
        <v>0.63170000000000004</v>
      </c>
      <c r="AX169">
        <f t="shared" si="59"/>
        <v>0.63170000000000004</v>
      </c>
      <c r="AY169">
        <f t="shared" si="60"/>
        <v>-0.45934068107748227</v>
      </c>
      <c r="AZ169" s="8">
        <v>0.52229999999999999</v>
      </c>
      <c r="BA169">
        <v>0.41399999999999998</v>
      </c>
      <c r="BB169">
        <v>-0.88188930515682273</v>
      </c>
      <c r="BC169" s="8">
        <v>0.58930000000000005</v>
      </c>
      <c r="BD169">
        <f t="shared" si="61"/>
        <v>0.58930000000000005</v>
      </c>
      <c r="BE169">
        <f t="shared" si="62"/>
        <v>-0.52881988713826933</v>
      </c>
      <c r="BF169" s="8">
        <v>0.6351</v>
      </c>
      <c r="BG169">
        <f t="shared" si="63"/>
        <v>0.6351</v>
      </c>
      <c r="BH169">
        <f t="shared" si="64"/>
        <v>-0.4539728121732079</v>
      </c>
      <c r="BI169" s="8">
        <v>0.57609999999999995</v>
      </c>
      <c r="BJ169">
        <v>0.47099999999999997</v>
      </c>
      <c r="BK169">
        <v>-0.75289718496571933</v>
      </c>
      <c r="BL169" s="8">
        <v>0.60529999999999995</v>
      </c>
      <c r="BM169">
        <f t="shared" si="65"/>
        <v>0.60529999999999995</v>
      </c>
      <c r="BN169">
        <f t="shared" si="66"/>
        <v>-0.5020310760844956</v>
      </c>
      <c r="BO169" s="8">
        <v>0.6472</v>
      </c>
      <c r="BP169">
        <f t="shared" si="67"/>
        <v>0.6472</v>
      </c>
      <c r="BQ169">
        <f t="shared" si="68"/>
        <v>-0.43509991323785513</v>
      </c>
      <c r="BR169" s="8">
        <v>0.64539999999999997</v>
      </c>
      <c r="BS169">
        <v>0.53759999999999997</v>
      </c>
      <c r="BT169">
        <v>-0.6206404897731973</v>
      </c>
      <c r="BU169" s="8">
        <v>0.6331</v>
      </c>
      <c r="BV169">
        <f t="shared" si="69"/>
        <v>0.6331</v>
      </c>
      <c r="BW169">
        <f t="shared" si="70"/>
        <v>-0.4571268914320562</v>
      </c>
      <c r="BX169" s="8">
        <v>0.66969999999999996</v>
      </c>
      <c r="BY169">
        <f t="shared" si="71"/>
        <v>0.66969999999999996</v>
      </c>
      <c r="BZ169">
        <f t="shared" si="72"/>
        <v>-0.40092542806613263</v>
      </c>
    </row>
    <row r="170" spans="5:78" x14ac:dyDescent="0.2">
      <c r="E170">
        <v>6.1827869444444445</v>
      </c>
      <c r="G170" s="8">
        <v>0.53910000000000002</v>
      </c>
      <c r="H170">
        <v>0.43390000000000001</v>
      </c>
      <c r="I170">
        <v>-0.83494118617783197</v>
      </c>
      <c r="J170" s="8">
        <v>0.54810000000000003</v>
      </c>
      <c r="K170">
        <f t="shared" si="42"/>
        <v>0.54810000000000003</v>
      </c>
      <c r="L170">
        <f t="shared" si="43"/>
        <v>-0.60129752693006622</v>
      </c>
      <c r="M170" s="8">
        <v>0.64390000000000003</v>
      </c>
      <c r="N170">
        <f t="shared" si="44"/>
        <v>0.64390000000000003</v>
      </c>
      <c r="O170">
        <f t="shared" si="45"/>
        <v>-0.44021184443799921</v>
      </c>
      <c r="P170" s="8">
        <v>0.54079999999999995</v>
      </c>
      <c r="Q170">
        <v>0.43519999999999992</v>
      </c>
      <c r="R170">
        <v>-0.83194958344040437</v>
      </c>
      <c r="S170" s="8">
        <v>0.59589999999999999</v>
      </c>
      <c r="T170">
        <f t="shared" si="41"/>
        <v>0.59589999999999999</v>
      </c>
      <c r="U170">
        <f t="shared" si="46"/>
        <v>-0.51768241122920389</v>
      </c>
      <c r="V170" s="8">
        <v>0.65029999999999999</v>
      </c>
      <c r="W170">
        <f t="shared" si="47"/>
        <v>0.65029999999999999</v>
      </c>
      <c r="X170">
        <f t="shared" si="48"/>
        <v>-0.43032148410703092</v>
      </c>
      <c r="Y170" s="8">
        <v>0.51949999999999996</v>
      </c>
      <c r="Z170">
        <v>0.41419999999999996</v>
      </c>
      <c r="AA170">
        <v>-0.88140633002065338</v>
      </c>
      <c r="AB170" s="8">
        <v>0.58250000000000002</v>
      </c>
      <c r="AC170">
        <f t="shared" si="49"/>
        <v>0.58250000000000002</v>
      </c>
      <c r="AD170">
        <f t="shared" si="50"/>
        <v>-0.54042609354228144</v>
      </c>
      <c r="AE170" s="8">
        <v>0.62549999999999994</v>
      </c>
      <c r="AF170">
        <f t="shared" si="51"/>
        <v>0.62549999999999994</v>
      </c>
      <c r="AG170">
        <f t="shared" si="52"/>
        <v>-0.46920394907517132</v>
      </c>
      <c r="AH170" s="8">
        <v>0.51759999999999995</v>
      </c>
      <c r="AI170">
        <v>0.41259999999999997</v>
      </c>
      <c r="AJ170">
        <v>-0.88527667834498569</v>
      </c>
      <c r="AK170" s="8">
        <v>0.58069999999999999</v>
      </c>
      <c r="AL170">
        <f t="shared" si="53"/>
        <v>0.58069999999999999</v>
      </c>
      <c r="AM170">
        <f t="shared" si="54"/>
        <v>-0.54352100660413283</v>
      </c>
      <c r="AN170" s="8">
        <v>0.63090000000000002</v>
      </c>
      <c r="AO170">
        <f t="shared" si="55"/>
        <v>0.63090000000000002</v>
      </c>
      <c r="AP170">
        <f t="shared" si="56"/>
        <v>-0.46060790760537323</v>
      </c>
      <c r="AQ170" s="8">
        <v>0.5081</v>
      </c>
      <c r="AR170">
        <v>0.3987</v>
      </c>
      <c r="AS170">
        <v>-0.9195460245948277</v>
      </c>
      <c r="AT170" s="8">
        <v>0.57650000000000001</v>
      </c>
      <c r="AU170">
        <f t="shared" si="57"/>
        <v>0.57650000000000001</v>
      </c>
      <c r="AV170">
        <f t="shared" si="58"/>
        <v>-0.55077993927302327</v>
      </c>
      <c r="AW170" s="8">
        <v>0.62739999999999996</v>
      </c>
      <c r="AX170">
        <f t="shared" si="59"/>
        <v>0.62739999999999996</v>
      </c>
      <c r="AY170">
        <f t="shared" si="60"/>
        <v>-0.46617098322555933</v>
      </c>
      <c r="AZ170" s="8">
        <v>0.51670000000000005</v>
      </c>
      <c r="BA170">
        <v>0.40840000000000004</v>
      </c>
      <c r="BB170">
        <v>-0.89550819269162651</v>
      </c>
      <c r="BC170" s="8">
        <v>0.58630000000000004</v>
      </c>
      <c r="BD170">
        <f t="shared" si="61"/>
        <v>0.58630000000000004</v>
      </c>
      <c r="BE170">
        <f t="shared" si="62"/>
        <v>-0.53392367501196758</v>
      </c>
      <c r="BF170" s="8">
        <v>0.63700000000000001</v>
      </c>
      <c r="BG170">
        <f t="shared" si="63"/>
        <v>0.63700000000000001</v>
      </c>
      <c r="BH170">
        <f t="shared" si="64"/>
        <v>-0.45098562340997367</v>
      </c>
      <c r="BI170" s="8">
        <v>0.57340000000000002</v>
      </c>
      <c r="BJ170">
        <v>0.46830000000000005</v>
      </c>
      <c r="BK170">
        <v>-0.75864616279264085</v>
      </c>
      <c r="BL170" s="8">
        <v>0.59809999999999997</v>
      </c>
      <c r="BM170">
        <f t="shared" si="65"/>
        <v>0.59809999999999997</v>
      </c>
      <c r="BN170">
        <f t="shared" si="66"/>
        <v>-0.51399731493162581</v>
      </c>
      <c r="BO170" s="8">
        <v>0.64680000000000004</v>
      </c>
      <c r="BP170">
        <f t="shared" si="67"/>
        <v>0.64680000000000004</v>
      </c>
      <c r="BQ170">
        <f t="shared" si="68"/>
        <v>-0.43571815127918523</v>
      </c>
      <c r="BR170" s="8">
        <v>0.64180000000000004</v>
      </c>
      <c r="BS170">
        <v>0.53400000000000003</v>
      </c>
      <c r="BT170">
        <v>-0.62735944002194211</v>
      </c>
      <c r="BU170" s="8">
        <v>0.61880000000000002</v>
      </c>
      <c r="BV170">
        <f t="shared" si="69"/>
        <v>0.61880000000000002</v>
      </c>
      <c r="BW170">
        <f t="shared" si="70"/>
        <v>-0.47997316028322595</v>
      </c>
      <c r="BX170" s="8">
        <v>0.65880000000000005</v>
      </c>
      <c r="BY170">
        <f t="shared" si="71"/>
        <v>0.65880000000000005</v>
      </c>
      <c r="BZ170">
        <f t="shared" si="72"/>
        <v>-0.41733528067865172</v>
      </c>
    </row>
    <row r="171" spans="5:78" x14ac:dyDescent="0.2">
      <c r="E171">
        <v>6.4205563888888895</v>
      </c>
      <c r="G171" s="8">
        <v>0.53</v>
      </c>
      <c r="H171">
        <v>0.42480000000000001</v>
      </c>
      <c r="I171">
        <v>-0.85613680905440792</v>
      </c>
      <c r="J171" s="8">
        <v>0.56510000000000005</v>
      </c>
      <c r="K171">
        <f t="shared" si="42"/>
        <v>0.56510000000000005</v>
      </c>
      <c r="L171">
        <f t="shared" si="43"/>
        <v>-0.57075257234633936</v>
      </c>
      <c r="M171" s="8">
        <v>0.68940000000000001</v>
      </c>
      <c r="N171">
        <f t="shared" si="44"/>
        <v>0.68940000000000001</v>
      </c>
      <c r="O171">
        <f t="shared" si="45"/>
        <v>-0.37193362489937204</v>
      </c>
      <c r="P171" s="8">
        <v>0.54169999999999996</v>
      </c>
      <c r="Q171">
        <v>0.43609999999999993</v>
      </c>
      <c r="R171">
        <v>-0.82988370413341639</v>
      </c>
      <c r="S171" s="8">
        <v>0.59930000000000005</v>
      </c>
      <c r="T171">
        <f t="shared" si="41"/>
        <v>0.59930000000000005</v>
      </c>
      <c r="U171">
        <f t="shared" si="46"/>
        <v>-0.51199297151799739</v>
      </c>
      <c r="V171" s="8">
        <v>0.63819999999999999</v>
      </c>
      <c r="W171">
        <f t="shared" si="47"/>
        <v>0.63819999999999999</v>
      </c>
      <c r="X171">
        <f t="shared" si="48"/>
        <v>-0.44910356513799393</v>
      </c>
      <c r="Y171" s="8">
        <v>0.53049999999999997</v>
      </c>
      <c r="Z171">
        <v>0.42519999999999997</v>
      </c>
      <c r="AA171">
        <v>-0.85519563251434427</v>
      </c>
      <c r="AB171" s="8">
        <v>0.59130000000000005</v>
      </c>
      <c r="AC171">
        <f t="shared" si="49"/>
        <v>0.59130000000000005</v>
      </c>
      <c r="AD171">
        <f t="shared" si="50"/>
        <v>-0.52543177615535275</v>
      </c>
      <c r="AE171" s="8">
        <v>0.629</v>
      </c>
      <c r="AF171">
        <f t="shared" si="51"/>
        <v>0.629</v>
      </c>
      <c r="AG171">
        <f t="shared" si="52"/>
        <v>-0.46362402228169652</v>
      </c>
      <c r="AH171" s="8">
        <v>0.53110000000000002</v>
      </c>
      <c r="AI171">
        <v>0.42610000000000003</v>
      </c>
      <c r="AJ171">
        <v>-0.85308121847627061</v>
      </c>
      <c r="AK171" s="8">
        <v>0.58160000000000001</v>
      </c>
      <c r="AL171">
        <f t="shared" si="53"/>
        <v>0.58160000000000001</v>
      </c>
      <c r="AM171">
        <f t="shared" si="54"/>
        <v>-0.5419723527628274</v>
      </c>
      <c r="AN171" s="8">
        <v>0.61819999999999997</v>
      </c>
      <c r="AO171">
        <f t="shared" si="55"/>
        <v>0.61819999999999997</v>
      </c>
      <c r="AP171">
        <f t="shared" si="56"/>
        <v>-0.48094324928412119</v>
      </c>
      <c r="AQ171" s="8">
        <v>0.51419999999999999</v>
      </c>
      <c r="AR171">
        <v>0.40479999999999999</v>
      </c>
      <c r="AS171">
        <v>-0.90436216100888123</v>
      </c>
      <c r="AT171" s="8">
        <v>0.58009999999999995</v>
      </c>
      <c r="AU171">
        <f t="shared" si="57"/>
        <v>0.58009999999999995</v>
      </c>
      <c r="AV171">
        <f t="shared" si="58"/>
        <v>-0.54455477651011852</v>
      </c>
      <c r="AW171" s="8">
        <v>0.63329999999999997</v>
      </c>
      <c r="AX171">
        <f t="shared" si="59"/>
        <v>0.63329999999999997</v>
      </c>
      <c r="AY171">
        <f t="shared" si="60"/>
        <v>-0.45681103545975249</v>
      </c>
      <c r="AZ171" s="8">
        <v>0.54090000000000005</v>
      </c>
      <c r="BA171">
        <v>0.43260000000000004</v>
      </c>
      <c r="BB171">
        <v>-0.83794176546317856</v>
      </c>
      <c r="BC171" s="8">
        <v>0.59289999999999998</v>
      </c>
      <c r="BD171">
        <f t="shared" si="61"/>
        <v>0.59289999999999998</v>
      </c>
      <c r="BE171">
        <f t="shared" si="62"/>
        <v>-0.52272952826881502</v>
      </c>
      <c r="BF171" s="8">
        <v>0.63049999999999995</v>
      </c>
      <c r="BG171">
        <f t="shared" si="63"/>
        <v>0.63049999999999995</v>
      </c>
      <c r="BH171">
        <f t="shared" si="64"/>
        <v>-0.46124212357716288</v>
      </c>
      <c r="BI171" s="8">
        <v>0.58989999999999998</v>
      </c>
      <c r="BJ171">
        <v>0.48480000000000001</v>
      </c>
      <c r="BK171">
        <v>-0.72401884422703233</v>
      </c>
      <c r="BL171" s="8">
        <v>0.60229999999999995</v>
      </c>
      <c r="BM171">
        <f t="shared" si="65"/>
        <v>0.60229999999999995</v>
      </c>
      <c r="BN171">
        <f t="shared" si="66"/>
        <v>-0.5069996189324617</v>
      </c>
      <c r="BO171" s="8">
        <v>0.65239999999999998</v>
      </c>
      <c r="BP171">
        <f t="shared" si="67"/>
        <v>0.65239999999999998</v>
      </c>
      <c r="BQ171">
        <f t="shared" si="68"/>
        <v>-0.42709740823527825</v>
      </c>
      <c r="BR171" s="8">
        <v>0.64910000000000001</v>
      </c>
      <c r="BS171">
        <v>0.5413</v>
      </c>
      <c r="BT171">
        <v>-0.61378162517920487</v>
      </c>
      <c r="BU171" s="8">
        <v>0.64180000000000004</v>
      </c>
      <c r="BV171">
        <f t="shared" si="69"/>
        <v>0.64180000000000004</v>
      </c>
      <c r="BW171">
        <f t="shared" si="70"/>
        <v>-0.4434785503063805</v>
      </c>
      <c r="BX171" s="8">
        <v>0.65759999999999996</v>
      </c>
      <c r="BY171">
        <f t="shared" si="71"/>
        <v>0.65759999999999996</v>
      </c>
      <c r="BZ171">
        <f t="shared" si="72"/>
        <v>-0.41915843524016694</v>
      </c>
    </row>
    <row r="172" spans="5:78" x14ac:dyDescent="0.2">
      <c r="E172">
        <v>6.658389722222223</v>
      </c>
      <c r="G172" s="8">
        <v>0.52890000000000004</v>
      </c>
      <c r="H172">
        <v>0.42370000000000002</v>
      </c>
      <c r="I172">
        <v>-0.8587296213496235</v>
      </c>
      <c r="J172" s="8">
        <v>0.57750000000000001</v>
      </c>
      <c r="K172">
        <f t="shared" si="42"/>
        <v>0.57750000000000001</v>
      </c>
      <c r="L172">
        <f t="shared" si="43"/>
        <v>-0.54904683658618847</v>
      </c>
      <c r="M172" s="8">
        <v>0.72919999999999996</v>
      </c>
      <c r="N172">
        <f t="shared" si="44"/>
        <v>0.72919999999999996</v>
      </c>
      <c r="O172">
        <f t="shared" si="45"/>
        <v>-0.31580723617762912</v>
      </c>
      <c r="P172" s="8">
        <v>0.53910000000000002</v>
      </c>
      <c r="Q172">
        <v>0.4335</v>
      </c>
      <c r="R172">
        <v>-0.83586348276154054</v>
      </c>
      <c r="S172" s="8">
        <v>0.59540000000000004</v>
      </c>
      <c r="T172">
        <f t="shared" si="41"/>
        <v>0.59540000000000004</v>
      </c>
      <c r="U172">
        <f t="shared" si="46"/>
        <v>-0.51852183040046096</v>
      </c>
      <c r="V172" s="8">
        <v>0.62109999999999999</v>
      </c>
      <c r="W172">
        <f t="shared" si="47"/>
        <v>0.62109999999999999</v>
      </c>
      <c r="X172">
        <f t="shared" si="48"/>
        <v>-0.47626317941687979</v>
      </c>
      <c r="Y172" s="8">
        <v>0.5262</v>
      </c>
      <c r="Z172">
        <v>0.4209</v>
      </c>
      <c r="AA172">
        <v>-0.86536000320561213</v>
      </c>
      <c r="AB172" s="8">
        <v>0.58760000000000001</v>
      </c>
      <c r="AC172">
        <f t="shared" si="49"/>
        <v>0.58760000000000001</v>
      </c>
      <c r="AD172">
        <f t="shared" si="50"/>
        <v>-0.53170883468241481</v>
      </c>
      <c r="AE172" s="8">
        <v>0.62860000000000005</v>
      </c>
      <c r="AF172">
        <f t="shared" si="51"/>
        <v>0.62860000000000005</v>
      </c>
      <c r="AG172">
        <f t="shared" si="52"/>
        <v>-0.46426015461866976</v>
      </c>
      <c r="AH172" s="8">
        <v>0.53</v>
      </c>
      <c r="AI172">
        <v>0.42500000000000004</v>
      </c>
      <c r="AJ172">
        <v>-0.85566611005772009</v>
      </c>
      <c r="AK172" s="8">
        <v>0.58089999999999997</v>
      </c>
      <c r="AL172">
        <f t="shared" si="53"/>
        <v>0.58089999999999997</v>
      </c>
      <c r="AM172">
        <f t="shared" si="54"/>
        <v>-0.54317665398365034</v>
      </c>
      <c r="AN172" s="8">
        <v>0.60829999999999995</v>
      </c>
      <c r="AO172">
        <f t="shared" si="55"/>
        <v>0.60829999999999995</v>
      </c>
      <c r="AP172">
        <f t="shared" si="56"/>
        <v>-0.49708709765547748</v>
      </c>
      <c r="AQ172" s="8">
        <v>0.51600000000000001</v>
      </c>
      <c r="AR172">
        <v>0.40660000000000002</v>
      </c>
      <c r="AS172">
        <v>-0.89992537778789072</v>
      </c>
      <c r="AT172" s="8">
        <v>0.58450000000000002</v>
      </c>
      <c r="AU172">
        <f t="shared" si="57"/>
        <v>0.58450000000000002</v>
      </c>
      <c r="AV172">
        <f t="shared" si="58"/>
        <v>-0.53699849807001387</v>
      </c>
      <c r="AW172" s="8">
        <v>0.629</v>
      </c>
      <c r="AX172">
        <f t="shared" si="59"/>
        <v>0.629</v>
      </c>
      <c r="AY172">
        <f t="shared" si="60"/>
        <v>-0.46362402228169652</v>
      </c>
      <c r="AZ172" s="8">
        <v>0.53500000000000003</v>
      </c>
      <c r="BA172">
        <v>0.42670000000000002</v>
      </c>
      <c r="BB172">
        <v>-0.85167408878818274</v>
      </c>
      <c r="BC172" s="8">
        <v>0.59599999999999997</v>
      </c>
      <c r="BD172">
        <f t="shared" si="61"/>
        <v>0.59599999999999997</v>
      </c>
      <c r="BE172">
        <f t="shared" si="62"/>
        <v>-0.51751461191678738</v>
      </c>
      <c r="BF172" s="8">
        <v>0.62460000000000004</v>
      </c>
      <c r="BG172">
        <f t="shared" si="63"/>
        <v>0.62460000000000004</v>
      </c>
      <c r="BH172">
        <f t="shared" si="64"/>
        <v>-0.4706438341331588</v>
      </c>
      <c r="BI172" s="8">
        <v>0.59330000000000005</v>
      </c>
      <c r="BJ172">
        <v>0.48820000000000008</v>
      </c>
      <c r="BK172">
        <v>-0.71703012102327723</v>
      </c>
      <c r="BL172" s="8">
        <v>0.60650000000000004</v>
      </c>
      <c r="BM172">
        <f t="shared" si="65"/>
        <v>0.60650000000000004</v>
      </c>
      <c r="BN172">
        <f t="shared" si="66"/>
        <v>-0.50005055059803216</v>
      </c>
      <c r="BO172" s="8">
        <v>0.64859999999999995</v>
      </c>
      <c r="BP172">
        <f t="shared" si="67"/>
        <v>0.64859999999999995</v>
      </c>
      <c r="BQ172">
        <f t="shared" si="68"/>
        <v>-0.43293908510891954</v>
      </c>
      <c r="BR172" s="8">
        <v>0.65739999999999998</v>
      </c>
      <c r="BS172">
        <v>0.54959999999999998</v>
      </c>
      <c r="BT172">
        <v>-0.59856453807399745</v>
      </c>
      <c r="BU172" s="8">
        <v>0.63419999999999999</v>
      </c>
      <c r="BV172">
        <f t="shared" si="69"/>
        <v>0.63419999999999999</v>
      </c>
      <c r="BW172">
        <f t="shared" si="70"/>
        <v>-0.45539091687789013</v>
      </c>
      <c r="BX172" s="8">
        <v>0.65139999999999998</v>
      </c>
      <c r="BY172">
        <f t="shared" si="71"/>
        <v>0.65139999999999998</v>
      </c>
      <c r="BZ172">
        <f t="shared" si="72"/>
        <v>-0.42863138614000396</v>
      </c>
    </row>
    <row r="173" spans="5:78" x14ac:dyDescent="0.2">
      <c r="E173">
        <v>6.8961552777777779</v>
      </c>
      <c r="G173" s="8">
        <v>0.52739999999999998</v>
      </c>
      <c r="H173">
        <v>0.42219999999999996</v>
      </c>
      <c r="I173">
        <v>-0.86227614356791693</v>
      </c>
      <c r="J173" s="8">
        <v>0.58919999999999995</v>
      </c>
      <c r="K173">
        <f t="shared" si="42"/>
        <v>0.58919999999999995</v>
      </c>
      <c r="L173">
        <f t="shared" si="43"/>
        <v>-0.52898959439366189</v>
      </c>
      <c r="M173" s="8">
        <v>0.69440000000000002</v>
      </c>
      <c r="N173">
        <f t="shared" si="44"/>
        <v>0.69440000000000002</v>
      </c>
      <c r="O173">
        <f t="shared" si="45"/>
        <v>-0.36470711563599661</v>
      </c>
      <c r="P173" s="8">
        <v>0.53900000000000003</v>
      </c>
      <c r="Q173">
        <v>0.43340000000000001</v>
      </c>
      <c r="R173">
        <v>-0.83609418987987838</v>
      </c>
      <c r="S173" s="8">
        <v>0.59119999999999995</v>
      </c>
      <c r="T173">
        <f t="shared" si="41"/>
        <v>0.59119999999999995</v>
      </c>
      <c r="U173">
        <f t="shared" si="46"/>
        <v>-0.52560090934814507</v>
      </c>
      <c r="V173" s="8">
        <v>0.61460000000000004</v>
      </c>
      <c r="W173">
        <f t="shared" si="47"/>
        <v>0.61460000000000004</v>
      </c>
      <c r="X173">
        <f t="shared" si="48"/>
        <v>-0.48678362928575269</v>
      </c>
      <c r="Y173" s="8">
        <v>0.52959999999999996</v>
      </c>
      <c r="Z173">
        <v>0.42429999999999995</v>
      </c>
      <c r="AA173">
        <v>-0.857314526773858</v>
      </c>
      <c r="AB173" s="8">
        <v>0.57830000000000004</v>
      </c>
      <c r="AC173">
        <f t="shared" si="49"/>
        <v>0.57830000000000004</v>
      </c>
      <c r="AD173">
        <f t="shared" si="50"/>
        <v>-0.54766251381796438</v>
      </c>
      <c r="AE173" s="8">
        <v>0.61660000000000004</v>
      </c>
      <c r="AF173">
        <f t="shared" si="51"/>
        <v>0.61660000000000004</v>
      </c>
      <c r="AG173">
        <f t="shared" si="52"/>
        <v>-0.48353476353008701</v>
      </c>
      <c r="AH173" s="8">
        <v>0.52839999999999998</v>
      </c>
      <c r="AI173">
        <v>0.4234</v>
      </c>
      <c r="AJ173">
        <v>-0.85943792028137223</v>
      </c>
      <c r="AK173" s="8">
        <v>0.57330000000000003</v>
      </c>
      <c r="AL173">
        <f t="shared" si="53"/>
        <v>0.57330000000000003</v>
      </c>
      <c r="AM173">
        <f t="shared" si="54"/>
        <v>-0.55634613906779995</v>
      </c>
      <c r="AN173" s="8">
        <v>0.60509999999999997</v>
      </c>
      <c r="AO173">
        <f t="shared" si="55"/>
        <v>0.60509999999999997</v>
      </c>
      <c r="AP173">
        <f t="shared" si="56"/>
        <v>-0.50236154535386135</v>
      </c>
      <c r="AQ173" s="8">
        <v>0.51359999999999995</v>
      </c>
      <c r="AR173">
        <v>0.40419999999999995</v>
      </c>
      <c r="AS173">
        <v>-0.9058454740126165</v>
      </c>
      <c r="AT173" s="8">
        <v>0.57499999999999996</v>
      </c>
      <c r="AU173">
        <f t="shared" si="57"/>
        <v>0.57499999999999996</v>
      </c>
      <c r="AV173">
        <f t="shared" si="58"/>
        <v>-0.55338523818478669</v>
      </c>
      <c r="AW173" s="8">
        <v>0.61870000000000003</v>
      </c>
      <c r="AX173">
        <f t="shared" si="59"/>
        <v>0.61870000000000003</v>
      </c>
      <c r="AY173">
        <f t="shared" si="60"/>
        <v>-0.48013477644519387</v>
      </c>
      <c r="AZ173" s="8">
        <v>0.5131</v>
      </c>
      <c r="BA173">
        <v>0.40479999999999999</v>
      </c>
      <c r="BB173">
        <v>-0.90436216100888123</v>
      </c>
      <c r="BC173" s="8">
        <v>0.58099999999999996</v>
      </c>
      <c r="BD173">
        <f t="shared" si="61"/>
        <v>0.58099999999999996</v>
      </c>
      <c r="BE173">
        <f t="shared" si="62"/>
        <v>-0.54300452213022588</v>
      </c>
      <c r="BF173" s="8">
        <v>0.62050000000000005</v>
      </c>
      <c r="BG173">
        <f t="shared" si="63"/>
        <v>0.62050000000000005</v>
      </c>
      <c r="BH173">
        <f t="shared" si="64"/>
        <v>-0.4772296743374751</v>
      </c>
      <c r="BI173" s="8">
        <v>0.57730000000000004</v>
      </c>
      <c r="BJ173">
        <v>0.47220000000000006</v>
      </c>
      <c r="BK173">
        <v>-0.7503526543307244</v>
      </c>
      <c r="BL173" s="8">
        <v>0.59109999999999996</v>
      </c>
      <c r="BM173">
        <f t="shared" si="65"/>
        <v>0.59109999999999996</v>
      </c>
      <c r="BN173">
        <f t="shared" si="66"/>
        <v>-0.52577007115181329</v>
      </c>
      <c r="BO173" s="8">
        <v>0.6482</v>
      </c>
      <c r="BP173">
        <f t="shared" si="67"/>
        <v>0.6482</v>
      </c>
      <c r="BQ173">
        <f t="shared" si="68"/>
        <v>-0.43355598827469005</v>
      </c>
      <c r="BR173" s="8">
        <v>0.64270000000000005</v>
      </c>
      <c r="BS173">
        <v>0.53490000000000004</v>
      </c>
      <c r="BT173">
        <v>-0.62567546544493258</v>
      </c>
      <c r="BU173" s="8">
        <v>0.62360000000000004</v>
      </c>
      <c r="BV173">
        <f t="shared" si="69"/>
        <v>0.62360000000000004</v>
      </c>
      <c r="BW173">
        <f t="shared" si="70"/>
        <v>-0.47224614179851554</v>
      </c>
      <c r="BX173" s="8">
        <v>0.64659999999999995</v>
      </c>
      <c r="BY173">
        <f t="shared" si="71"/>
        <v>0.64659999999999995</v>
      </c>
      <c r="BZ173">
        <f t="shared" si="72"/>
        <v>-0.43602741369080444</v>
      </c>
    </row>
    <row r="174" spans="5:78" x14ac:dyDescent="0.2">
      <c r="E174">
        <v>7.1339474999999997</v>
      </c>
      <c r="G174" s="8">
        <v>0.52249999999999996</v>
      </c>
      <c r="H174">
        <v>0.41729999999999995</v>
      </c>
      <c r="I174">
        <v>-0.87394989138463031</v>
      </c>
      <c r="J174" s="8">
        <v>0.60629999999999995</v>
      </c>
      <c r="K174">
        <f t="shared" si="42"/>
        <v>0.60629999999999995</v>
      </c>
      <c r="L174">
        <f t="shared" si="43"/>
        <v>-0.50038036590445212</v>
      </c>
      <c r="M174" s="8">
        <v>0.66659999999999997</v>
      </c>
      <c r="N174">
        <f t="shared" si="44"/>
        <v>0.66659999999999997</v>
      </c>
      <c r="O174">
        <f t="shared" si="45"/>
        <v>-0.4055651131084978</v>
      </c>
      <c r="P174" s="8">
        <v>0.53779999999999994</v>
      </c>
      <c r="Q174">
        <v>0.43219999999999992</v>
      </c>
      <c r="R174">
        <v>-0.83886683490935166</v>
      </c>
      <c r="S174" s="8">
        <v>0.59240000000000004</v>
      </c>
      <c r="T174">
        <f t="shared" si="41"/>
        <v>0.59240000000000004</v>
      </c>
      <c r="U174">
        <f t="shared" si="46"/>
        <v>-0.52357319658849322</v>
      </c>
      <c r="V174" s="8">
        <v>0.621</v>
      </c>
      <c r="W174">
        <f t="shared" si="47"/>
        <v>0.621</v>
      </c>
      <c r="X174">
        <f t="shared" si="48"/>
        <v>-0.47642419704865829</v>
      </c>
      <c r="Y174" s="8">
        <v>0.53190000000000004</v>
      </c>
      <c r="Z174">
        <v>0.42660000000000003</v>
      </c>
      <c r="AA174">
        <v>-0.85190847294488681</v>
      </c>
      <c r="AB174" s="8">
        <v>0.57999999999999996</v>
      </c>
      <c r="AC174">
        <f t="shared" si="49"/>
        <v>0.57999999999999996</v>
      </c>
      <c r="AD174">
        <f t="shared" si="50"/>
        <v>-0.54472717544167215</v>
      </c>
      <c r="AE174" s="8">
        <v>0.61419999999999997</v>
      </c>
      <c r="AF174">
        <f t="shared" si="51"/>
        <v>0.61419999999999997</v>
      </c>
      <c r="AG174">
        <f t="shared" si="52"/>
        <v>-0.4874346709754151</v>
      </c>
      <c r="AH174" s="8">
        <v>0.53539999999999999</v>
      </c>
      <c r="AI174">
        <v>0.4304</v>
      </c>
      <c r="AJ174">
        <v>-0.8430402701345624</v>
      </c>
      <c r="AK174" s="8">
        <v>0.57330000000000003</v>
      </c>
      <c r="AL174">
        <f t="shared" si="53"/>
        <v>0.57330000000000003</v>
      </c>
      <c r="AM174">
        <f t="shared" si="54"/>
        <v>-0.55634613906779995</v>
      </c>
      <c r="AN174" s="8">
        <v>0.5978</v>
      </c>
      <c r="AO174">
        <f t="shared" si="55"/>
        <v>0.5978</v>
      </c>
      <c r="AP174">
        <f t="shared" si="56"/>
        <v>-0.51449902913229961</v>
      </c>
      <c r="AQ174" s="8">
        <v>0.51539999999999997</v>
      </c>
      <c r="AR174">
        <v>0.40599999999999997</v>
      </c>
      <c r="AS174">
        <v>-0.90140211938040449</v>
      </c>
      <c r="AT174" s="8">
        <v>0.57620000000000005</v>
      </c>
      <c r="AU174">
        <f t="shared" si="57"/>
        <v>0.57620000000000005</v>
      </c>
      <c r="AV174">
        <f t="shared" si="58"/>
        <v>-0.55130045633170888</v>
      </c>
      <c r="AW174" s="8">
        <v>0.61329999999999996</v>
      </c>
      <c r="AX174">
        <f t="shared" si="59"/>
        <v>0.61329999999999996</v>
      </c>
      <c r="AY174">
        <f t="shared" si="60"/>
        <v>-0.48890106635019909</v>
      </c>
      <c r="AZ174" s="8">
        <v>0.51639999999999997</v>
      </c>
      <c r="BA174">
        <v>0.40809999999999996</v>
      </c>
      <c r="BB174">
        <v>-0.89624303657037718</v>
      </c>
      <c r="BC174" s="8">
        <v>0.58220000000000005</v>
      </c>
      <c r="BD174">
        <f t="shared" si="61"/>
        <v>0.58220000000000005</v>
      </c>
      <c r="BE174">
        <f t="shared" si="62"/>
        <v>-0.54094124767061413</v>
      </c>
      <c r="BF174" s="8">
        <v>0.61280000000000001</v>
      </c>
      <c r="BG174">
        <f t="shared" si="63"/>
        <v>0.61280000000000001</v>
      </c>
      <c r="BH174">
        <f t="shared" si="64"/>
        <v>-0.48971666055575547</v>
      </c>
      <c r="BI174" s="8">
        <v>0.58230000000000004</v>
      </c>
      <c r="BJ174">
        <v>0.47720000000000007</v>
      </c>
      <c r="BK174">
        <v>-0.73981958875837583</v>
      </c>
      <c r="BL174" s="8">
        <v>0.58889999999999998</v>
      </c>
      <c r="BM174">
        <f t="shared" si="65"/>
        <v>0.58889999999999998</v>
      </c>
      <c r="BN174">
        <f t="shared" si="66"/>
        <v>-0.52949888903161202</v>
      </c>
      <c r="BO174" s="8">
        <v>0.64319999999999999</v>
      </c>
      <c r="BP174">
        <f t="shared" si="67"/>
        <v>0.64319999999999999</v>
      </c>
      <c r="BQ174">
        <f t="shared" si="68"/>
        <v>-0.44129956111738045</v>
      </c>
      <c r="BR174" s="8">
        <v>0.63990000000000002</v>
      </c>
      <c r="BS174">
        <v>0.53210000000000002</v>
      </c>
      <c r="BT174">
        <v>-0.63092383737981339</v>
      </c>
      <c r="BU174" s="8">
        <v>0.63119999999999998</v>
      </c>
      <c r="BV174">
        <f t="shared" si="69"/>
        <v>0.63119999999999998</v>
      </c>
      <c r="BW174">
        <f t="shared" si="70"/>
        <v>-0.46013250945047257</v>
      </c>
      <c r="BX174" s="8">
        <v>0.63239999999999996</v>
      </c>
      <c r="BY174">
        <f t="shared" si="71"/>
        <v>0.63239999999999996</v>
      </c>
      <c r="BZ174">
        <f t="shared" si="72"/>
        <v>-0.45823317364682015</v>
      </c>
    </row>
    <row r="175" spans="5:78" x14ac:dyDescent="0.2">
      <c r="E175">
        <v>7.3717841666666661</v>
      </c>
      <c r="G175" s="8">
        <v>0.52180000000000004</v>
      </c>
      <c r="H175">
        <v>0.41660000000000003</v>
      </c>
      <c r="I175">
        <v>-0.87562875015526542</v>
      </c>
      <c r="J175" s="8">
        <v>0.59609999999999996</v>
      </c>
      <c r="K175">
        <f t="shared" si="42"/>
        <v>0.59609999999999996</v>
      </c>
      <c r="L175">
        <f t="shared" si="43"/>
        <v>-0.51734684075625625</v>
      </c>
      <c r="M175" s="8">
        <v>0.69299999999999995</v>
      </c>
      <c r="N175">
        <f t="shared" si="44"/>
        <v>0.69299999999999995</v>
      </c>
      <c r="O175">
        <f t="shared" si="45"/>
        <v>-0.3667252797922339</v>
      </c>
      <c r="P175" s="8">
        <v>0.54820000000000002</v>
      </c>
      <c r="Q175">
        <v>0.44259999999999999</v>
      </c>
      <c r="R175">
        <v>-0.81508885136518783</v>
      </c>
      <c r="S175" s="8">
        <v>0.5776</v>
      </c>
      <c r="T175">
        <f t="shared" si="41"/>
        <v>0.5776</v>
      </c>
      <c r="U175">
        <f t="shared" si="46"/>
        <v>-0.5488736914035206</v>
      </c>
      <c r="V175" s="8">
        <v>0.60109999999999997</v>
      </c>
      <c r="W175">
        <f t="shared" si="47"/>
        <v>0.60109999999999997</v>
      </c>
      <c r="X175">
        <f t="shared" si="48"/>
        <v>-0.50899396893702076</v>
      </c>
      <c r="Y175" s="8">
        <v>0.52980000000000005</v>
      </c>
      <c r="Z175">
        <v>0.42450000000000004</v>
      </c>
      <c r="AA175">
        <v>-0.85684327323073495</v>
      </c>
      <c r="AB175" s="8">
        <v>0.56999999999999995</v>
      </c>
      <c r="AC175">
        <f t="shared" si="49"/>
        <v>0.56999999999999995</v>
      </c>
      <c r="AD175">
        <f t="shared" si="50"/>
        <v>-0.56211891815354131</v>
      </c>
      <c r="AE175" s="8">
        <v>0.61029999999999995</v>
      </c>
      <c r="AF175">
        <f t="shared" si="51"/>
        <v>0.61029999999999995</v>
      </c>
      <c r="AG175">
        <f t="shared" si="52"/>
        <v>-0.49380463943168784</v>
      </c>
      <c r="AH175" s="8">
        <v>0.53659999999999997</v>
      </c>
      <c r="AI175">
        <v>0.43159999999999998</v>
      </c>
      <c r="AJ175">
        <v>-0.84025604559815747</v>
      </c>
      <c r="AK175" s="8">
        <v>0.57040000000000002</v>
      </c>
      <c r="AL175">
        <f t="shared" si="53"/>
        <v>0.57040000000000002</v>
      </c>
      <c r="AM175">
        <f t="shared" si="54"/>
        <v>-0.5614174098820508</v>
      </c>
      <c r="AN175" s="8">
        <v>0.58919999999999995</v>
      </c>
      <c r="AO175">
        <f t="shared" si="55"/>
        <v>0.58919999999999995</v>
      </c>
      <c r="AP175">
        <f t="shared" si="56"/>
        <v>-0.52898959439366189</v>
      </c>
      <c r="AQ175" s="8">
        <v>0.51619999999999999</v>
      </c>
      <c r="AR175">
        <v>0.40679999999999999</v>
      </c>
      <c r="AS175">
        <v>-0.89943361480773221</v>
      </c>
      <c r="AT175" s="8">
        <v>0.57330000000000003</v>
      </c>
      <c r="AU175">
        <f t="shared" si="57"/>
        <v>0.57330000000000003</v>
      </c>
      <c r="AV175">
        <f t="shared" si="58"/>
        <v>-0.55634613906779995</v>
      </c>
      <c r="AW175" s="8">
        <v>0.60940000000000005</v>
      </c>
      <c r="AX175">
        <f t="shared" si="59"/>
        <v>0.60940000000000005</v>
      </c>
      <c r="AY175">
        <f t="shared" si="60"/>
        <v>-0.49528041243052828</v>
      </c>
      <c r="AZ175" s="8">
        <v>0.51329999999999998</v>
      </c>
      <c r="BA175">
        <v>0.40499999999999997</v>
      </c>
      <c r="BB175">
        <v>-0.90386821187559796</v>
      </c>
      <c r="BC175" s="8">
        <v>0.57909999999999995</v>
      </c>
      <c r="BD175">
        <f t="shared" si="61"/>
        <v>0.57909999999999995</v>
      </c>
      <c r="BE175">
        <f t="shared" si="62"/>
        <v>-0.54628010475039301</v>
      </c>
      <c r="BF175" s="8">
        <v>0.60460000000000003</v>
      </c>
      <c r="BG175">
        <f t="shared" si="63"/>
        <v>0.60460000000000003</v>
      </c>
      <c r="BH175">
        <f t="shared" si="64"/>
        <v>-0.50318819663677938</v>
      </c>
      <c r="BI175" s="8">
        <v>0.57950000000000002</v>
      </c>
      <c r="BJ175">
        <v>0.47440000000000004</v>
      </c>
      <c r="BK175">
        <v>-0.7457044312986213</v>
      </c>
      <c r="BL175" s="8">
        <v>0.59</v>
      </c>
      <c r="BM175">
        <f t="shared" si="65"/>
        <v>0.59</v>
      </c>
      <c r="BN175">
        <f t="shared" si="66"/>
        <v>-0.52763274208237199</v>
      </c>
      <c r="BO175" s="8">
        <v>0.64929999999999999</v>
      </c>
      <c r="BP175">
        <f t="shared" si="67"/>
        <v>0.64929999999999999</v>
      </c>
      <c r="BQ175">
        <f t="shared" si="68"/>
        <v>-0.43186041946769599</v>
      </c>
      <c r="BR175" s="8">
        <v>0.63160000000000005</v>
      </c>
      <c r="BS175">
        <v>0.52380000000000004</v>
      </c>
      <c r="BT175">
        <v>-0.64664534690852549</v>
      </c>
      <c r="BU175" s="8">
        <v>0.63549999999999995</v>
      </c>
      <c r="BV175">
        <f t="shared" si="69"/>
        <v>0.63549999999999995</v>
      </c>
      <c r="BW175">
        <f t="shared" si="70"/>
        <v>-0.45334318835262838</v>
      </c>
      <c r="BX175" s="8">
        <v>0.63229999999999997</v>
      </c>
      <c r="BY175">
        <f t="shared" si="71"/>
        <v>0.63229999999999997</v>
      </c>
      <c r="BZ175">
        <f t="shared" si="72"/>
        <v>-0.4583913139175696</v>
      </c>
    </row>
    <row r="176" spans="5:78" x14ac:dyDescent="0.2">
      <c r="E176">
        <v>7.609548055555555</v>
      </c>
      <c r="G176" s="8">
        <v>0.51270000000000004</v>
      </c>
      <c r="H176">
        <v>0.40750000000000003</v>
      </c>
      <c r="I176">
        <v>-0.8977143463012196</v>
      </c>
      <c r="J176" s="8">
        <v>0.60589999999999999</v>
      </c>
      <c r="K176">
        <f t="shared" si="42"/>
        <v>0.60589999999999999</v>
      </c>
      <c r="L176">
        <f t="shared" si="43"/>
        <v>-0.50104032303119372</v>
      </c>
      <c r="M176" s="8">
        <v>0.67159999999999997</v>
      </c>
      <c r="N176">
        <f t="shared" si="44"/>
        <v>0.67159999999999997</v>
      </c>
      <c r="O176">
        <f t="shared" si="45"/>
        <v>-0.39809235377875135</v>
      </c>
      <c r="P176" s="8">
        <v>0.52869999999999995</v>
      </c>
      <c r="Q176">
        <v>0.42309999999999992</v>
      </c>
      <c r="R176">
        <v>-0.86014672125611547</v>
      </c>
      <c r="S176" s="8">
        <v>0.5827</v>
      </c>
      <c r="T176">
        <f t="shared" si="41"/>
        <v>0.5827</v>
      </c>
      <c r="U176">
        <f t="shared" si="46"/>
        <v>-0.54008280483310855</v>
      </c>
      <c r="V176" s="8">
        <v>0.61009999999999998</v>
      </c>
      <c r="W176">
        <f t="shared" si="47"/>
        <v>0.61009999999999998</v>
      </c>
      <c r="X176">
        <f t="shared" si="48"/>
        <v>-0.49413240082433035</v>
      </c>
      <c r="Y176" s="8">
        <v>0.51739999999999997</v>
      </c>
      <c r="Z176">
        <v>0.41209999999999997</v>
      </c>
      <c r="AA176">
        <v>-0.88648924063736545</v>
      </c>
      <c r="AB176" s="8">
        <v>0.57089999999999996</v>
      </c>
      <c r="AC176">
        <f t="shared" si="49"/>
        <v>0.57089999999999996</v>
      </c>
      <c r="AD176">
        <f t="shared" si="50"/>
        <v>-0.56054121601192364</v>
      </c>
      <c r="AE176" s="8">
        <v>0.60009999999999997</v>
      </c>
      <c r="AF176">
        <f t="shared" si="51"/>
        <v>0.60009999999999997</v>
      </c>
      <c r="AG176">
        <f t="shared" si="52"/>
        <v>-0.5106589709866699</v>
      </c>
      <c r="AH176" s="8">
        <v>0.5272</v>
      </c>
      <c r="AI176">
        <v>0.42220000000000002</v>
      </c>
      <c r="AJ176">
        <v>-0.86227614356791682</v>
      </c>
      <c r="AK176" s="8">
        <v>0.56689999999999996</v>
      </c>
      <c r="AL176">
        <f t="shared" si="53"/>
        <v>0.56689999999999996</v>
      </c>
      <c r="AM176">
        <f t="shared" si="54"/>
        <v>-0.56757235765187908</v>
      </c>
      <c r="AN176" s="8">
        <v>0.5857</v>
      </c>
      <c r="AO176">
        <f t="shared" si="55"/>
        <v>0.5857</v>
      </c>
      <c r="AP176">
        <f t="shared" si="56"/>
        <v>-0.53494756588640047</v>
      </c>
      <c r="AQ176" s="8">
        <v>0.51470000000000005</v>
      </c>
      <c r="AR176">
        <v>0.40530000000000005</v>
      </c>
      <c r="AS176">
        <v>-0.9031277453478741</v>
      </c>
      <c r="AT176" s="8">
        <v>0.56789999999999996</v>
      </c>
      <c r="AU176">
        <f t="shared" si="57"/>
        <v>0.56789999999999996</v>
      </c>
      <c r="AV176">
        <f t="shared" si="58"/>
        <v>-0.5658099320987503</v>
      </c>
      <c r="AW176" s="8">
        <v>0.59850000000000003</v>
      </c>
      <c r="AX176">
        <f t="shared" si="59"/>
        <v>0.59850000000000003</v>
      </c>
      <c r="AY176">
        <f t="shared" si="60"/>
        <v>-0.51332875398410915</v>
      </c>
      <c r="AZ176" s="8">
        <v>0.51500000000000001</v>
      </c>
      <c r="BA176">
        <v>0.40670000000000001</v>
      </c>
      <c r="BB176">
        <v>-0.89967946606895821</v>
      </c>
      <c r="BC176" s="8">
        <v>0.57640000000000002</v>
      </c>
      <c r="BD176">
        <f t="shared" si="61"/>
        <v>0.57640000000000002</v>
      </c>
      <c r="BE176">
        <f t="shared" si="62"/>
        <v>-0.55095341485676996</v>
      </c>
      <c r="BF176" s="8">
        <v>0.61150000000000004</v>
      </c>
      <c r="BG176">
        <f t="shared" si="63"/>
        <v>0.61150000000000004</v>
      </c>
      <c r="BH176">
        <f t="shared" si="64"/>
        <v>-0.49184032385490994</v>
      </c>
      <c r="BI176" s="8">
        <v>0.57550000000000001</v>
      </c>
      <c r="BJ176">
        <v>0.47040000000000004</v>
      </c>
      <c r="BK176">
        <v>-0.75417188239771982</v>
      </c>
      <c r="BL176" s="8">
        <v>0.58479999999999999</v>
      </c>
      <c r="BM176">
        <f t="shared" si="65"/>
        <v>0.58479999999999999</v>
      </c>
      <c r="BN176">
        <f t="shared" si="66"/>
        <v>-0.53648537054656831</v>
      </c>
      <c r="BO176" s="8">
        <v>0.64980000000000004</v>
      </c>
      <c r="BP176">
        <f t="shared" si="67"/>
        <v>0.64980000000000004</v>
      </c>
      <c r="BQ176">
        <f t="shared" si="68"/>
        <v>-0.43109065574713706</v>
      </c>
      <c r="BR176" s="8">
        <v>0.62980000000000003</v>
      </c>
      <c r="BS176">
        <v>0.52200000000000002</v>
      </c>
      <c r="BT176">
        <v>-0.65008769109949827</v>
      </c>
      <c r="BU176" s="8">
        <v>0.65259999999999996</v>
      </c>
      <c r="BV176">
        <f t="shared" si="69"/>
        <v>0.65259999999999996</v>
      </c>
      <c r="BW176">
        <f t="shared" si="70"/>
        <v>-0.42679089482291688</v>
      </c>
      <c r="BX176" s="8">
        <v>0.6341</v>
      </c>
      <c r="BY176">
        <f t="shared" si="71"/>
        <v>0.6341</v>
      </c>
      <c r="BZ176">
        <f t="shared" si="72"/>
        <v>-0.45554860827615112</v>
      </c>
    </row>
    <row r="177" spans="5:78" x14ac:dyDescent="0.2">
      <c r="E177">
        <v>7.8473716666666666</v>
      </c>
      <c r="G177" s="8">
        <v>0.51980000000000004</v>
      </c>
      <c r="H177">
        <v>0.41460000000000002</v>
      </c>
      <c r="I177">
        <v>-0.88044107898045776</v>
      </c>
      <c r="J177" s="8">
        <v>0.60940000000000005</v>
      </c>
      <c r="K177">
        <f t="shared" si="42"/>
        <v>0.60940000000000005</v>
      </c>
      <c r="L177">
        <f t="shared" si="43"/>
        <v>-0.49528041243052828</v>
      </c>
      <c r="M177" s="8">
        <v>0.66720000000000002</v>
      </c>
      <c r="N177">
        <f t="shared" si="44"/>
        <v>0.66720000000000002</v>
      </c>
      <c r="O177">
        <f t="shared" si="45"/>
        <v>-0.40466542793760002</v>
      </c>
      <c r="P177" s="8">
        <v>0.54979999999999996</v>
      </c>
      <c r="Q177">
        <v>0.44419999999999993</v>
      </c>
      <c r="R177">
        <v>-0.81148036752181019</v>
      </c>
      <c r="S177" s="8">
        <v>0.58130000000000004</v>
      </c>
      <c r="T177">
        <f t="shared" si="41"/>
        <v>0.58130000000000004</v>
      </c>
      <c r="U177">
        <f t="shared" si="46"/>
        <v>-0.54248830427483208</v>
      </c>
      <c r="V177" s="8">
        <v>0.60680000000000001</v>
      </c>
      <c r="W177">
        <f t="shared" si="47"/>
        <v>0.60680000000000001</v>
      </c>
      <c r="X177">
        <f t="shared" si="48"/>
        <v>-0.49955603150775985</v>
      </c>
      <c r="Y177" s="8">
        <v>0.54339999999999999</v>
      </c>
      <c r="Z177">
        <v>0.43809999999999999</v>
      </c>
      <c r="AA177">
        <v>-0.82530808416228429</v>
      </c>
      <c r="AB177" s="8">
        <v>0.56679999999999997</v>
      </c>
      <c r="AC177">
        <f t="shared" si="49"/>
        <v>0.56679999999999997</v>
      </c>
      <c r="AD177">
        <f t="shared" si="50"/>
        <v>-0.56774877116561173</v>
      </c>
      <c r="AE177" s="8">
        <v>0.5978</v>
      </c>
      <c r="AF177">
        <f t="shared" si="51"/>
        <v>0.5978</v>
      </c>
      <c r="AG177">
        <f t="shared" si="52"/>
        <v>-0.51449902913229961</v>
      </c>
      <c r="AH177" s="8">
        <v>0.53390000000000004</v>
      </c>
      <c r="AI177">
        <v>0.42890000000000006</v>
      </c>
      <c r="AJ177">
        <v>-0.84653148745930218</v>
      </c>
      <c r="AK177" s="8">
        <v>0.56189999999999996</v>
      </c>
      <c r="AL177">
        <f t="shared" si="53"/>
        <v>0.56189999999999996</v>
      </c>
      <c r="AM177">
        <f t="shared" si="54"/>
        <v>-0.5764313808639846</v>
      </c>
      <c r="AN177" s="8">
        <v>0.58289999999999997</v>
      </c>
      <c r="AO177">
        <f t="shared" si="55"/>
        <v>0.58289999999999997</v>
      </c>
      <c r="AP177">
        <f t="shared" si="56"/>
        <v>-0.53973963393063296</v>
      </c>
      <c r="AQ177" s="8">
        <v>0.51280000000000003</v>
      </c>
      <c r="AR177">
        <v>0.40340000000000004</v>
      </c>
      <c r="AS177">
        <v>-0.90782665346202551</v>
      </c>
      <c r="AT177" s="8">
        <v>0.56369999999999998</v>
      </c>
      <c r="AU177">
        <f t="shared" si="57"/>
        <v>0.56369999999999998</v>
      </c>
      <c r="AV177">
        <f t="shared" si="58"/>
        <v>-0.57323308389460781</v>
      </c>
      <c r="AW177" s="8">
        <v>0.59909999999999997</v>
      </c>
      <c r="AX177">
        <f t="shared" si="59"/>
        <v>0.59909999999999997</v>
      </c>
      <c r="AY177">
        <f t="shared" si="60"/>
        <v>-0.5123267498922579</v>
      </c>
      <c r="AZ177" s="8">
        <v>0.50600000000000001</v>
      </c>
      <c r="BA177">
        <v>0.3977</v>
      </c>
      <c r="BB177">
        <v>-0.92205732676849217</v>
      </c>
      <c r="BC177" s="8">
        <v>0.56899999999999995</v>
      </c>
      <c r="BD177">
        <f t="shared" si="61"/>
        <v>0.56899999999999995</v>
      </c>
      <c r="BE177">
        <f t="shared" si="62"/>
        <v>-0.56387484485580619</v>
      </c>
      <c r="BF177" s="8">
        <v>0.60350000000000004</v>
      </c>
      <c r="BG177">
        <f t="shared" si="63"/>
        <v>0.60350000000000004</v>
      </c>
      <c r="BH177">
        <f t="shared" si="64"/>
        <v>-0.50500923844455081</v>
      </c>
      <c r="BI177" s="8">
        <v>0.57040000000000002</v>
      </c>
      <c r="BJ177">
        <v>0.46530000000000005</v>
      </c>
      <c r="BK177">
        <v>-0.76507292013153416</v>
      </c>
      <c r="BL177" s="8">
        <v>0.57889999999999997</v>
      </c>
      <c r="BM177">
        <f t="shared" si="65"/>
        <v>0.57889999999999997</v>
      </c>
      <c r="BN177">
        <f t="shared" si="66"/>
        <v>-0.54662552789717822</v>
      </c>
      <c r="BO177" s="8">
        <v>0.65069999999999995</v>
      </c>
      <c r="BP177">
        <f t="shared" si="67"/>
        <v>0.65069999999999995</v>
      </c>
      <c r="BQ177">
        <f t="shared" si="68"/>
        <v>-0.42970657248119876</v>
      </c>
      <c r="BR177" s="8">
        <v>0.61899999999999999</v>
      </c>
      <c r="BS177">
        <v>0.51119999999999999</v>
      </c>
      <c r="BT177">
        <v>-0.67099437591881206</v>
      </c>
      <c r="BU177" s="8">
        <v>0.62509999999999999</v>
      </c>
      <c r="BV177">
        <f t="shared" si="69"/>
        <v>0.62509999999999999</v>
      </c>
      <c r="BW177">
        <f t="shared" si="70"/>
        <v>-0.4698436420443704</v>
      </c>
      <c r="BX177" s="8">
        <v>0.62380000000000002</v>
      </c>
      <c r="BY177">
        <f t="shared" si="71"/>
        <v>0.62380000000000002</v>
      </c>
      <c r="BZ177">
        <f t="shared" si="72"/>
        <v>-0.47192547480843411</v>
      </c>
    </row>
    <row r="178" spans="5:78" x14ac:dyDescent="0.2">
      <c r="E178">
        <v>8.085210833333333</v>
      </c>
      <c r="G178" s="8">
        <v>0.50480000000000003</v>
      </c>
      <c r="H178">
        <v>0.39960000000000001</v>
      </c>
      <c r="I178">
        <v>-0.91729123220773856</v>
      </c>
      <c r="J178" s="8">
        <v>0.59560000000000002</v>
      </c>
      <c r="K178">
        <f t="shared" si="42"/>
        <v>0.59560000000000002</v>
      </c>
      <c r="L178">
        <f t="shared" si="43"/>
        <v>-0.51818597817228307</v>
      </c>
      <c r="M178" s="8">
        <v>0.58960000000000001</v>
      </c>
      <c r="N178">
        <f t="shared" si="44"/>
        <v>0.58960000000000001</v>
      </c>
      <c r="O178">
        <f t="shared" si="45"/>
        <v>-0.52831093810701013</v>
      </c>
      <c r="P178" s="8">
        <v>0.53710000000000002</v>
      </c>
      <c r="Q178">
        <v>0.43149999999999999</v>
      </c>
      <c r="R178">
        <v>-0.84048776845865447</v>
      </c>
      <c r="S178" s="8">
        <v>0.57020000000000004</v>
      </c>
      <c r="T178">
        <f t="shared" si="41"/>
        <v>0.57020000000000004</v>
      </c>
      <c r="U178">
        <f t="shared" si="46"/>
        <v>-0.56176810250356535</v>
      </c>
      <c r="V178" s="8">
        <v>0.59970000000000001</v>
      </c>
      <c r="W178">
        <f t="shared" si="47"/>
        <v>0.59970000000000001</v>
      </c>
      <c r="X178">
        <f t="shared" si="48"/>
        <v>-0.51132574880767301</v>
      </c>
      <c r="Y178" s="8">
        <v>0.51559999999999995</v>
      </c>
      <c r="Z178">
        <v>0.41029999999999994</v>
      </c>
      <c r="AA178">
        <v>-0.89086667953399679</v>
      </c>
      <c r="AB178" s="8">
        <v>0.56120000000000003</v>
      </c>
      <c r="AC178">
        <f t="shared" si="49"/>
        <v>0.56120000000000003</v>
      </c>
      <c r="AD178">
        <f t="shared" si="50"/>
        <v>-0.57767793075383111</v>
      </c>
      <c r="AE178" s="8">
        <v>0.58550000000000002</v>
      </c>
      <c r="AF178">
        <f t="shared" si="51"/>
        <v>0.58550000000000002</v>
      </c>
      <c r="AG178">
        <f t="shared" si="52"/>
        <v>-0.53528909594436502</v>
      </c>
      <c r="AH178" s="8">
        <v>0.52590000000000003</v>
      </c>
      <c r="AI178">
        <v>0.42090000000000005</v>
      </c>
      <c r="AJ178">
        <v>-0.86536000320561202</v>
      </c>
      <c r="AK178" s="8">
        <v>0.55710000000000004</v>
      </c>
      <c r="AL178">
        <f t="shared" si="53"/>
        <v>0.55710000000000004</v>
      </c>
      <c r="AM178">
        <f t="shared" si="54"/>
        <v>-0.58501052195536718</v>
      </c>
      <c r="AN178" s="8">
        <v>0.58109999999999995</v>
      </c>
      <c r="AO178">
        <f t="shared" si="55"/>
        <v>0.58109999999999995</v>
      </c>
      <c r="AP178">
        <f t="shared" si="56"/>
        <v>-0.54283241990107722</v>
      </c>
      <c r="AQ178" s="8">
        <v>0.50680000000000003</v>
      </c>
      <c r="AR178">
        <v>0.39740000000000003</v>
      </c>
      <c r="AS178">
        <v>-0.92281194886442053</v>
      </c>
      <c r="AT178" s="8">
        <v>0.55989999999999995</v>
      </c>
      <c r="AU178">
        <f t="shared" si="57"/>
        <v>0.55989999999999995</v>
      </c>
      <c r="AV178">
        <f t="shared" si="58"/>
        <v>-0.57999708262728955</v>
      </c>
      <c r="AW178" s="8">
        <v>0.59619999999999995</v>
      </c>
      <c r="AX178">
        <f t="shared" si="59"/>
        <v>0.59619999999999995</v>
      </c>
      <c r="AY178">
        <f t="shared" si="60"/>
        <v>-0.51717909773816606</v>
      </c>
      <c r="AZ178" s="8">
        <v>0.50949999999999995</v>
      </c>
      <c r="BA178">
        <v>0.40119999999999995</v>
      </c>
      <c r="BB178">
        <v>-0.91329522289435672</v>
      </c>
      <c r="BC178" s="8">
        <v>0.56810000000000005</v>
      </c>
      <c r="BD178">
        <f t="shared" si="61"/>
        <v>0.56810000000000005</v>
      </c>
      <c r="BE178">
        <f t="shared" si="62"/>
        <v>-0.56545781941905571</v>
      </c>
      <c r="BF178" s="8">
        <v>0.6008</v>
      </c>
      <c r="BG178">
        <f t="shared" si="63"/>
        <v>0.6008</v>
      </c>
      <c r="BH178">
        <f t="shared" si="64"/>
        <v>-0.5094931785322121</v>
      </c>
      <c r="BI178" s="8">
        <v>0.58289999999999997</v>
      </c>
      <c r="BJ178">
        <v>0.4778</v>
      </c>
      <c r="BK178">
        <v>-0.73856304409042783</v>
      </c>
      <c r="BL178" s="8">
        <v>0.59330000000000005</v>
      </c>
      <c r="BM178">
        <f t="shared" si="65"/>
        <v>0.59330000000000005</v>
      </c>
      <c r="BN178">
        <f t="shared" si="66"/>
        <v>-0.52205510571753944</v>
      </c>
      <c r="BO178" s="8">
        <v>0.67069999999999996</v>
      </c>
      <c r="BP178">
        <f t="shared" si="67"/>
        <v>0.67069999999999996</v>
      </c>
      <c r="BQ178">
        <f t="shared" si="68"/>
        <v>-0.39943333587644558</v>
      </c>
      <c r="BR178" s="8">
        <v>0.621</v>
      </c>
      <c r="BS178">
        <v>0.51319999999999999</v>
      </c>
      <c r="BT178">
        <v>-0.6670896462406557</v>
      </c>
      <c r="BU178" s="8">
        <v>0.65559999999999996</v>
      </c>
      <c r="BV178">
        <f t="shared" si="69"/>
        <v>0.65559999999999996</v>
      </c>
      <c r="BW178">
        <f t="shared" si="70"/>
        <v>-0.4222044321124625</v>
      </c>
      <c r="BX178" s="8">
        <v>0.625</v>
      </c>
      <c r="BY178">
        <f t="shared" si="71"/>
        <v>0.625</v>
      </c>
      <c r="BZ178">
        <f t="shared" si="72"/>
        <v>-0.47000362924573558</v>
      </c>
    </row>
    <row r="179" spans="5:78" x14ac:dyDescent="0.2">
      <c r="G179" s="8"/>
      <c r="J179" s="8"/>
      <c r="M179" s="8"/>
      <c r="P179" s="8"/>
      <c r="S179" s="8"/>
      <c r="V179" s="8"/>
      <c r="Y179" s="8"/>
      <c r="AB179" s="8"/>
      <c r="AE179" s="8"/>
      <c r="AH179" s="8"/>
      <c r="AJ179" t="e">
        <v>#NUM!</v>
      </c>
      <c r="AK179" s="8"/>
      <c r="AN179" s="8"/>
      <c r="AQ179" s="8"/>
      <c r="AT179" s="8"/>
      <c r="AW179" s="8"/>
      <c r="AZ179" s="8"/>
      <c r="BC179" s="8"/>
      <c r="BF179" s="8"/>
      <c r="BI179" s="8"/>
      <c r="BK179" t="e">
        <v>#NUM!</v>
      </c>
      <c r="BL179" s="8"/>
      <c r="BO179" s="8"/>
      <c r="BR179" s="8"/>
      <c r="BU179" s="8"/>
      <c r="BX179" s="8"/>
    </row>
    <row r="180" spans="5:78" x14ac:dyDescent="0.2">
      <c r="G180" s="8"/>
      <c r="J180" s="8"/>
      <c r="M180" s="8"/>
      <c r="P180" s="8"/>
      <c r="S180" s="8"/>
      <c r="V180" s="8"/>
      <c r="Y180" s="8"/>
      <c r="AB180" s="8"/>
      <c r="AE180" s="8"/>
      <c r="AH180" s="8"/>
      <c r="AK180" s="8"/>
      <c r="AN180" s="8"/>
      <c r="AQ180" s="8"/>
      <c r="AT180" s="8"/>
      <c r="AW180" s="8"/>
      <c r="AZ180" s="8"/>
      <c r="BC180" s="8"/>
      <c r="BF180" s="8"/>
      <c r="BI180" s="8"/>
      <c r="BL180" s="8"/>
      <c r="BO180" s="8"/>
      <c r="BR180" s="8"/>
      <c r="BU180" s="8"/>
      <c r="BX180" s="8"/>
    </row>
    <row r="181" spans="5:78" x14ac:dyDescent="0.2">
      <c r="G181" s="8"/>
      <c r="J181" s="8"/>
      <c r="M181" s="8"/>
      <c r="P181" s="8"/>
      <c r="S181" s="8"/>
      <c r="V181" s="8"/>
      <c r="Y181" s="8"/>
      <c r="AB181" s="8"/>
      <c r="AE181" s="8"/>
      <c r="AH181" s="8"/>
      <c r="AK181" s="8"/>
      <c r="AN181" s="8"/>
      <c r="AQ181" s="8"/>
      <c r="AT181" s="8"/>
      <c r="AW181" s="8"/>
      <c r="AZ181" s="8"/>
      <c r="BC181" s="8"/>
      <c r="BF181" s="8"/>
      <c r="BI181" s="8"/>
      <c r="BL181" s="8"/>
      <c r="BO181" s="8"/>
      <c r="BR181" s="8"/>
      <c r="BU181" s="8"/>
      <c r="BX181" s="8"/>
    </row>
  </sheetData>
  <mergeCells count="48">
    <mergeCell ref="AN140:AP140"/>
    <mergeCell ref="G140:I140"/>
    <mergeCell ref="J140:L140"/>
    <mergeCell ref="M140:O140"/>
    <mergeCell ref="P140:R140"/>
    <mergeCell ref="S140:U140"/>
    <mergeCell ref="V140:X140"/>
    <mergeCell ref="Y140:AA140"/>
    <mergeCell ref="AB140:AD140"/>
    <mergeCell ref="AE140:AG140"/>
    <mergeCell ref="AH140:AJ140"/>
    <mergeCell ref="AK140:AM140"/>
    <mergeCell ref="BL140:BN140"/>
    <mergeCell ref="BO140:BQ140"/>
    <mergeCell ref="BR140:BT140"/>
    <mergeCell ref="E4:I4"/>
    <mergeCell ref="J4:N4"/>
    <mergeCell ref="O4:S4"/>
    <mergeCell ref="T4:X4"/>
    <mergeCell ref="Y4:AC4"/>
    <mergeCell ref="AD4:AH4"/>
    <mergeCell ref="AI4:AM4"/>
    <mergeCell ref="AQ140:AS140"/>
    <mergeCell ref="AT140:AV140"/>
    <mergeCell ref="AW140:AY140"/>
    <mergeCell ref="AZ140:BB140"/>
    <mergeCell ref="BC140:BH140"/>
    <mergeCell ref="BI140:BK140"/>
    <mergeCell ref="AN4:AR4"/>
    <mergeCell ref="AS4:AV4"/>
    <mergeCell ref="BB4:BF4"/>
    <mergeCell ref="BG4:BK4"/>
    <mergeCell ref="BL4:BP4"/>
    <mergeCell ref="DX4:EB4"/>
    <mergeCell ref="EC4:EG4"/>
    <mergeCell ref="AX4:BA4"/>
    <mergeCell ref="CT4:CX4"/>
    <mergeCell ref="CY4:DC4"/>
    <mergeCell ref="DD4:DH4"/>
    <mergeCell ref="DI4:DM4"/>
    <mergeCell ref="DN4:DR4"/>
    <mergeCell ref="DS4:DW4"/>
    <mergeCell ref="BV4:BZ4"/>
    <mergeCell ref="CA4:CE4"/>
    <mergeCell ref="CF4:CJ4"/>
    <mergeCell ref="CK4:CN4"/>
    <mergeCell ref="CO4:CS4"/>
    <mergeCell ref="BQ4:BU4"/>
  </mergeCells>
  <phoneticPr fontId="6" type="noConversion"/>
  <conditionalFormatting sqref="K141 T141 AC141 AL141 AU141 BD141 J143:J178 S143:S178 AB143:AB178 AK143:AK178 AT143:AT178 BC143:BC178">
    <cfRule type="expression" dxfId="10" priority="10">
      <formula>XDE61=MIN(INDEX($A$2:$Z$100,0,COLUMN(XDE61)-COLUMN($A$2)+1))</formula>
    </cfRule>
  </conditionalFormatting>
  <conditionalFormatting sqref="AZ6:AZ40">
    <cfRule type="expression" dxfId="9" priority="20">
      <formula>XET6=MIN(INDEX($A$2:$Z$100,0,COLUMN(XET6)-COLUMN($A$2)+1))</formula>
    </cfRule>
  </conditionalFormatting>
  <conditionalFormatting sqref="BD6:BD40 BI6:BI40 BN6:BN40 BS6:BS40 BX6:BX40">
    <cfRule type="expression" dxfId="8" priority="32">
      <formula>XEY6=MIN(INDEX($A$2:$Z$100,0,COLUMN(XEY6)-COLUMN($A$2)+1))</formula>
    </cfRule>
  </conditionalFormatting>
  <conditionalFormatting sqref="CG6:CG40 CL6:CL40 BM141 BV141 BL143:BL178 BU143:BU178">
    <cfRule type="expression" dxfId="7" priority="9">
      <formula>I6=MIN(INDEX($A$2:$Z$100,0,COLUMN(I6)-COLUMN($A$2)+1))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42FA9-2511-5D45-BB09-0AB2E8021E31}">
  <dimension ref="A1:EM86"/>
  <sheetViews>
    <sheetView topLeftCell="A69" zoomScale="137" workbookViewId="0">
      <selection activeCell="AE71" sqref="AE71"/>
    </sheetView>
  </sheetViews>
  <sheetFormatPr baseColWidth="10" defaultRowHeight="15" x14ac:dyDescent="0.2"/>
  <sheetData>
    <row r="1" spans="1:143" ht="16" thickBot="1" x14ac:dyDescent="0.25">
      <c r="BB1" s="17" t="s">
        <v>263</v>
      </c>
    </row>
    <row r="2" spans="1:143" x14ac:dyDescent="0.2">
      <c r="A2" cm="1">
        <f t="array" aca="1" ref="A2" ca="1">A2:EM41</f>
        <v>0</v>
      </c>
      <c r="BB2" s="15"/>
      <c r="CG2" s="7"/>
      <c r="CH2" s="7"/>
      <c r="CI2" s="7"/>
      <c r="CJ2" s="7"/>
      <c r="CT2" s="14"/>
      <c r="CU2" s="6" t="s">
        <v>306</v>
      </c>
    </row>
    <row r="3" spans="1:143" x14ac:dyDescent="0.2">
      <c r="B3" s="169" t="s">
        <v>221</v>
      </c>
      <c r="C3" s="160"/>
      <c r="D3" s="160"/>
      <c r="E3" s="160"/>
      <c r="F3" s="160"/>
      <c r="G3" s="51"/>
      <c r="H3" s="161" t="s">
        <v>223</v>
      </c>
      <c r="I3" s="162"/>
      <c r="J3" s="162"/>
      <c r="K3" s="162"/>
      <c r="L3" s="162"/>
      <c r="M3" s="53"/>
      <c r="N3" s="159" t="s">
        <v>224</v>
      </c>
      <c r="O3" s="160"/>
      <c r="P3" s="160"/>
      <c r="Q3" s="160"/>
      <c r="R3" s="160"/>
      <c r="S3" s="51"/>
      <c r="T3" s="161" t="s">
        <v>225</v>
      </c>
      <c r="U3" s="162"/>
      <c r="V3" s="162"/>
      <c r="W3" s="162"/>
      <c r="X3" s="162"/>
      <c r="Y3" s="53"/>
      <c r="Z3" s="159" t="s">
        <v>226</v>
      </c>
      <c r="AA3" s="160"/>
      <c r="AB3" s="160"/>
      <c r="AC3" s="160"/>
      <c r="AD3" s="160"/>
      <c r="AE3" s="51"/>
      <c r="AF3" s="161" t="s">
        <v>227</v>
      </c>
      <c r="AG3" s="162"/>
      <c r="AH3" s="162"/>
      <c r="AI3" s="162"/>
      <c r="AJ3" s="162"/>
      <c r="AK3" s="53"/>
      <c r="AL3" s="170" t="s">
        <v>228</v>
      </c>
      <c r="AM3" s="171"/>
      <c r="AN3" s="171"/>
      <c r="AO3" s="171"/>
      <c r="AP3" s="171"/>
      <c r="AQ3" s="159" t="s">
        <v>262</v>
      </c>
      <c r="AR3" s="160"/>
      <c r="AS3" s="160"/>
      <c r="AT3" s="160"/>
      <c r="AU3" s="160"/>
      <c r="AV3" s="161" t="s">
        <v>261</v>
      </c>
      <c r="AW3" s="162"/>
      <c r="AX3" s="162"/>
      <c r="AY3" s="163"/>
      <c r="AZ3" s="62"/>
      <c r="BA3" s="72" t="s">
        <v>307</v>
      </c>
      <c r="BB3" s="150" t="s">
        <v>235</v>
      </c>
      <c r="BC3" s="151"/>
      <c r="BD3" s="151"/>
      <c r="BE3" s="151"/>
      <c r="BF3" s="75"/>
      <c r="BG3" s="75"/>
      <c r="BH3" s="156" t="s">
        <v>281</v>
      </c>
      <c r="BI3" s="156"/>
      <c r="BJ3" s="156"/>
      <c r="BK3" s="156"/>
      <c r="BL3" s="156"/>
      <c r="BM3" s="152" t="s">
        <v>249</v>
      </c>
      <c r="BN3" s="153"/>
      <c r="BO3" s="153"/>
      <c r="BP3" s="153"/>
      <c r="BQ3" s="153"/>
      <c r="BR3" s="146" t="s">
        <v>251</v>
      </c>
      <c r="BS3" s="147"/>
      <c r="BT3" s="147"/>
      <c r="BU3" s="147"/>
      <c r="BV3" s="147"/>
      <c r="BW3" s="152" t="s">
        <v>293</v>
      </c>
      <c r="BX3" s="153"/>
      <c r="BY3" s="153"/>
      <c r="BZ3" s="153"/>
      <c r="CA3" s="153"/>
      <c r="CB3" s="146" t="s">
        <v>294</v>
      </c>
      <c r="CC3" s="147"/>
      <c r="CD3" s="147"/>
      <c r="CE3" s="147"/>
      <c r="CF3" s="147"/>
      <c r="CG3" s="158" t="s">
        <v>295</v>
      </c>
      <c r="CH3" s="158"/>
      <c r="CI3" s="158"/>
      <c r="CJ3" s="158"/>
      <c r="CK3" s="158"/>
      <c r="CL3" s="152" t="s">
        <v>296</v>
      </c>
      <c r="CM3" s="153"/>
      <c r="CN3" s="153"/>
      <c r="CO3" s="153"/>
      <c r="CP3" s="153"/>
      <c r="CQ3" s="154" t="s">
        <v>297</v>
      </c>
      <c r="CR3" s="154"/>
      <c r="CS3" s="154"/>
      <c r="CT3" s="154"/>
      <c r="CU3" s="146" t="s">
        <v>244</v>
      </c>
      <c r="CV3" s="147"/>
      <c r="CW3" s="147"/>
      <c r="CX3" s="147"/>
      <c r="CY3" s="147"/>
      <c r="CZ3" s="152" t="s">
        <v>247</v>
      </c>
      <c r="DA3" s="153"/>
      <c r="DB3" s="153"/>
      <c r="DC3" s="153"/>
      <c r="DD3" s="153"/>
      <c r="DE3" s="154" t="s">
        <v>298</v>
      </c>
      <c r="DF3" s="155"/>
      <c r="DG3" s="155"/>
      <c r="DH3" s="155"/>
      <c r="DI3" s="155"/>
      <c r="DJ3" s="146" t="s">
        <v>252</v>
      </c>
      <c r="DK3" s="147"/>
      <c r="DL3" s="147"/>
      <c r="DM3" s="147"/>
      <c r="DN3" s="147"/>
      <c r="DO3" s="156" t="s">
        <v>299</v>
      </c>
      <c r="DP3" s="157"/>
      <c r="DQ3" s="157"/>
      <c r="DR3" s="157"/>
      <c r="DS3" s="157"/>
      <c r="DT3" s="154" t="s">
        <v>300</v>
      </c>
      <c r="DU3" s="155"/>
      <c r="DV3" s="155"/>
      <c r="DW3" s="155"/>
      <c r="DX3" s="155"/>
      <c r="DY3" s="158" t="s">
        <v>301</v>
      </c>
      <c r="DZ3" s="158"/>
      <c r="EA3" s="158"/>
      <c r="EB3" s="158"/>
      <c r="EC3" s="158"/>
      <c r="ED3" s="146" t="s">
        <v>302</v>
      </c>
      <c r="EE3" s="147"/>
      <c r="EF3" s="147"/>
      <c r="EG3" s="147"/>
      <c r="EH3" s="147"/>
      <c r="EI3" s="148" t="s">
        <v>260</v>
      </c>
      <c r="EJ3" s="149"/>
      <c r="EK3" s="149"/>
      <c r="EL3" s="149"/>
      <c r="EM3" s="149"/>
    </row>
    <row r="4" spans="1:143" x14ac:dyDescent="0.2">
      <c r="A4" s="6" t="s">
        <v>234</v>
      </c>
      <c r="B4" s="32" t="s">
        <v>31</v>
      </c>
      <c r="C4" s="32" t="s">
        <v>258</v>
      </c>
      <c r="D4" s="32" t="s">
        <v>259</v>
      </c>
      <c r="E4" s="32" t="s">
        <v>219</v>
      </c>
      <c r="F4" s="32" t="s">
        <v>265</v>
      </c>
      <c r="G4" s="32"/>
      <c r="H4" s="54" t="s">
        <v>31</v>
      </c>
      <c r="I4" s="54" t="s">
        <v>258</v>
      </c>
      <c r="J4" s="54" t="s">
        <v>264</v>
      </c>
      <c r="K4" s="54" t="s">
        <v>257</v>
      </c>
      <c r="L4" s="54" t="s">
        <v>265</v>
      </c>
      <c r="M4" s="54"/>
      <c r="N4" s="60" t="s">
        <v>31</v>
      </c>
      <c r="O4" s="60" t="s">
        <v>258</v>
      </c>
      <c r="P4" s="60" t="s">
        <v>264</v>
      </c>
      <c r="Q4" s="60" t="s">
        <v>266</v>
      </c>
      <c r="R4" s="60" t="s">
        <v>265</v>
      </c>
      <c r="S4" s="60"/>
      <c r="T4" s="61" t="s">
        <v>31</v>
      </c>
      <c r="U4" s="61" t="s">
        <v>258</v>
      </c>
      <c r="V4" s="61" t="s">
        <v>264</v>
      </c>
      <c r="W4" s="61" t="s">
        <v>266</v>
      </c>
      <c r="X4" s="61" t="s">
        <v>265</v>
      </c>
      <c r="Y4" s="72" t="s">
        <v>53</v>
      </c>
      <c r="Z4" s="60" t="s">
        <v>31</v>
      </c>
      <c r="AA4" s="60" t="s">
        <v>258</v>
      </c>
      <c r="AB4" s="60" t="s">
        <v>264</v>
      </c>
      <c r="AC4" s="60" t="s">
        <v>266</v>
      </c>
      <c r="AD4" s="60" t="s">
        <v>265</v>
      </c>
      <c r="AE4" s="60" t="s">
        <v>53</v>
      </c>
      <c r="AF4" s="61" t="s">
        <v>31</v>
      </c>
      <c r="AG4" s="61" t="s">
        <v>258</v>
      </c>
      <c r="AH4" s="61" t="s">
        <v>264</v>
      </c>
      <c r="AI4" s="61" t="s">
        <v>266</v>
      </c>
      <c r="AJ4" s="61" t="s">
        <v>265</v>
      </c>
      <c r="AK4" s="61"/>
      <c r="AL4" s="13" t="s">
        <v>31</v>
      </c>
      <c r="AM4" s="13" t="s">
        <v>258</v>
      </c>
      <c r="AN4" s="13" t="s">
        <v>264</v>
      </c>
      <c r="AO4" s="13" t="s">
        <v>266</v>
      </c>
      <c r="AP4" s="13" t="s">
        <v>265</v>
      </c>
      <c r="AQ4" s="60" t="s">
        <v>31</v>
      </c>
      <c r="AR4" s="60" t="s">
        <v>258</v>
      </c>
      <c r="AS4" s="60" t="s">
        <v>219</v>
      </c>
      <c r="AT4" s="60" t="s">
        <v>266</v>
      </c>
      <c r="AU4" s="60" t="s">
        <v>265</v>
      </c>
      <c r="AV4" s="61" t="s">
        <v>31</v>
      </c>
      <c r="AW4" s="61" t="s">
        <v>258</v>
      </c>
      <c r="AX4" s="61" t="s">
        <v>264</v>
      </c>
      <c r="AY4" s="61" t="s">
        <v>266</v>
      </c>
      <c r="AZ4" s="61" t="s">
        <v>265</v>
      </c>
      <c r="BA4" s="61"/>
      <c r="BB4" s="81" t="s">
        <v>31</v>
      </c>
      <c r="BC4" s="61" t="s">
        <v>303</v>
      </c>
      <c r="BD4" s="6" t="s">
        <v>257</v>
      </c>
      <c r="BE4" s="61" t="s">
        <v>265</v>
      </c>
      <c r="BF4" s="72" t="s">
        <v>307</v>
      </c>
      <c r="BG4" s="72"/>
      <c r="BH4" s="63" t="s">
        <v>292</v>
      </c>
      <c r="BI4" s="63" t="s">
        <v>258</v>
      </c>
      <c r="BJ4" s="63" t="s">
        <v>257</v>
      </c>
      <c r="BK4" s="64"/>
      <c r="BL4" s="64"/>
      <c r="BM4" s="28"/>
      <c r="BN4" s="30" t="s">
        <v>258</v>
      </c>
      <c r="BO4" s="30" t="s">
        <v>257</v>
      </c>
      <c r="BP4" s="28"/>
      <c r="BQ4" s="28"/>
      <c r="BR4" s="34"/>
      <c r="BS4" s="69" t="s">
        <v>258</v>
      </c>
      <c r="BT4" s="69" t="s">
        <v>257</v>
      </c>
      <c r="BU4" s="69" t="s">
        <v>265</v>
      </c>
      <c r="BV4" s="34"/>
      <c r="BW4" s="30" t="s">
        <v>31</v>
      </c>
      <c r="BX4" s="30" t="s">
        <v>258</v>
      </c>
      <c r="BY4" s="30" t="s">
        <v>257</v>
      </c>
      <c r="BZ4" s="30" t="s">
        <v>265</v>
      </c>
      <c r="CA4" s="28"/>
      <c r="CB4" s="34"/>
      <c r="CC4" s="69" t="s">
        <v>258</v>
      </c>
      <c r="CD4" s="69" t="s">
        <v>257</v>
      </c>
      <c r="CE4" s="34" t="s">
        <v>265</v>
      </c>
      <c r="CF4" s="34"/>
      <c r="CG4" s="7"/>
      <c r="CH4" s="7" t="s">
        <v>258</v>
      </c>
      <c r="CI4" s="7" t="s">
        <v>257</v>
      </c>
      <c r="CJ4" s="7" t="s">
        <v>265</v>
      </c>
      <c r="CL4" s="30" t="s">
        <v>31</v>
      </c>
      <c r="CM4" s="30" t="s">
        <v>258</v>
      </c>
      <c r="CN4" s="30" t="s">
        <v>257</v>
      </c>
      <c r="CO4" s="28" t="s">
        <v>265</v>
      </c>
      <c r="CP4" s="28"/>
      <c r="CQ4" s="30" t="s">
        <v>31</v>
      </c>
      <c r="CR4" s="30" t="s">
        <v>258</v>
      </c>
      <c r="CS4" s="30" t="s">
        <v>257</v>
      </c>
      <c r="CT4" s="28" t="s">
        <v>265</v>
      </c>
      <c r="CU4" s="30" t="s">
        <v>31</v>
      </c>
      <c r="CV4" s="30" t="s">
        <v>258</v>
      </c>
      <c r="CW4" s="30" t="s">
        <v>257</v>
      </c>
      <c r="CX4" s="28" t="s">
        <v>265</v>
      </c>
      <c r="CY4" s="28"/>
      <c r="CZ4" s="30" t="s">
        <v>31</v>
      </c>
      <c r="DA4" s="30" t="s">
        <v>258</v>
      </c>
      <c r="DB4" s="30" t="s">
        <v>257</v>
      </c>
      <c r="DC4" s="28" t="s">
        <v>265</v>
      </c>
      <c r="DD4" s="28"/>
      <c r="DE4" s="30" t="s">
        <v>31</v>
      </c>
      <c r="DF4" s="30" t="s">
        <v>258</v>
      </c>
      <c r="DG4" s="30" t="s">
        <v>257</v>
      </c>
      <c r="DH4" s="28" t="s">
        <v>265</v>
      </c>
      <c r="DI4" s="28"/>
      <c r="DJ4" s="30" t="s">
        <v>31</v>
      </c>
      <c r="DK4" s="30" t="s">
        <v>258</v>
      </c>
      <c r="DL4" s="30" t="s">
        <v>257</v>
      </c>
      <c r="DM4" s="28" t="s">
        <v>265</v>
      </c>
      <c r="DN4" s="28"/>
      <c r="DO4" s="30" t="s">
        <v>31</v>
      </c>
      <c r="DP4" s="30" t="s">
        <v>258</v>
      </c>
      <c r="DQ4" s="30" t="s">
        <v>257</v>
      </c>
      <c r="DR4" s="28" t="s">
        <v>265</v>
      </c>
      <c r="DS4" s="28"/>
      <c r="DT4" s="30" t="s">
        <v>31</v>
      </c>
      <c r="DU4" s="30" t="s">
        <v>258</v>
      </c>
      <c r="DV4" s="30" t="s">
        <v>257</v>
      </c>
      <c r="DW4" s="28" t="s">
        <v>265</v>
      </c>
      <c r="DX4" s="28"/>
      <c r="ED4" s="30" t="s">
        <v>31</v>
      </c>
      <c r="EE4" s="30" t="s">
        <v>258</v>
      </c>
      <c r="EF4" s="30" t="s">
        <v>257</v>
      </c>
      <c r="EG4" s="28" t="s">
        <v>265</v>
      </c>
      <c r="EH4" s="28"/>
      <c r="EI4" s="30" t="s">
        <v>31</v>
      </c>
      <c r="EJ4" s="30" t="s">
        <v>258</v>
      </c>
      <c r="EK4" s="30" t="s">
        <v>257</v>
      </c>
      <c r="EL4" s="28" t="s">
        <v>265</v>
      </c>
      <c r="EM4" s="28"/>
    </row>
    <row r="5" spans="1:143" x14ac:dyDescent="0.2">
      <c r="A5">
        <v>0</v>
      </c>
      <c r="B5" s="29">
        <v>1644</v>
      </c>
      <c r="C5" s="28">
        <f>B5-$B$9</f>
        <v>126</v>
      </c>
      <c r="D5" s="27">
        <v>0.1104</v>
      </c>
      <c r="E5" s="28">
        <v>5.1999999999999998E-3</v>
      </c>
      <c r="F5" s="28">
        <f>C5/E5</f>
        <v>24230.76923076923</v>
      </c>
      <c r="G5" s="28">
        <f>F5/6000</f>
        <v>4.0384615384615383</v>
      </c>
      <c r="H5" s="55">
        <v>1804</v>
      </c>
      <c r="I5" s="56">
        <f>H5-$H$14</f>
        <v>204</v>
      </c>
      <c r="J5" s="57">
        <v>0.1072</v>
      </c>
      <c r="K5" s="56"/>
      <c r="L5" s="56">
        <f>I5-K5</f>
        <v>204</v>
      </c>
      <c r="M5" s="56">
        <f>L5/6000</f>
        <v>3.4000000000000002E-2</v>
      </c>
      <c r="N5" s="29">
        <v>1807</v>
      </c>
      <c r="O5" s="28">
        <f>N5-$N$11</f>
        <v>166</v>
      </c>
      <c r="P5" s="27">
        <v>0.1067</v>
      </c>
      <c r="Q5" s="28">
        <v>1.3999999999999985E-3</v>
      </c>
      <c r="R5" s="28">
        <f>O5/Q5</f>
        <v>118571.4285714287</v>
      </c>
      <c r="S5" s="28">
        <f>R5/6000</f>
        <v>19.761904761904784</v>
      </c>
      <c r="T5" s="55">
        <v>1813</v>
      </c>
      <c r="U5" s="56">
        <f>T5-$T$11</f>
        <v>145</v>
      </c>
      <c r="V5" s="57">
        <v>0.1051</v>
      </c>
      <c r="W5" s="56">
        <v>1.0000000000000286E-4</v>
      </c>
      <c r="X5" s="56">
        <f>U5/W5</f>
        <v>1449999.9999999586</v>
      </c>
      <c r="Y5">
        <f>X5/6000</f>
        <v>241.66666666665975</v>
      </c>
      <c r="Z5" s="29">
        <v>2017</v>
      </c>
      <c r="AA5" s="28">
        <f>Z5-$Z$8</f>
        <v>134</v>
      </c>
      <c r="AB5" s="27">
        <v>0.10979999999999999</v>
      </c>
      <c r="AC5" s="28">
        <v>3.9999999999999758E-4</v>
      </c>
      <c r="AD5" s="28">
        <f>AA5/AC5</f>
        <v>335000.00000000204</v>
      </c>
      <c r="AE5" s="28">
        <f>AD5/6000</f>
        <v>55.83333333333367</v>
      </c>
      <c r="AF5" s="55">
        <v>1843</v>
      </c>
      <c r="AG5" s="56">
        <f>AF5-$AF$12</f>
        <v>125</v>
      </c>
      <c r="AH5" s="57">
        <v>0.10920000000000001</v>
      </c>
      <c r="AI5" s="56">
        <v>9.000000000000119E-4</v>
      </c>
      <c r="AJ5" s="56">
        <f>AG5/AI5</f>
        <v>138888.88888888704</v>
      </c>
      <c r="AK5" s="56">
        <f>AJ5/6000</f>
        <v>23.14814814814784</v>
      </c>
      <c r="AL5" s="7">
        <v>2198</v>
      </c>
      <c r="AM5" s="7">
        <f>AL5-AQ5</f>
        <v>367</v>
      </c>
      <c r="AN5" s="7">
        <v>0.10390000000000001</v>
      </c>
      <c r="AO5" s="7">
        <v>-1.1999999999999927E-3</v>
      </c>
      <c r="AP5" s="7" t="e">
        <v>#NUM!</v>
      </c>
      <c r="AQ5" s="32">
        <v>1831</v>
      </c>
      <c r="AR5" s="32"/>
      <c r="AS5" s="27">
        <f>AQ5-$AQ$11</f>
        <v>246</v>
      </c>
      <c r="AT5" s="28">
        <v>-1.1999999999999927E-3</v>
      </c>
      <c r="AU5" s="28">
        <f>AS5/AT5</f>
        <v>-205000.00000000125</v>
      </c>
      <c r="AV5" s="55">
        <v>2695</v>
      </c>
      <c r="AW5" s="56">
        <f>AV5-$AV$8</f>
        <v>206</v>
      </c>
      <c r="AX5" s="57">
        <v>0.1085</v>
      </c>
      <c r="AY5" s="56">
        <v>6.999999999999923E-4</v>
      </c>
      <c r="AZ5" s="55">
        <f>AW5/AY5</f>
        <v>294285.71428571752</v>
      </c>
      <c r="BA5" s="55">
        <f>AZ5/6000</f>
        <v>49.047619047619584</v>
      </c>
      <c r="BB5" s="82">
        <v>1795</v>
      </c>
      <c r="BC5">
        <f>BB5-$BB$10</f>
        <v>140</v>
      </c>
      <c r="BD5" s="8">
        <v>0.1028</v>
      </c>
      <c r="BE5">
        <f>BC5/BD5</f>
        <v>1361.8677042801555</v>
      </c>
      <c r="BF5">
        <f>BE5/6000</f>
        <v>0.22697795071335924</v>
      </c>
      <c r="BG5">
        <f>BE5/6000</f>
        <v>0.22697795071335924</v>
      </c>
      <c r="BH5" s="65">
        <v>1723</v>
      </c>
      <c r="BI5" s="64">
        <f>$BH$5-BH11</f>
        <v>194</v>
      </c>
      <c r="BJ5" s="66">
        <v>0.1108</v>
      </c>
      <c r="BK5" s="64">
        <f>BI5/BJ5</f>
        <v>1750.9025270758123</v>
      </c>
      <c r="BL5" s="64">
        <f>BK5/6000</f>
        <v>0.29181708784596871</v>
      </c>
      <c r="BM5" s="29">
        <v>1779</v>
      </c>
      <c r="BN5" s="28">
        <f>BM5-$BM$12</f>
        <v>174</v>
      </c>
      <c r="BO5" s="27">
        <v>0.1031</v>
      </c>
      <c r="BP5" s="28">
        <f>BN5/BO5</f>
        <v>1687.6818622696412</v>
      </c>
      <c r="BQ5" s="28">
        <f>BP5/6000</f>
        <v>0.28128031037827356</v>
      </c>
      <c r="BR5" s="35">
        <v>1883</v>
      </c>
      <c r="BS5" s="34">
        <f>BR5-$BR$11</f>
        <v>197</v>
      </c>
      <c r="BT5" s="33">
        <v>0.10390000000000001</v>
      </c>
      <c r="BU5" s="34">
        <f>BS5/BT5</f>
        <v>1896.0538979788257</v>
      </c>
      <c r="BV5" s="34"/>
      <c r="BW5" s="29">
        <v>2115</v>
      </c>
      <c r="BX5" s="28">
        <f>BW5-$BW$7</f>
        <v>123</v>
      </c>
      <c r="BY5" s="27">
        <v>0.105</v>
      </c>
      <c r="BZ5" s="28">
        <f>BX5/BY5</f>
        <v>1171.4285714285716</v>
      </c>
      <c r="CA5" s="28"/>
      <c r="CB5" s="35">
        <v>2021</v>
      </c>
      <c r="CC5" s="34">
        <f>CB5-$CB$11</f>
        <v>91</v>
      </c>
      <c r="CD5" s="33">
        <v>0.10730000000000001</v>
      </c>
      <c r="CE5" s="34">
        <f>CC5/CD5</f>
        <v>848.08946877912388</v>
      </c>
      <c r="CF5" s="34"/>
      <c r="CG5" s="7">
        <v>2354</v>
      </c>
      <c r="CH5" s="7">
        <f>CG5-CL5</f>
        <v>679</v>
      </c>
      <c r="CI5" s="7"/>
      <c r="CJ5" s="7"/>
      <c r="CL5" s="32">
        <v>1675</v>
      </c>
      <c r="CM5" s="27">
        <f>CL5-$CL$12</f>
        <v>231</v>
      </c>
      <c r="CN5" s="28"/>
      <c r="CO5" s="28" t="e">
        <f>CM5/CN5</f>
        <v>#DIV/0!</v>
      </c>
      <c r="CP5" s="28"/>
      <c r="CQ5" s="55">
        <v>2190</v>
      </c>
      <c r="CR5" s="57">
        <f>CQ5-$CQ$8</f>
        <v>137</v>
      </c>
      <c r="CT5" s="71" t="e">
        <f>CR5/CS5</f>
        <v>#DIV/0!</v>
      </c>
      <c r="CU5" s="35">
        <v>1822</v>
      </c>
      <c r="CV5" s="34">
        <f>CU5-$CU$11</f>
        <v>195</v>
      </c>
      <c r="CW5" s="33"/>
      <c r="CX5" s="34" t="e">
        <f>CV5/CW5</f>
        <v>#DIV/0!</v>
      </c>
      <c r="CY5" s="34"/>
      <c r="CZ5" s="29">
        <v>1668</v>
      </c>
      <c r="DA5" s="28">
        <f>CZ5-$CZ$11</f>
        <v>168</v>
      </c>
      <c r="DB5" s="27"/>
      <c r="DC5" s="28" t="e">
        <f>DA5/DB5</f>
        <v>#DIV/0!</v>
      </c>
      <c r="DD5" s="28"/>
      <c r="DE5" s="55">
        <v>1600</v>
      </c>
      <c r="DF5" s="56">
        <f>DE5-$DE$11</f>
        <v>167</v>
      </c>
      <c r="DG5" s="56"/>
      <c r="DH5" s="56" t="e">
        <f>DF5/DG5</f>
        <v>#DIV/0!</v>
      </c>
      <c r="DI5" s="56"/>
      <c r="DJ5" s="35">
        <v>1793</v>
      </c>
      <c r="DK5" s="34">
        <f t="shared" ref="DK5:DK39" si="0">DJ5-$DJ$11</f>
        <v>153</v>
      </c>
      <c r="DL5" s="34"/>
      <c r="DM5" s="34" t="e">
        <f>DK5/DL5</f>
        <v>#DIV/0!</v>
      </c>
      <c r="DN5" s="34"/>
      <c r="DO5" s="65">
        <v>2049</v>
      </c>
      <c r="DP5" s="64">
        <f>DO5-DO10</f>
        <v>44</v>
      </c>
      <c r="DQ5" s="64"/>
      <c r="DR5" s="64" t="e">
        <f>DP5/DQ5</f>
        <v>#DIV/0!</v>
      </c>
      <c r="DS5" s="64"/>
      <c r="DT5" s="55">
        <v>1980</v>
      </c>
      <c r="DU5" s="56">
        <f>DT5-$DT$11</f>
        <v>125</v>
      </c>
      <c r="DV5" s="56"/>
      <c r="DW5" s="56" t="e">
        <f>DU5/DV5</f>
        <v>#DIV/0!</v>
      </c>
      <c r="DX5" s="56"/>
      <c r="DY5" s="1">
        <v>2064</v>
      </c>
      <c r="DZ5">
        <f>DY5-ED5</f>
        <v>418</v>
      </c>
      <c r="ED5" s="37">
        <v>1646</v>
      </c>
      <c r="EE5" s="34">
        <f>ED5-$ED$11</f>
        <v>205</v>
      </c>
      <c r="EF5" s="34"/>
      <c r="EG5" s="34" t="e">
        <f>EE5/EF5</f>
        <v>#DIV/0!</v>
      </c>
      <c r="EH5" s="34"/>
      <c r="EI5" s="74">
        <v>2555</v>
      </c>
      <c r="EJ5" s="73">
        <f>EI5-$EI$8</f>
        <v>76</v>
      </c>
      <c r="EL5" s="73" t="e">
        <f>EJ5/EK5</f>
        <v>#DIV/0!</v>
      </c>
      <c r="EM5" s="73"/>
    </row>
    <row r="6" spans="1:143" x14ac:dyDescent="0.2">
      <c r="A6">
        <v>0.23793277777777777</v>
      </c>
      <c r="B6" s="29">
        <v>1591</v>
      </c>
      <c r="C6" s="28">
        <f t="shared" ref="C6:C39" si="1">B6-$B$9</f>
        <v>73</v>
      </c>
      <c r="D6" s="27">
        <v>0.10539999999999999</v>
      </c>
      <c r="E6" s="28">
        <v>1.9999999999999185E-4</v>
      </c>
      <c r="F6" s="28">
        <f t="shared" ref="F6:F39" si="2">C6/E6</f>
        <v>365000.00000001484</v>
      </c>
      <c r="G6" s="28">
        <f t="shared" ref="G6:G39" si="3">F6/6000</f>
        <v>60.833333333335808</v>
      </c>
      <c r="H6" s="55">
        <v>1785</v>
      </c>
      <c r="I6" s="56">
        <f t="shared" ref="I6:I39" si="4">H6-$H$14</f>
        <v>185</v>
      </c>
      <c r="J6" s="57">
        <v>0.1056</v>
      </c>
      <c r="K6" s="56">
        <v>0</v>
      </c>
      <c r="L6" s="56">
        <f t="shared" ref="L6:L39" si="5">I6-K6</f>
        <v>185</v>
      </c>
      <c r="M6" s="56">
        <f t="shared" ref="M6:M39" si="6">L6/6000</f>
        <v>3.0833333333333334E-2</v>
      </c>
      <c r="N6" s="29">
        <v>1791</v>
      </c>
      <c r="O6" s="28">
        <f t="shared" ref="O6:O39" si="7">N6-$N$11</f>
        <v>150</v>
      </c>
      <c r="P6" s="27">
        <v>0.1053</v>
      </c>
      <c r="Q6" s="28">
        <v>0</v>
      </c>
      <c r="R6" s="28" t="e">
        <f t="shared" ref="R6:R39" si="8">O6/Q6</f>
        <v>#DIV/0!</v>
      </c>
      <c r="S6" s="28" t="e">
        <f t="shared" ref="S6:S39" si="9">R6/6000</f>
        <v>#DIV/0!</v>
      </c>
      <c r="T6" s="55">
        <v>1834</v>
      </c>
      <c r="U6" s="56">
        <f t="shared" ref="U6:U39" si="10">T6-$T$11</f>
        <v>166</v>
      </c>
      <c r="V6" s="57">
        <v>0.105</v>
      </c>
      <c r="W6" s="56">
        <v>0</v>
      </c>
      <c r="X6" s="56" t="e">
        <f t="shared" ref="X6:X39" si="11">U6/W6</f>
        <v>#DIV/0!</v>
      </c>
      <c r="Y6" t="e">
        <f t="shared" ref="Y6:Y39" si="12">X6/6000</f>
        <v>#DIV/0!</v>
      </c>
      <c r="Z6" s="29">
        <v>1968</v>
      </c>
      <c r="AA6" s="28">
        <f t="shared" ref="AA6:AA39" si="13">Z6-$Z$8</f>
        <v>85</v>
      </c>
      <c r="AB6" s="27">
        <v>0.1094</v>
      </c>
      <c r="AC6" s="28">
        <v>0</v>
      </c>
      <c r="AD6" s="28" t="e">
        <f t="shared" ref="AD6:AD39" si="14">AA6/AC6</f>
        <v>#DIV/0!</v>
      </c>
      <c r="AE6" s="28" t="e">
        <f t="shared" ref="AE6:AE39" si="15">AD6/6000</f>
        <v>#DIV/0!</v>
      </c>
      <c r="AF6" s="55">
        <v>1809</v>
      </c>
      <c r="AG6" s="56">
        <f t="shared" ref="AG6:AG39" si="16">AF6-$AF$12</f>
        <v>91</v>
      </c>
      <c r="AH6" s="57">
        <v>0.10829999999999999</v>
      </c>
      <c r="AI6" s="56">
        <v>0</v>
      </c>
      <c r="AJ6" s="56" t="e">
        <f t="shared" ref="AJ6:AJ39" si="17">AG6/AI6</f>
        <v>#DIV/0!</v>
      </c>
      <c r="AK6" s="56" t="e">
        <f t="shared" ref="AK6:AK39" si="18">AJ6/6000</f>
        <v>#DIV/0!</v>
      </c>
      <c r="AL6" s="7">
        <v>2154</v>
      </c>
      <c r="AM6" s="7">
        <f t="shared" ref="AM6:AM39" si="19">AL6-AQ6</f>
        <v>359</v>
      </c>
      <c r="AN6" s="7">
        <v>0.1051</v>
      </c>
      <c r="AO6" s="7">
        <v>0</v>
      </c>
      <c r="AP6" s="7" t="e">
        <v>#NUM!</v>
      </c>
      <c r="AQ6" s="32">
        <v>1795</v>
      </c>
      <c r="AR6" s="28"/>
      <c r="AS6" s="27">
        <f t="shared" ref="AS6:AS39" si="20">AQ6-$AQ$11</f>
        <v>210</v>
      </c>
      <c r="AT6" s="28">
        <v>0</v>
      </c>
      <c r="AU6" s="28" t="e">
        <f t="shared" ref="AU6:AU39" si="21">AS6/AT6</f>
        <v>#DIV/0!</v>
      </c>
      <c r="AV6" s="55">
        <v>2704</v>
      </c>
      <c r="AW6" s="56">
        <f t="shared" ref="AW6:AW39" si="22">AV6-$AV$8</f>
        <v>215</v>
      </c>
      <c r="AX6" s="57">
        <v>0.1081</v>
      </c>
      <c r="AY6" s="56">
        <v>2.9999999999999472E-4</v>
      </c>
      <c r="AZ6" s="55">
        <f t="shared" ref="AZ6:AZ39" si="23">AW6/AY6</f>
        <v>716666.66666667932</v>
      </c>
      <c r="BA6" s="55">
        <f t="shared" ref="BA6:BA39" si="24">AZ6/6000</f>
        <v>119.44444444444655</v>
      </c>
      <c r="BB6" s="82">
        <v>1824</v>
      </c>
      <c r="BC6">
        <f t="shared" ref="BC6:BC39" si="25">BB6-$BB$10</f>
        <v>169</v>
      </c>
      <c r="BD6" s="8">
        <v>0.1013</v>
      </c>
      <c r="BE6">
        <f t="shared" ref="BE6:BE39" si="26">BC6/BD6</f>
        <v>1668.3119447186575</v>
      </c>
      <c r="BF6">
        <f t="shared" ref="BF6:BF39" si="27">BE6/6000</f>
        <v>0.27805199078644294</v>
      </c>
      <c r="BG6">
        <f t="shared" ref="BG6:BG39" si="28">BE6/6000</f>
        <v>0.27805199078644294</v>
      </c>
      <c r="BH6" s="65">
        <v>1710</v>
      </c>
      <c r="BI6" s="64">
        <f t="shared" ref="BI6:BI39" si="29">$BH$5-BH12</f>
        <v>186</v>
      </c>
      <c r="BJ6" s="66">
        <v>0.1047</v>
      </c>
      <c r="BK6" s="64">
        <f t="shared" ref="BK6:BK39" si="30">BI6/BJ6</f>
        <v>1776.5042979942693</v>
      </c>
      <c r="BL6" s="64">
        <f t="shared" ref="BL6:BL39" si="31">BK6/6000</f>
        <v>0.29608404966571156</v>
      </c>
      <c r="BM6" s="29">
        <v>1785</v>
      </c>
      <c r="BN6" s="28">
        <f t="shared" ref="BN6:BN39" si="32">BM6-$BM$12</f>
        <v>180</v>
      </c>
      <c r="BO6" s="27">
        <v>0.1047</v>
      </c>
      <c r="BP6" s="28">
        <f t="shared" ref="BP6:BP39" si="33">BN6/BO6</f>
        <v>1719.1977077363897</v>
      </c>
      <c r="BQ6" s="28">
        <f t="shared" ref="BQ6:BQ39" si="34">BP6/6000</f>
        <v>0.28653295128939826</v>
      </c>
      <c r="BR6" s="35">
        <v>1904</v>
      </c>
      <c r="BS6" s="34">
        <f t="shared" ref="BS6:BS39" si="35">BR6-$BR$11</f>
        <v>218</v>
      </c>
      <c r="BT6" s="33">
        <v>0.105</v>
      </c>
      <c r="BU6" s="34">
        <f t="shared" ref="BU6:BU15" si="36">BS6/BT6</f>
        <v>2076.1904761904761</v>
      </c>
      <c r="BV6" s="34"/>
      <c r="BW6" s="29">
        <v>2090</v>
      </c>
      <c r="BX6" s="28">
        <f t="shared" ref="BX6:BX39" si="37">BW6-$BW$7</f>
        <v>98</v>
      </c>
      <c r="BY6" s="27">
        <v>0.10539999999999999</v>
      </c>
      <c r="BZ6" s="28">
        <f t="shared" ref="BZ6:BZ39" si="38">BX6/BY6</f>
        <v>929.79127134724865</v>
      </c>
      <c r="CA6" s="28"/>
      <c r="CB6" s="35">
        <v>2067</v>
      </c>
      <c r="CC6" s="34">
        <f t="shared" ref="CC6:CC39" si="39">CB6-$CB$11</f>
        <v>137</v>
      </c>
      <c r="CD6" s="33">
        <v>0.1069</v>
      </c>
      <c r="CE6" s="34">
        <f t="shared" ref="CE6:CE39" si="40">CC6/CD6</f>
        <v>1281.5715622076707</v>
      </c>
      <c r="CF6" s="34"/>
      <c r="CG6" s="7">
        <v>2332</v>
      </c>
      <c r="CH6" s="7">
        <f t="shared" ref="CH6:CH39" si="41">CG6-CL6</f>
        <v>735</v>
      </c>
      <c r="CI6" s="7"/>
      <c r="CJ6" s="7"/>
      <c r="CL6" s="32">
        <v>1597</v>
      </c>
      <c r="CM6" s="27">
        <v>0.106</v>
      </c>
      <c r="CN6" s="28"/>
      <c r="CO6" s="28" t="e">
        <f t="shared" ref="CO6:CO39" si="42">CM6/CN6</f>
        <v>#DIV/0!</v>
      </c>
      <c r="CP6" s="28"/>
      <c r="CQ6" s="55">
        <v>2212</v>
      </c>
      <c r="CR6" s="57">
        <f t="shared" ref="CR6:CR39" si="43">CQ6-$CQ$8</f>
        <v>159</v>
      </c>
      <c r="CT6" s="71" t="e">
        <f t="shared" ref="CT6:CT39" si="44">CR6/CS6</f>
        <v>#DIV/0!</v>
      </c>
      <c r="CU6" s="35">
        <v>1841</v>
      </c>
      <c r="CV6" s="34">
        <f t="shared" ref="CV6:CV39" si="45">CU6-$CU$11</f>
        <v>214</v>
      </c>
      <c r="CW6" s="33"/>
      <c r="CX6" s="34" t="e">
        <f t="shared" ref="CX6:CX39" si="46">CV6/CW6</f>
        <v>#DIV/0!</v>
      </c>
      <c r="CY6" s="34"/>
      <c r="CZ6" s="29">
        <v>1684</v>
      </c>
      <c r="DA6" s="28">
        <f t="shared" ref="DA6:DA39" si="47">CZ6-$CZ$11</f>
        <v>184</v>
      </c>
      <c r="DB6" s="27"/>
      <c r="DC6" s="28" t="e">
        <f t="shared" ref="DC6:DC39" si="48">DA6/DB6</f>
        <v>#DIV/0!</v>
      </c>
      <c r="DD6" s="28"/>
      <c r="DE6" s="55">
        <v>1624</v>
      </c>
      <c r="DF6" s="56">
        <f t="shared" ref="DF6:DF39" si="49">DE6-$DE$11</f>
        <v>191</v>
      </c>
      <c r="DG6" s="56"/>
      <c r="DH6" s="56" t="e">
        <f t="shared" ref="DH6:DH39" si="50">DF6/DG6</f>
        <v>#DIV/0!</v>
      </c>
      <c r="DI6" s="56"/>
      <c r="DJ6" s="35">
        <v>1813</v>
      </c>
      <c r="DK6" s="34">
        <f t="shared" si="0"/>
        <v>173</v>
      </c>
      <c r="DL6" s="34"/>
      <c r="DM6" s="34" t="e">
        <f t="shared" ref="DM6:DM39" si="51">DK6/DL6</f>
        <v>#DIV/0!</v>
      </c>
      <c r="DN6" s="34"/>
      <c r="DO6" s="65">
        <v>2021</v>
      </c>
      <c r="DP6" s="64">
        <f t="shared" ref="DP6:DP39" si="52">DO6-$DO$10</f>
        <v>16</v>
      </c>
      <c r="DQ6" s="64"/>
      <c r="DR6" s="64" t="e">
        <f t="shared" ref="DR6:DR39" si="53">DP6/DQ6</f>
        <v>#DIV/0!</v>
      </c>
      <c r="DS6" s="64"/>
      <c r="DT6" s="55">
        <v>1945</v>
      </c>
      <c r="DU6" s="56">
        <f t="shared" ref="DU6:DU39" si="54">DT6-$DT$11</f>
        <v>90</v>
      </c>
      <c r="DV6" s="56"/>
      <c r="DW6" s="56" t="e">
        <f t="shared" ref="DW6:DW39" si="55">DU6/DV6</f>
        <v>#DIV/0!</v>
      </c>
      <c r="DX6" s="56"/>
      <c r="DY6" s="1">
        <v>2034</v>
      </c>
      <c r="DZ6">
        <f t="shared" ref="DZ6:DZ39" si="56">DY6-ED6</f>
        <v>425</v>
      </c>
      <c r="ED6" s="37">
        <v>1609</v>
      </c>
      <c r="EE6" s="34">
        <f t="shared" ref="EE6:EE39" si="57">ED6-$ED$11</f>
        <v>168</v>
      </c>
      <c r="EF6" s="34"/>
      <c r="EG6" s="34" t="e">
        <f t="shared" ref="EG6:EG39" si="58">EE6/EF6</f>
        <v>#DIV/0!</v>
      </c>
      <c r="EH6" s="34"/>
      <c r="EI6" s="74">
        <v>2633</v>
      </c>
      <c r="EJ6" s="73">
        <f t="shared" ref="EJ6:EJ39" si="59">EI6-$EI$8</f>
        <v>154</v>
      </c>
      <c r="EL6" s="73" t="e">
        <f t="shared" ref="EL6:EL39" si="60">EJ6/EK6</f>
        <v>#DIV/0!</v>
      </c>
      <c r="EM6" s="73"/>
    </row>
    <row r="7" spans="1:143" x14ac:dyDescent="0.2">
      <c r="A7">
        <v>0.4757197222222222</v>
      </c>
      <c r="B7" s="29">
        <v>1563</v>
      </c>
      <c r="C7" s="28">
        <f t="shared" si="1"/>
        <v>45</v>
      </c>
      <c r="D7" s="27">
        <v>0.1052</v>
      </c>
      <c r="E7" s="28">
        <v>0</v>
      </c>
      <c r="F7" s="28" t="e">
        <f t="shared" si="2"/>
        <v>#DIV/0!</v>
      </c>
      <c r="G7" s="28" t="e">
        <f t="shared" si="3"/>
        <v>#DIV/0!</v>
      </c>
      <c r="H7" s="55">
        <v>1749</v>
      </c>
      <c r="I7" s="56">
        <f t="shared" si="4"/>
        <v>149</v>
      </c>
      <c r="J7" s="57">
        <v>0.106</v>
      </c>
      <c r="K7" s="56">
        <v>3.9999999999999758E-4</v>
      </c>
      <c r="L7" s="56">
        <f t="shared" si="5"/>
        <v>148.99959999999999</v>
      </c>
      <c r="M7" s="56">
        <f t="shared" si="6"/>
        <v>2.4833266666666666E-2</v>
      </c>
      <c r="N7" s="29">
        <v>1749</v>
      </c>
      <c r="O7" s="28">
        <f t="shared" si="7"/>
        <v>108</v>
      </c>
      <c r="P7" s="27">
        <v>0.1057</v>
      </c>
      <c r="Q7" s="28">
        <v>3.9999999999999758E-4</v>
      </c>
      <c r="R7" s="28">
        <f t="shared" si="8"/>
        <v>270000.00000000163</v>
      </c>
      <c r="S7" s="28">
        <f t="shared" si="9"/>
        <v>45.00000000000027</v>
      </c>
      <c r="T7" s="55">
        <v>1775</v>
      </c>
      <c r="U7" s="56">
        <f t="shared" si="10"/>
        <v>107</v>
      </c>
      <c r="V7" s="57">
        <v>0.1051</v>
      </c>
      <c r="W7" s="56">
        <v>1.0000000000000286E-4</v>
      </c>
      <c r="X7" s="56">
        <f t="shared" si="11"/>
        <v>1069999.9999999693</v>
      </c>
      <c r="Y7">
        <f t="shared" si="12"/>
        <v>178.3333333333282</v>
      </c>
      <c r="Z7" s="29">
        <v>1902</v>
      </c>
      <c r="AA7" s="28">
        <f t="shared" si="13"/>
        <v>19</v>
      </c>
      <c r="AB7" s="27">
        <v>0.11020000000000001</v>
      </c>
      <c r="AC7" s="28">
        <v>8.0000000000000904E-4</v>
      </c>
      <c r="AD7" s="28">
        <f t="shared" si="14"/>
        <v>23749.999999999731</v>
      </c>
      <c r="AE7" s="28">
        <f t="shared" si="15"/>
        <v>3.9583333333332886</v>
      </c>
      <c r="AF7" s="55">
        <v>1745</v>
      </c>
      <c r="AG7" s="56">
        <f t="shared" si="16"/>
        <v>27</v>
      </c>
      <c r="AH7" s="57">
        <v>0.1089</v>
      </c>
      <c r="AI7" s="56">
        <v>6.0000000000000331E-4</v>
      </c>
      <c r="AJ7" s="56">
        <f t="shared" si="17"/>
        <v>44999.999999999753</v>
      </c>
      <c r="AK7" s="56">
        <f t="shared" si="18"/>
        <v>7.4999999999999591</v>
      </c>
      <c r="AL7" s="7">
        <v>2124</v>
      </c>
      <c r="AM7" s="7">
        <f t="shared" si="19"/>
        <v>368</v>
      </c>
      <c r="AN7" s="7">
        <v>0.1057</v>
      </c>
      <c r="AO7" s="7">
        <v>6.0000000000000331E-4</v>
      </c>
      <c r="AP7" s="7">
        <v>-7.418580902748122</v>
      </c>
      <c r="AQ7" s="32">
        <v>1756</v>
      </c>
      <c r="AR7" s="28"/>
      <c r="AS7" s="27">
        <f t="shared" si="20"/>
        <v>171</v>
      </c>
      <c r="AT7" s="28">
        <v>6.0000000000000331E-4</v>
      </c>
      <c r="AU7" s="28">
        <f t="shared" si="21"/>
        <v>284999.99999999843</v>
      </c>
      <c r="AV7" s="55">
        <v>2572</v>
      </c>
      <c r="AW7" s="56">
        <f t="shared" si="22"/>
        <v>83</v>
      </c>
      <c r="AX7" s="57">
        <v>0.10780000000000001</v>
      </c>
      <c r="AY7" s="56">
        <v>0</v>
      </c>
      <c r="AZ7" s="55" t="e">
        <f t="shared" si="23"/>
        <v>#DIV/0!</v>
      </c>
      <c r="BA7" s="55" t="e">
        <f t="shared" si="24"/>
        <v>#DIV/0!</v>
      </c>
      <c r="BB7" s="82">
        <v>1711</v>
      </c>
      <c r="BC7">
        <f t="shared" si="25"/>
        <v>56</v>
      </c>
      <c r="BD7" s="8">
        <v>0.1008</v>
      </c>
      <c r="BE7">
        <f t="shared" si="26"/>
        <v>555.55555555555554</v>
      </c>
      <c r="BF7">
        <f t="shared" si="27"/>
        <v>9.2592592592592587E-2</v>
      </c>
      <c r="BG7">
        <f t="shared" si="28"/>
        <v>9.2592592592592587E-2</v>
      </c>
      <c r="BH7" s="65">
        <v>1632</v>
      </c>
      <c r="BI7" s="64">
        <f t="shared" si="29"/>
        <v>179</v>
      </c>
      <c r="BJ7" s="66">
        <v>0.1048</v>
      </c>
      <c r="BK7" s="64">
        <f t="shared" si="30"/>
        <v>1708.0152671755725</v>
      </c>
      <c r="BL7" s="64">
        <f t="shared" si="31"/>
        <v>0.28466921119592875</v>
      </c>
      <c r="BM7" s="29">
        <v>1703</v>
      </c>
      <c r="BN7" s="28">
        <f t="shared" si="32"/>
        <v>98</v>
      </c>
      <c r="BO7" s="27">
        <v>0.1046</v>
      </c>
      <c r="BP7" s="28">
        <f t="shared" si="33"/>
        <v>936.90248565965589</v>
      </c>
      <c r="BQ7" s="28">
        <f t="shared" si="34"/>
        <v>0.15615041427660931</v>
      </c>
      <c r="BR7" s="35">
        <v>1820</v>
      </c>
      <c r="BS7" s="34">
        <f t="shared" si="35"/>
        <v>134</v>
      </c>
      <c r="BT7" s="33">
        <v>0.1055</v>
      </c>
      <c r="BU7" s="34">
        <f t="shared" si="36"/>
        <v>1270.1421800947867</v>
      </c>
      <c r="BV7" s="34"/>
      <c r="BW7" s="78">
        <v>1992</v>
      </c>
      <c r="BX7" s="28">
        <f t="shared" si="37"/>
        <v>0</v>
      </c>
      <c r="BY7" s="27">
        <v>0.1061</v>
      </c>
      <c r="BZ7" s="28">
        <f t="shared" si="38"/>
        <v>0</v>
      </c>
      <c r="CA7" s="28"/>
      <c r="CB7" s="35">
        <v>1945</v>
      </c>
      <c r="CC7" s="34">
        <f t="shared" si="39"/>
        <v>15</v>
      </c>
      <c r="CD7" s="33">
        <v>0.1071</v>
      </c>
      <c r="CE7" s="34">
        <f t="shared" si="40"/>
        <v>140.05602240896357</v>
      </c>
      <c r="CF7" s="34"/>
      <c r="CG7" s="7">
        <v>2220</v>
      </c>
      <c r="CH7" s="7">
        <f t="shared" si="41"/>
        <v>662</v>
      </c>
      <c r="CI7" s="7"/>
      <c r="CJ7" s="7"/>
      <c r="CL7" s="32">
        <v>1558</v>
      </c>
      <c r="CM7" s="27">
        <v>0.1052</v>
      </c>
      <c r="CN7" s="28">
        <v>0</v>
      </c>
      <c r="CO7" s="28" t="e">
        <f>CM7/CN7</f>
        <v>#DIV/0!</v>
      </c>
      <c r="CP7" s="28"/>
      <c r="CQ7" s="55">
        <v>2096</v>
      </c>
      <c r="CR7" s="57">
        <f t="shared" si="43"/>
        <v>43</v>
      </c>
      <c r="CS7">
        <v>0</v>
      </c>
      <c r="CT7" s="71" t="e">
        <f t="shared" si="44"/>
        <v>#DIV/0!</v>
      </c>
      <c r="CU7" s="35">
        <v>1754</v>
      </c>
      <c r="CV7" s="34">
        <f t="shared" si="45"/>
        <v>127</v>
      </c>
      <c r="CW7" s="33">
        <v>0</v>
      </c>
      <c r="CX7" s="34" t="e">
        <f t="shared" si="46"/>
        <v>#DIV/0!</v>
      </c>
      <c r="CY7" s="34"/>
      <c r="CZ7" s="29">
        <v>1640</v>
      </c>
      <c r="DA7" s="28">
        <f t="shared" si="47"/>
        <v>140</v>
      </c>
      <c r="DB7" s="27">
        <v>0</v>
      </c>
      <c r="DC7" s="28" t="e">
        <f t="shared" si="48"/>
        <v>#DIV/0!</v>
      </c>
      <c r="DD7" s="28"/>
      <c r="DE7" s="55">
        <v>1585</v>
      </c>
      <c r="DF7" s="56">
        <f t="shared" si="49"/>
        <v>152</v>
      </c>
      <c r="DG7" s="56">
        <v>0</v>
      </c>
      <c r="DH7" s="56" t="e">
        <f t="shared" si="50"/>
        <v>#DIV/0!</v>
      </c>
      <c r="DI7" s="56"/>
      <c r="DJ7" s="35">
        <v>1754</v>
      </c>
      <c r="DK7" s="34">
        <f t="shared" si="0"/>
        <v>114</v>
      </c>
      <c r="DL7" s="34">
        <v>0</v>
      </c>
      <c r="DM7" s="34" t="e">
        <f t="shared" si="51"/>
        <v>#DIV/0!</v>
      </c>
      <c r="DN7" s="34"/>
      <c r="DO7" s="65">
        <v>1970</v>
      </c>
      <c r="DP7" s="64">
        <f t="shared" si="52"/>
        <v>-35</v>
      </c>
      <c r="DQ7" s="64">
        <v>0</v>
      </c>
      <c r="DR7" s="64" t="e">
        <f t="shared" si="53"/>
        <v>#DIV/0!</v>
      </c>
      <c r="DS7" s="64"/>
      <c r="DT7" s="55">
        <v>1890</v>
      </c>
      <c r="DU7" s="56">
        <f t="shared" si="54"/>
        <v>35</v>
      </c>
      <c r="DV7" s="56">
        <v>0</v>
      </c>
      <c r="DW7" s="56" t="e">
        <f t="shared" si="55"/>
        <v>#DIV/0!</v>
      </c>
      <c r="DX7" s="56"/>
      <c r="DY7" s="1">
        <v>1998</v>
      </c>
      <c r="DZ7">
        <f t="shared" si="56"/>
        <v>442</v>
      </c>
      <c r="ED7" s="37">
        <v>1556</v>
      </c>
      <c r="EE7" s="34">
        <f t="shared" si="57"/>
        <v>115</v>
      </c>
      <c r="EF7" s="34">
        <v>0</v>
      </c>
      <c r="EG7" s="34" t="e">
        <f t="shared" si="58"/>
        <v>#DIV/0!</v>
      </c>
      <c r="EH7" s="34"/>
      <c r="EI7" s="74">
        <v>2583</v>
      </c>
      <c r="EJ7" s="73">
        <f t="shared" si="59"/>
        <v>104</v>
      </c>
      <c r="EK7" s="73">
        <v>0</v>
      </c>
      <c r="EL7" s="73" t="e">
        <f t="shared" si="60"/>
        <v>#DIV/0!</v>
      </c>
      <c r="EM7" s="73"/>
    </row>
    <row r="8" spans="1:143" x14ac:dyDescent="0.2">
      <c r="A8">
        <v>0.7135488888888889</v>
      </c>
      <c r="B8" s="29">
        <v>1525</v>
      </c>
      <c r="C8" s="28">
        <f t="shared" si="1"/>
        <v>7</v>
      </c>
      <c r="D8" s="27">
        <v>0.1077</v>
      </c>
      <c r="E8" s="28">
        <v>2.5000000000000022E-3</v>
      </c>
      <c r="F8" s="28">
        <f t="shared" si="2"/>
        <v>2799.9999999999977</v>
      </c>
      <c r="G8" s="28">
        <f t="shared" si="3"/>
        <v>0.46666666666666629</v>
      </c>
      <c r="H8" s="55">
        <v>1713</v>
      </c>
      <c r="I8" s="56">
        <f t="shared" si="4"/>
        <v>113</v>
      </c>
      <c r="J8" s="57">
        <v>0.1077</v>
      </c>
      <c r="K8" s="56">
        <v>2.1000000000000046E-3</v>
      </c>
      <c r="L8" s="56">
        <f t="shared" si="5"/>
        <v>112.9979</v>
      </c>
      <c r="M8" s="56">
        <f t="shared" si="6"/>
        <v>1.8832983333333334E-2</v>
      </c>
      <c r="N8" s="29">
        <v>1745</v>
      </c>
      <c r="O8" s="28">
        <f t="shared" si="7"/>
        <v>104</v>
      </c>
      <c r="P8" s="27">
        <v>0.10780000000000001</v>
      </c>
      <c r="Q8" s="28">
        <v>2.5000000000000022E-3</v>
      </c>
      <c r="R8" s="28">
        <f t="shared" si="8"/>
        <v>41599.999999999964</v>
      </c>
      <c r="S8" s="28">
        <f t="shared" si="9"/>
        <v>6.9333333333333274</v>
      </c>
      <c r="T8" s="55">
        <v>1731</v>
      </c>
      <c r="U8" s="56">
        <f t="shared" si="10"/>
        <v>63</v>
      </c>
      <c r="V8" s="57">
        <v>0.1077</v>
      </c>
      <c r="W8" s="56">
        <v>2.7000000000000079E-3</v>
      </c>
      <c r="X8" s="56">
        <f t="shared" si="11"/>
        <v>23333.333333333263</v>
      </c>
      <c r="Y8">
        <f t="shared" si="12"/>
        <v>3.8888888888888773</v>
      </c>
      <c r="Z8" s="78">
        <v>1883</v>
      </c>
      <c r="AA8" s="28">
        <f t="shared" si="13"/>
        <v>0</v>
      </c>
      <c r="AB8" s="27">
        <v>0.1115</v>
      </c>
      <c r="AC8" s="28">
        <v>2.1000000000000046E-3</v>
      </c>
      <c r="AD8" s="28">
        <f t="shared" si="14"/>
        <v>0</v>
      </c>
      <c r="AE8" s="28">
        <f t="shared" si="15"/>
        <v>0</v>
      </c>
      <c r="AF8" s="55">
        <v>1703</v>
      </c>
      <c r="AG8" s="56">
        <f t="shared" si="16"/>
        <v>-15</v>
      </c>
      <c r="AH8" s="57">
        <v>0.1125</v>
      </c>
      <c r="AI8" s="56">
        <v>4.2000000000000093E-3</v>
      </c>
      <c r="AJ8" s="56">
        <f t="shared" si="17"/>
        <v>-3571.4285714285634</v>
      </c>
      <c r="AK8" s="56">
        <f t="shared" si="18"/>
        <v>-0.5952380952380939</v>
      </c>
      <c r="AL8" s="7">
        <v>2027</v>
      </c>
      <c r="AM8" s="7">
        <f t="shared" si="19"/>
        <v>366</v>
      </c>
      <c r="AN8" s="7">
        <v>0.1086</v>
      </c>
      <c r="AO8" s="7">
        <v>3.5000000000000031E-3</v>
      </c>
      <c r="AP8" s="7">
        <v>-5.6549923104867679</v>
      </c>
      <c r="AQ8" s="32">
        <v>1661</v>
      </c>
      <c r="AR8" s="28"/>
      <c r="AS8" s="27">
        <f t="shared" si="20"/>
        <v>76</v>
      </c>
      <c r="AT8" s="28">
        <v>3.5000000000000031E-3</v>
      </c>
      <c r="AU8" s="28">
        <f t="shared" si="21"/>
        <v>21714.285714285696</v>
      </c>
      <c r="AV8" s="79">
        <v>2489</v>
      </c>
      <c r="AW8" s="56">
        <f t="shared" si="22"/>
        <v>0</v>
      </c>
      <c r="AX8" s="57">
        <v>0.10879999999999999</v>
      </c>
      <c r="AY8" s="56">
        <v>9.9999999999998701E-4</v>
      </c>
      <c r="AZ8" s="55">
        <f t="shared" si="23"/>
        <v>0</v>
      </c>
      <c r="BA8" s="55">
        <f t="shared" si="24"/>
        <v>0</v>
      </c>
      <c r="BB8" s="82">
        <v>1690</v>
      </c>
      <c r="BC8">
        <f t="shared" si="25"/>
        <v>35</v>
      </c>
      <c r="BD8" s="8">
        <v>0.1009</v>
      </c>
      <c r="BE8">
        <f t="shared" si="26"/>
        <v>346.87809712586716</v>
      </c>
      <c r="BF8">
        <f t="shared" si="27"/>
        <v>5.7813016187644527E-2</v>
      </c>
      <c r="BG8">
        <f t="shared" si="28"/>
        <v>5.7813016187644527E-2</v>
      </c>
      <c r="BH8" s="65">
        <v>1589</v>
      </c>
      <c r="BI8" s="64">
        <f t="shared" si="29"/>
        <v>222</v>
      </c>
      <c r="BJ8" s="66">
        <v>0.1066</v>
      </c>
      <c r="BK8" s="64">
        <f t="shared" si="30"/>
        <v>2082.5515947467165</v>
      </c>
      <c r="BL8" s="64">
        <f t="shared" si="31"/>
        <v>0.34709193245778608</v>
      </c>
      <c r="BM8" s="29">
        <v>1686</v>
      </c>
      <c r="BN8" s="28">
        <f t="shared" si="32"/>
        <v>81</v>
      </c>
      <c r="BO8" s="27">
        <v>0.10639999999999999</v>
      </c>
      <c r="BP8" s="28">
        <f t="shared" si="33"/>
        <v>761.27819548872185</v>
      </c>
      <c r="BQ8" s="28">
        <f t="shared" si="34"/>
        <v>0.12687969924812031</v>
      </c>
      <c r="BR8" s="35">
        <v>1769</v>
      </c>
      <c r="BS8" s="34">
        <f t="shared" si="35"/>
        <v>83</v>
      </c>
      <c r="BT8" s="33">
        <v>0.10780000000000001</v>
      </c>
      <c r="BU8" s="34">
        <f t="shared" si="36"/>
        <v>769.94434137291273</v>
      </c>
      <c r="BV8" s="34"/>
      <c r="BW8" s="29">
        <v>1988</v>
      </c>
      <c r="BX8" s="28">
        <f t="shared" si="37"/>
        <v>-4</v>
      </c>
      <c r="BY8" s="27">
        <v>0.1084</v>
      </c>
      <c r="BZ8" s="28">
        <f t="shared" si="38"/>
        <v>-36.900369003690038</v>
      </c>
      <c r="CA8" s="28"/>
      <c r="CB8" s="35">
        <v>1937</v>
      </c>
      <c r="CC8" s="34">
        <f t="shared" si="39"/>
        <v>7</v>
      </c>
      <c r="CD8" s="33">
        <v>0.10979999999999999</v>
      </c>
      <c r="CE8" s="34">
        <f t="shared" si="40"/>
        <v>63.752276867030972</v>
      </c>
      <c r="CF8" s="34"/>
      <c r="CG8" s="7">
        <v>2196</v>
      </c>
      <c r="CH8" s="7">
        <f t="shared" si="41"/>
        <v>648</v>
      </c>
      <c r="CI8" s="7"/>
      <c r="CJ8" s="7"/>
      <c r="CL8" s="32">
        <v>1548</v>
      </c>
      <c r="CM8" s="27">
        <v>0.10730000000000001</v>
      </c>
      <c r="CN8" s="28">
        <v>2.1000000000000046E-3</v>
      </c>
      <c r="CO8" s="28">
        <f t="shared" si="42"/>
        <v>51.095238095237988</v>
      </c>
      <c r="CP8" s="28"/>
      <c r="CQ8" s="79">
        <v>2053</v>
      </c>
      <c r="CR8" s="57">
        <f t="shared" si="43"/>
        <v>0</v>
      </c>
      <c r="CS8">
        <v>1.6999999999999899E-3</v>
      </c>
      <c r="CT8" s="71">
        <f t="shared" si="44"/>
        <v>0</v>
      </c>
      <c r="CU8" s="35">
        <v>1728</v>
      </c>
      <c r="CV8" s="34">
        <f t="shared" si="45"/>
        <v>101</v>
      </c>
      <c r="CW8" s="33">
        <v>3.5000000000000031E-3</v>
      </c>
      <c r="CX8" s="34">
        <f t="shared" si="46"/>
        <v>28857.142857142833</v>
      </c>
      <c r="CY8" s="34"/>
      <c r="CZ8" s="29">
        <v>1563</v>
      </c>
      <c r="DA8" s="28">
        <f t="shared" si="47"/>
        <v>63</v>
      </c>
      <c r="DB8" s="27">
        <v>2.7000000000000079E-3</v>
      </c>
      <c r="DC8" s="28">
        <f>DA8/DB8</f>
        <v>23333.333333333263</v>
      </c>
      <c r="DD8" s="28"/>
      <c r="DE8" s="55">
        <v>1546</v>
      </c>
      <c r="DF8" s="56">
        <f t="shared" si="49"/>
        <v>113</v>
      </c>
      <c r="DG8" s="56">
        <v>2.4000000000000132E-3</v>
      </c>
      <c r="DH8" s="56">
        <f t="shared" si="50"/>
        <v>47083.333333333074</v>
      </c>
      <c r="DI8" s="56"/>
      <c r="DJ8" s="35">
        <v>1696</v>
      </c>
      <c r="DK8" s="34">
        <f t="shared" si="0"/>
        <v>56</v>
      </c>
      <c r="DL8" s="34">
        <v>2.6000000000000051E-3</v>
      </c>
      <c r="DM8" s="34">
        <f t="shared" si="51"/>
        <v>21538.461538461495</v>
      </c>
      <c r="DN8" s="34"/>
      <c r="DO8" s="65">
        <v>1910</v>
      </c>
      <c r="DP8" s="64">
        <f t="shared" si="52"/>
        <v>-95</v>
      </c>
      <c r="DQ8" s="64">
        <v>2.7999999999999969E-3</v>
      </c>
      <c r="DR8" s="64">
        <f t="shared" si="53"/>
        <v>-33928.571428571464</v>
      </c>
      <c r="DS8" s="64"/>
      <c r="DT8" s="55">
        <v>1847</v>
      </c>
      <c r="DU8" s="56">
        <f t="shared" si="54"/>
        <v>-8</v>
      </c>
      <c r="DV8" s="56">
        <v>1.9999999999999879E-3</v>
      </c>
      <c r="DW8" s="56">
        <f t="shared" si="55"/>
        <v>-4000.0000000000241</v>
      </c>
      <c r="DX8" s="56"/>
      <c r="DY8" s="1">
        <v>1940</v>
      </c>
      <c r="DZ8">
        <f t="shared" si="56"/>
        <v>418</v>
      </c>
      <c r="ED8" s="37">
        <v>1522</v>
      </c>
      <c r="EE8" s="34">
        <f t="shared" si="57"/>
        <v>81</v>
      </c>
      <c r="EF8" s="34">
        <v>2.8999999999999998E-3</v>
      </c>
      <c r="EG8" s="34">
        <f t="shared" si="58"/>
        <v>27931.034482758623</v>
      </c>
      <c r="EH8" s="34"/>
      <c r="EI8" s="85">
        <v>2479</v>
      </c>
      <c r="EJ8" s="73">
        <f t="shared" si="59"/>
        <v>0</v>
      </c>
      <c r="EK8" s="73">
        <v>2.1000000000000046E-3</v>
      </c>
      <c r="EL8" s="73">
        <f t="shared" si="60"/>
        <v>0</v>
      </c>
      <c r="EM8" s="73"/>
    </row>
    <row r="9" spans="1:143" x14ac:dyDescent="0.2">
      <c r="A9">
        <v>0.95137944444444444</v>
      </c>
      <c r="B9" s="78">
        <v>1518</v>
      </c>
      <c r="C9" s="28">
        <f t="shared" si="1"/>
        <v>0</v>
      </c>
      <c r="D9" s="27">
        <v>0.1119</v>
      </c>
      <c r="E9" s="28">
        <v>6.6999999999999976E-3</v>
      </c>
      <c r="F9" s="28">
        <f t="shared" si="2"/>
        <v>0</v>
      </c>
      <c r="G9" s="28">
        <f t="shared" si="3"/>
        <v>0</v>
      </c>
      <c r="H9" s="55">
        <v>1695</v>
      </c>
      <c r="I9" s="56">
        <f t="shared" si="4"/>
        <v>95</v>
      </c>
      <c r="J9" s="57">
        <v>0.1124</v>
      </c>
      <c r="K9" s="56">
        <v>6.8000000000000005E-3</v>
      </c>
      <c r="L9" s="56">
        <f t="shared" si="5"/>
        <v>94.993200000000002</v>
      </c>
      <c r="M9" s="56">
        <f t="shared" si="6"/>
        <v>1.5832200000000001E-2</v>
      </c>
      <c r="N9" s="29">
        <v>1699</v>
      </c>
      <c r="O9" s="28">
        <f t="shared" si="7"/>
        <v>58</v>
      </c>
      <c r="P9" s="27">
        <v>0.1125</v>
      </c>
      <c r="Q9" s="28">
        <v>7.1999999999999981E-3</v>
      </c>
      <c r="R9" s="28">
        <f t="shared" si="8"/>
        <v>8055.5555555555575</v>
      </c>
      <c r="S9" s="28">
        <f t="shared" si="9"/>
        <v>1.342592592592593</v>
      </c>
      <c r="T9" s="55">
        <v>1725</v>
      </c>
      <c r="U9" s="56">
        <f t="shared" si="10"/>
        <v>57</v>
      </c>
      <c r="V9" s="57">
        <v>0.11260000000000001</v>
      </c>
      <c r="W9" s="56">
        <v>7.6000000000000095E-3</v>
      </c>
      <c r="X9" s="56">
        <f t="shared" si="11"/>
        <v>7499.9999999999909</v>
      </c>
      <c r="Y9">
        <f t="shared" si="12"/>
        <v>1.2499999999999984</v>
      </c>
      <c r="Z9" s="29">
        <v>1900</v>
      </c>
      <c r="AA9" s="28">
        <f t="shared" si="13"/>
        <v>17</v>
      </c>
      <c r="AB9" s="27">
        <v>0.1158</v>
      </c>
      <c r="AC9" s="28">
        <v>6.4000000000000029E-3</v>
      </c>
      <c r="AD9" s="28">
        <f t="shared" si="14"/>
        <v>2656.2499999999986</v>
      </c>
      <c r="AE9" s="28">
        <f t="shared" si="15"/>
        <v>0.44270833333333309</v>
      </c>
      <c r="AF9" s="55">
        <v>1679</v>
      </c>
      <c r="AG9" s="56">
        <f t="shared" si="16"/>
        <v>-39</v>
      </c>
      <c r="AH9" s="57">
        <v>0.11899999999999999</v>
      </c>
      <c r="AI9" s="56">
        <v>1.0700000000000001E-2</v>
      </c>
      <c r="AJ9" s="56">
        <f t="shared" si="17"/>
        <v>-3644.8598130841119</v>
      </c>
      <c r="AK9" s="56">
        <f t="shared" si="18"/>
        <v>-0.60747663551401865</v>
      </c>
      <c r="AL9" s="7">
        <v>2063</v>
      </c>
      <c r="AM9" s="7">
        <f t="shared" si="19"/>
        <v>422</v>
      </c>
      <c r="AN9" s="7">
        <v>0.1135</v>
      </c>
      <c r="AO9" s="7">
        <v>8.4000000000000047E-3</v>
      </c>
      <c r="AP9" s="7">
        <v>-4.7795235731328685</v>
      </c>
      <c r="AQ9" s="32">
        <v>1641</v>
      </c>
      <c r="AR9" s="28"/>
      <c r="AS9" s="27">
        <f t="shared" si="20"/>
        <v>56</v>
      </c>
      <c r="AT9" s="28">
        <v>8.4000000000000047E-3</v>
      </c>
      <c r="AU9" s="28">
        <f t="shared" si="21"/>
        <v>6666.6666666666633</v>
      </c>
      <c r="AV9" s="55">
        <v>2516</v>
      </c>
      <c r="AW9" s="56">
        <f t="shared" si="22"/>
        <v>27</v>
      </c>
      <c r="AX9" s="57">
        <v>0.1113</v>
      </c>
      <c r="AY9" s="56">
        <v>3.4999999999999892E-3</v>
      </c>
      <c r="AZ9" s="55">
        <f t="shared" si="23"/>
        <v>7714.2857142857383</v>
      </c>
      <c r="BA9" s="55">
        <f t="shared" si="24"/>
        <v>1.2857142857142898</v>
      </c>
      <c r="BB9" s="82">
        <v>1698</v>
      </c>
      <c r="BC9">
        <f t="shared" si="25"/>
        <v>43</v>
      </c>
      <c r="BD9" s="8">
        <v>0.1014</v>
      </c>
      <c r="BE9">
        <f t="shared" si="26"/>
        <v>424.06311637080864</v>
      </c>
      <c r="BF9">
        <f t="shared" si="27"/>
        <v>7.0677186061801442E-2</v>
      </c>
      <c r="BG9">
        <f t="shared" si="28"/>
        <v>7.0677186061801442E-2</v>
      </c>
      <c r="BH9" s="65">
        <v>1583</v>
      </c>
      <c r="BI9" s="64">
        <f t="shared" si="29"/>
        <v>189</v>
      </c>
      <c r="BJ9" s="66">
        <v>0.11070000000000001</v>
      </c>
      <c r="BK9" s="64">
        <f t="shared" si="30"/>
        <v>1707.3170731707316</v>
      </c>
      <c r="BL9" s="64">
        <f t="shared" si="31"/>
        <v>0.28455284552845528</v>
      </c>
      <c r="BM9" s="29">
        <v>1688</v>
      </c>
      <c r="BN9" s="28">
        <f t="shared" si="32"/>
        <v>83</v>
      </c>
      <c r="BO9" s="27">
        <v>0.111</v>
      </c>
      <c r="BP9" s="28">
        <f t="shared" si="33"/>
        <v>747.74774774774778</v>
      </c>
      <c r="BQ9" s="28">
        <f t="shared" si="34"/>
        <v>0.12462462462462463</v>
      </c>
      <c r="BR9" s="35">
        <v>1759</v>
      </c>
      <c r="BS9" s="34">
        <f t="shared" si="35"/>
        <v>73</v>
      </c>
      <c r="BT9" s="33">
        <v>0.1124</v>
      </c>
      <c r="BU9" s="80">
        <f t="shared" si="36"/>
        <v>649.46619217081854</v>
      </c>
      <c r="BV9" s="34"/>
      <c r="BW9" s="29">
        <v>2035</v>
      </c>
      <c r="BX9" s="28">
        <f t="shared" si="37"/>
        <v>43</v>
      </c>
      <c r="BY9" s="27">
        <v>0.11269999999999999</v>
      </c>
      <c r="BZ9" s="28">
        <f t="shared" si="38"/>
        <v>381.54392191659275</v>
      </c>
      <c r="CA9" s="28"/>
      <c r="CB9" s="35">
        <v>1960</v>
      </c>
      <c r="CC9" s="34">
        <f t="shared" si="39"/>
        <v>30</v>
      </c>
      <c r="CD9" s="33">
        <v>0.1154</v>
      </c>
      <c r="CE9" s="34">
        <f t="shared" si="40"/>
        <v>259.96533795493934</v>
      </c>
      <c r="CF9" s="34"/>
      <c r="CG9" s="7">
        <v>2235</v>
      </c>
      <c r="CH9" s="7">
        <f t="shared" si="41"/>
        <v>715</v>
      </c>
      <c r="CI9" s="7"/>
      <c r="CJ9" s="7"/>
      <c r="CL9" s="32">
        <v>1520</v>
      </c>
      <c r="CM9" s="27">
        <v>0.1116</v>
      </c>
      <c r="CN9" s="28">
        <v>6.4000000000000029E-3</v>
      </c>
      <c r="CO9" s="28">
        <f t="shared" si="42"/>
        <v>17.437499999999993</v>
      </c>
      <c r="CP9" s="28"/>
      <c r="CQ9" s="55">
        <v>2094</v>
      </c>
      <c r="CR9" s="57">
        <f t="shared" si="43"/>
        <v>41</v>
      </c>
      <c r="CS9">
        <v>5.5999999999999939E-3</v>
      </c>
      <c r="CT9" s="71">
        <f t="shared" si="44"/>
        <v>7321.4285714285797</v>
      </c>
      <c r="CU9" s="35">
        <v>1692</v>
      </c>
      <c r="CV9" s="34">
        <f t="shared" si="45"/>
        <v>65</v>
      </c>
      <c r="CW9" s="33">
        <v>9.5999999999999974E-3</v>
      </c>
      <c r="CX9" s="34">
        <f t="shared" si="46"/>
        <v>6770.8333333333348</v>
      </c>
      <c r="CY9" s="34"/>
      <c r="CZ9" s="29">
        <v>1544</v>
      </c>
      <c r="DA9" s="28">
        <f t="shared" si="47"/>
        <v>44</v>
      </c>
      <c r="DB9" s="27">
        <v>7.9000000000000042E-3</v>
      </c>
      <c r="DC9" s="28">
        <f t="shared" si="48"/>
        <v>5569.620253164554</v>
      </c>
      <c r="DD9" s="28"/>
      <c r="DE9" s="55">
        <v>1508</v>
      </c>
      <c r="DF9" s="56">
        <f t="shared" si="49"/>
        <v>75</v>
      </c>
      <c r="DG9" s="56">
        <v>7.6000000000000095E-3</v>
      </c>
      <c r="DH9" s="56">
        <f t="shared" si="50"/>
        <v>9868.4210526315674</v>
      </c>
      <c r="DI9" s="56"/>
      <c r="DJ9" s="35">
        <v>1692</v>
      </c>
      <c r="DK9" s="34">
        <f t="shared" si="0"/>
        <v>52</v>
      </c>
      <c r="DL9" s="34">
        <v>7.6000000000000095E-3</v>
      </c>
      <c r="DM9" s="34">
        <f t="shared" si="51"/>
        <v>6842.1052631578859</v>
      </c>
      <c r="DN9" s="34"/>
      <c r="DO9" s="65">
        <v>1953</v>
      </c>
      <c r="DP9" s="64">
        <f t="shared" si="52"/>
        <v>-52</v>
      </c>
      <c r="DQ9" s="64">
        <v>7.8000000000000014E-3</v>
      </c>
      <c r="DR9" s="64">
        <f t="shared" si="53"/>
        <v>-6666.6666666666652</v>
      </c>
      <c r="DS9" s="64"/>
      <c r="DT9" s="55">
        <v>1861</v>
      </c>
      <c r="DU9" s="56">
        <f t="shared" si="54"/>
        <v>6</v>
      </c>
      <c r="DV9" s="56">
        <v>6.9000000000000034E-3</v>
      </c>
      <c r="DW9" s="56">
        <f t="shared" si="55"/>
        <v>869.56521739130392</v>
      </c>
      <c r="DX9" s="56"/>
      <c r="DY9" s="1">
        <v>1949</v>
      </c>
      <c r="DZ9">
        <f t="shared" si="56"/>
        <v>437</v>
      </c>
      <c r="ED9" s="37">
        <v>1512</v>
      </c>
      <c r="EE9" s="34">
        <f t="shared" si="57"/>
        <v>71</v>
      </c>
      <c r="EF9" s="34">
        <v>7.8000000000000014E-3</v>
      </c>
      <c r="EG9" s="34">
        <f t="shared" si="58"/>
        <v>9102.5641025641016</v>
      </c>
      <c r="EH9" s="34"/>
      <c r="EI9" s="74">
        <v>2502</v>
      </c>
      <c r="EJ9" s="73">
        <f t="shared" si="59"/>
        <v>23</v>
      </c>
      <c r="EK9" s="73">
        <v>6.6000000000000086E-3</v>
      </c>
      <c r="EL9" s="73">
        <f t="shared" si="60"/>
        <v>3484.8484848484804</v>
      </c>
      <c r="EM9" s="73"/>
    </row>
    <row r="10" spans="1:143" x14ac:dyDescent="0.2">
      <c r="A10">
        <v>1.1891449999999999</v>
      </c>
      <c r="B10" s="29">
        <v>1524</v>
      </c>
      <c r="C10" s="28">
        <f t="shared" si="1"/>
        <v>6</v>
      </c>
      <c r="D10" s="27">
        <v>0.11609999999999999</v>
      </c>
      <c r="E10" s="28">
        <v>1.0899999999999993E-2</v>
      </c>
      <c r="F10" s="28">
        <f t="shared" si="2"/>
        <v>550.45871559633065</v>
      </c>
      <c r="G10" s="28">
        <f t="shared" si="3"/>
        <v>9.1743119266055106E-2</v>
      </c>
      <c r="H10" s="55">
        <v>1652</v>
      </c>
      <c r="I10" s="56">
        <f t="shared" si="4"/>
        <v>52</v>
      </c>
      <c r="J10" s="57">
        <v>0.1173</v>
      </c>
      <c r="K10" s="56">
        <v>1.1700000000000002E-2</v>
      </c>
      <c r="L10" s="79">
        <f t="shared" si="5"/>
        <v>51.988300000000002</v>
      </c>
      <c r="M10" s="56">
        <f t="shared" si="6"/>
        <v>8.6647166666666674E-3</v>
      </c>
      <c r="N10" s="29">
        <v>1666</v>
      </c>
      <c r="O10" s="28">
        <f t="shared" si="7"/>
        <v>25</v>
      </c>
      <c r="P10" s="27">
        <v>0.11890000000000001</v>
      </c>
      <c r="Q10" s="28">
        <v>1.3600000000000001E-2</v>
      </c>
      <c r="R10" s="28">
        <f>O10/Q10</f>
        <v>1838.2352941176468</v>
      </c>
      <c r="S10" s="28">
        <f t="shared" si="9"/>
        <v>0.30637254901960781</v>
      </c>
      <c r="T10" s="55">
        <v>1712</v>
      </c>
      <c r="U10" s="56">
        <f t="shared" si="10"/>
        <v>44</v>
      </c>
      <c r="V10" s="57">
        <v>0.1196</v>
      </c>
      <c r="W10" s="56">
        <v>1.4600000000000002E-2</v>
      </c>
      <c r="X10" s="56">
        <f t="shared" si="11"/>
        <v>3013.6986301369861</v>
      </c>
      <c r="Y10">
        <f t="shared" si="12"/>
        <v>0.50228310502283102</v>
      </c>
      <c r="Z10" s="29">
        <v>1944</v>
      </c>
      <c r="AA10" s="28">
        <f t="shared" si="13"/>
        <v>61</v>
      </c>
      <c r="AB10" s="27">
        <v>0.1216</v>
      </c>
      <c r="AC10" s="28">
        <v>1.2200000000000003E-2</v>
      </c>
      <c r="AD10" s="28">
        <f t="shared" si="14"/>
        <v>4999.9999999999991</v>
      </c>
      <c r="AE10" s="28">
        <f t="shared" si="15"/>
        <v>0.83333333333333315</v>
      </c>
      <c r="AF10" s="55">
        <v>1723</v>
      </c>
      <c r="AG10" s="56">
        <f t="shared" si="16"/>
        <v>5</v>
      </c>
      <c r="AH10" s="57">
        <v>0.12790000000000001</v>
      </c>
      <c r="AI10" s="56">
        <v>1.960000000000002E-2</v>
      </c>
      <c r="AJ10" s="56">
        <f t="shared" si="17"/>
        <v>255.10204081632628</v>
      </c>
      <c r="AK10" s="56">
        <f t="shared" si="18"/>
        <v>4.2517006802721045E-2</v>
      </c>
      <c r="AL10" s="7">
        <v>2099</v>
      </c>
      <c r="AM10" s="7">
        <f t="shared" si="19"/>
        <v>481</v>
      </c>
      <c r="AN10" s="7">
        <v>0.12139999999999999</v>
      </c>
      <c r="AO10" s="7">
        <v>1.6299999999999995E-2</v>
      </c>
      <c r="AP10" s="7">
        <v>-4.1165901711694204</v>
      </c>
      <c r="AQ10" s="32">
        <v>1618</v>
      </c>
      <c r="AR10" s="28"/>
      <c r="AS10" s="27">
        <f t="shared" si="20"/>
        <v>33</v>
      </c>
      <c r="AT10" s="28">
        <v>1.6299999999999995E-2</v>
      </c>
      <c r="AU10" s="28">
        <f t="shared" si="21"/>
        <v>2024.5398773006141</v>
      </c>
      <c r="AV10" s="55">
        <v>2587</v>
      </c>
      <c r="AW10" s="56">
        <f t="shared" si="22"/>
        <v>98</v>
      </c>
      <c r="AX10" s="57">
        <v>0.1154</v>
      </c>
      <c r="AY10" s="56">
        <v>7.5999999999999956E-3</v>
      </c>
      <c r="AZ10" s="55">
        <f t="shared" si="23"/>
        <v>12894.736842105271</v>
      </c>
      <c r="BA10" s="55">
        <f t="shared" si="24"/>
        <v>2.149122807017545</v>
      </c>
      <c r="BB10" s="83">
        <v>1655</v>
      </c>
      <c r="BC10">
        <f t="shared" si="25"/>
        <v>0</v>
      </c>
      <c r="BD10" s="8">
        <v>0.1023</v>
      </c>
      <c r="BE10">
        <f t="shared" si="26"/>
        <v>0</v>
      </c>
      <c r="BF10">
        <f t="shared" si="27"/>
        <v>0</v>
      </c>
      <c r="BG10">
        <f t="shared" si="28"/>
        <v>0</v>
      </c>
      <c r="BH10" s="65">
        <v>1581</v>
      </c>
      <c r="BI10" s="64">
        <f t="shared" si="29"/>
        <v>145</v>
      </c>
      <c r="BJ10" s="66">
        <v>0.11559999999999999</v>
      </c>
      <c r="BK10" s="64">
        <f t="shared" si="30"/>
        <v>1254.3252595155709</v>
      </c>
      <c r="BL10" s="64">
        <f t="shared" si="31"/>
        <v>0.20905420991926182</v>
      </c>
      <c r="BM10" s="29">
        <v>1672</v>
      </c>
      <c r="BN10" s="28">
        <f t="shared" si="32"/>
        <v>67</v>
      </c>
      <c r="BO10" s="27">
        <v>0.11609999999999999</v>
      </c>
      <c r="BP10" s="28">
        <f t="shared" si="33"/>
        <v>577.08871662360036</v>
      </c>
      <c r="BQ10" s="28">
        <f t="shared" si="34"/>
        <v>9.6181452770600057E-2</v>
      </c>
      <c r="BR10" s="35">
        <v>1733</v>
      </c>
      <c r="BS10" s="34">
        <f t="shared" si="35"/>
        <v>47</v>
      </c>
      <c r="BT10" s="33">
        <v>0.1192</v>
      </c>
      <c r="BU10" s="34">
        <f t="shared" si="36"/>
        <v>394.29530201342283</v>
      </c>
      <c r="BV10" s="34"/>
      <c r="BW10" s="29">
        <v>2088</v>
      </c>
      <c r="BX10" s="28">
        <f t="shared" si="37"/>
        <v>96</v>
      </c>
      <c r="BY10" s="27">
        <v>0.1188</v>
      </c>
      <c r="BZ10" s="28">
        <f t="shared" si="38"/>
        <v>808.08080808080808</v>
      </c>
      <c r="CA10" s="28"/>
      <c r="CB10" s="35">
        <v>1933</v>
      </c>
      <c r="CC10" s="34">
        <f t="shared" si="39"/>
        <v>3</v>
      </c>
      <c r="CD10" s="33">
        <v>0.1231</v>
      </c>
      <c r="CE10" s="34">
        <f t="shared" si="40"/>
        <v>24.370430544272949</v>
      </c>
      <c r="CF10" s="34"/>
      <c r="CG10" s="7">
        <v>2275</v>
      </c>
      <c r="CH10" s="7">
        <f t="shared" si="41"/>
        <v>784</v>
      </c>
      <c r="CI10" s="7"/>
      <c r="CJ10" s="7"/>
      <c r="CL10" s="32">
        <v>1491</v>
      </c>
      <c r="CM10" s="27">
        <v>0.12</v>
      </c>
      <c r="CN10" s="28">
        <v>1.4799999999999994E-2</v>
      </c>
      <c r="CO10" s="28">
        <f t="shared" si="42"/>
        <v>8.1081081081081106</v>
      </c>
      <c r="CP10" s="28"/>
      <c r="CQ10" s="55">
        <v>2166</v>
      </c>
      <c r="CR10" s="57">
        <f t="shared" si="43"/>
        <v>113</v>
      </c>
      <c r="CS10">
        <v>1.2299999999999991E-2</v>
      </c>
      <c r="CT10" s="71">
        <f t="shared" si="44"/>
        <v>9186.9918699187056</v>
      </c>
      <c r="CU10" s="35">
        <v>1674</v>
      </c>
      <c r="CV10" s="34">
        <f t="shared" si="45"/>
        <v>47</v>
      </c>
      <c r="CW10" s="33">
        <v>1.4699999999999991E-2</v>
      </c>
      <c r="CX10" s="34">
        <f t="shared" si="46"/>
        <v>3197.2789115646278</v>
      </c>
      <c r="CY10" s="34"/>
      <c r="CZ10" s="29">
        <v>1512</v>
      </c>
      <c r="DA10" s="28">
        <f t="shared" si="47"/>
        <v>12</v>
      </c>
      <c r="DB10" s="27">
        <v>1.4800000000000008E-2</v>
      </c>
      <c r="DC10" s="28">
        <f t="shared" si="48"/>
        <v>810.81081081081038</v>
      </c>
      <c r="DD10" s="28"/>
      <c r="DE10" s="55">
        <v>1484</v>
      </c>
      <c r="DF10" s="56">
        <f t="shared" si="49"/>
        <v>51</v>
      </c>
      <c r="DG10" s="56">
        <v>1.390000000000001E-2</v>
      </c>
      <c r="DH10" s="56">
        <f t="shared" si="50"/>
        <v>3669.0647482014365</v>
      </c>
      <c r="DI10" s="56"/>
      <c r="DJ10" s="35">
        <v>1645</v>
      </c>
      <c r="DK10" s="34">
        <f t="shared" si="0"/>
        <v>5</v>
      </c>
      <c r="DL10" s="34">
        <v>1.440000000000001E-2</v>
      </c>
      <c r="DM10" s="34">
        <f t="shared" si="51"/>
        <v>347.222222222222</v>
      </c>
      <c r="DN10" s="34"/>
      <c r="DO10" s="84">
        <v>2005</v>
      </c>
      <c r="DP10" s="64">
        <f t="shared" si="52"/>
        <v>0</v>
      </c>
      <c r="DQ10" s="64">
        <v>1.4799999999999994E-2</v>
      </c>
      <c r="DR10" s="64">
        <f t="shared" si="53"/>
        <v>0</v>
      </c>
      <c r="DS10" s="64"/>
      <c r="DT10" s="55">
        <v>1864</v>
      </c>
      <c r="DU10" s="56">
        <f t="shared" si="54"/>
        <v>9</v>
      </c>
      <c r="DV10" s="56">
        <v>1.4599999999999988E-2</v>
      </c>
      <c r="DW10" s="56">
        <f t="shared" si="55"/>
        <v>616.43835616438412</v>
      </c>
      <c r="DX10" s="56"/>
      <c r="DY10" s="1">
        <v>2041</v>
      </c>
      <c r="DZ10">
        <f t="shared" si="56"/>
        <v>579</v>
      </c>
      <c r="ED10" s="37">
        <v>1462</v>
      </c>
      <c r="EE10" s="34">
        <f t="shared" si="57"/>
        <v>21</v>
      </c>
      <c r="EF10" s="34">
        <v>1.6799999999999995E-2</v>
      </c>
      <c r="EG10" s="34">
        <f t="shared" si="58"/>
        <v>1250.0000000000002</v>
      </c>
      <c r="EH10" s="34"/>
      <c r="EI10" s="74">
        <v>2651</v>
      </c>
      <c r="EJ10" s="73">
        <f t="shared" si="59"/>
        <v>172</v>
      </c>
      <c r="EK10" s="73">
        <v>1.4200000000000004E-2</v>
      </c>
      <c r="EL10" s="73">
        <f t="shared" si="60"/>
        <v>12112.676056338025</v>
      </c>
      <c r="EM10" s="73"/>
    </row>
    <row r="11" spans="1:143" x14ac:dyDescent="0.2">
      <c r="A11">
        <v>1.4269777777777777</v>
      </c>
      <c r="B11" s="29">
        <v>1486</v>
      </c>
      <c r="C11" s="28">
        <f t="shared" si="1"/>
        <v>-32</v>
      </c>
      <c r="D11" s="27">
        <v>0.1187</v>
      </c>
      <c r="E11" s="28">
        <v>1.3499999999999998E-2</v>
      </c>
      <c r="F11" s="28">
        <f t="shared" si="2"/>
        <v>-2370.3703703703709</v>
      </c>
      <c r="G11" s="28">
        <f t="shared" si="3"/>
        <v>-0.39506172839506182</v>
      </c>
      <c r="H11" s="55">
        <v>1612</v>
      </c>
      <c r="I11" s="56">
        <f t="shared" si="4"/>
        <v>12</v>
      </c>
      <c r="J11" s="57">
        <v>0.1187</v>
      </c>
      <c r="K11" s="56">
        <v>1.3100000000000001E-2</v>
      </c>
      <c r="L11" s="56">
        <f t="shared" si="5"/>
        <v>11.9869</v>
      </c>
      <c r="M11" s="56">
        <f t="shared" si="6"/>
        <v>1.9978166666666667E-3</v>
      </c>
      <c r="N11" s="78">
        <v>1641</v>
      </c>
      <c r="O11" s="28">
        <f t="shared" si="7"/>
        <v>0</v>
      </c>
      <c r="P11" s="27">
        <v>0.1205</v>
      </c>
      <c r="Q11" s="28">
        <v>1.5199999999999991E-2</v>
      </c>
      <c r="R11" s="28">
        <f t="shared" si="8"/>
        <v>0</v>
      </c>
      <c r="S11" s="28">
        <f t="shared" si="9"/>
        <v>0</v>
      </c>
      <c r="T11" s="79">
        <v>1668</v>
      </c>
      <c r="U11" s="56">
        <f t="shared" si="10"/>
        <v>0</v>
      </c>
      <c r="V11" s="57">
        <v>0.1225</v>
      </c>
      <c r="W11" s="56">
        <v>1.7500000000000002E-2</v>
      </c>
      <c r="X11" s="56">
        <f t="shared" si="11"/>
        <v>0</v>
      </c>
      <c r="Y11">
        <f t="shared" si="12"/>
        <v>0</v>
      </c>
      <c r="Z11" s="29">
        <v>1886</v>
      </c>
      <c r="AA11" s="28">
        <f t="shared" si="13"/>
        <v>3</v>
      </c>
      <c r="AB11" s="27">
        <v>0.1237</v>
      </c>
      <c r="AC11" s="28">
        <v>1.4300000000000007E-2</v>
      </c>
      <c r="AD11" s="28">
        <f t="shared" si="14"/>
        <v>209.79020979020967</v>
      </c>
      <c r="AE11" s="28">
        <f t="shared" si="15"/>
        <v>3.4965034965034947E-2</v>
      </c>
      <c r="AF11" s="55">
        <v>1671</v>
      </c>
      <c r="AG11" s="56">
        <f t="shared" si="16"/>
        <v>-47</v>
      </c>
      <c r="AH11" s="57">
        <v>0.13339999999999999</v>
      </c>
      <c r="AI11" s="56">
        <v>2.5099999999999997E-2</v>
      </c>
      <c r="AJ11" s="56">
        <f t="shared" si="17"/>
        <v>-1872.5099601593627</v>
      </c>
      <c r="AK11" s="56">
        <f t="shared" si="18"/>
        <v>-0.31208499335989376</v>
      </c>
      <c r="AL11" s="7">
        <v>2070</v>
      </c>
      <c r="AM11" s="7">
        <f t="shared" si="19"/>
        <v>485</v>
      </c>
      <c r="AN11" s="7">
        <v>0.12989999999999999</v>
      </c>
      <c r="AO11" s="7">
        <v>2.4799999999999989E-2</v>
      </c>
      <c r="AP11" s="7">
        <v>-3.6969116258112011</v>
      </c>
      <c r="AQ11" s="78">
        <v>1585</v>
      </c>
      <c r="AR11" s="28"/>
      <c r="AS11" s="27">
        <f t="shared" si="20"/>
        <v>0</v>
      </c>
      <c r="AT11" s="28">
        <v>2.4799999999999989E-2</v>
      </c>
      <c r="AU11" s="28">
        <f t="shared" si="21"/>
        <v>0</v>
      </c>
      <c r="AV11" s="55">
        <v>2560</v>
      </c>
      <c r="AW11" s="56">
        <f t="shared" si="22"/>
        <v>71</v>
      </c>
      <c r="AX11" s="57">
        <v>0.1212</v>
      </c>
      <c r="AY11" s="56">
        <v>1.3399999999999995E-2</v>
      </c>
      <c r="AZ11" s="55">
        <f t="shared" si="23"/>
        <v>5298.5074626865689</v>
      </c>
      <c r="BA11" s="55">
        <f t="shared" si="24"/>
        <v>0.88308457711442812</v>
      </c>
      <c r="BB11" s="82">
        <v>1633</v>
      </c>
      <c r="BC11">
        <f t="shared" si="25"/>
        <v>-22</v>
      </c>
      <c r="BD11" s="8">
        <v>0.1031</v>
      </c>
      <c r="BE11">
        <f t="shared" si="26"/>
        <v>-213.3850630455868</v>
      </c>
      <c r="BF11">
        <f t="shared" si="27"/>
        <v>-3.5564177174264466E-2</v>
      </c>
      <c r="BG11">
        <f t="shared" si="28"/>
        <v>-3.5564177174264466E-2</v>
      </c>
      <c r="BH11" s="84">
        <v>1529</v>
      </c>
      <c r="BI11" s="64">
        <f t="shared" si="29"/>
        <v>174</v>
      </c>
      <c r="BJ11" s="66">
        <v>0.1198</v>
      </c>
      <c r="BK11" s="64">
        <f t="shared" si="30"/>
        <v>1452.4207011686144</v>
      </c>
      <c r="BL11" s="64">
        <f t="shared" si="31"/>
        <v>0.24207011686143573</v>
      </c>
      <c r="BM11" s="29">
        <v>1634</v>
      </c>
      <c r="BN11" s="28">
        <f t="shared" si="32"/>
        <v>29</v>
      </c>
      <c r="BO11" s="27">
        <v>0.1202</v>
      </c>
      <c r="BP11" s="28">
        <f t="shared" si="33"/>
        <v>241.26455906821963</v>
      </c>
      <c r="BQ11" s="28">
        <f t="shared" si="34"/>
        <v>4.0210759844703271E-2</v>
      </c>
      <c r="BR11" s="80">
        <v>1686</v>
      </c>
      <c r="BS11" s="34">
        <f t="shared" si="35"/>
        <v>0</v>
      </c>
      <c r="BT11" s="33">
        <v>0.1239</v>
      </c>
      <c r="BU11" s="34">
        <f t="shared" si="36"/>
        <v>0</v>
      </c>
      <c r="BV11" s="34"/>
      <c r="BW11" s="29">
        <v>2011</v>
      </c>
      <c r="BX11" s="28">
        <f t="shared" si="37"/>
        <v>19</v>
      </c>
      <c r="BY11" s="27">
        <v>0.1235</v>
      </c>
      <c r="BZ11" s="28">
        <f t="shared" si="38"/>
        <v>153.84615384615384</v>
      </c>
      <c r="CA11" s="28"/>
      <c r="CB11" s="80">
        <v>1930</v>
      </c>
      <c r="CC11" s="34">
        <f t="shared" si="39"/>
        <v>0</v>
      </c>
      <c r="CD11" s="33">
        <v>0.13</v>
      </c>
      <c r="CE11" s="34">
        <f t="shared" si="40"/>
        <v>0</v>
      </c>
      <c r="CF11" s="34"/>
      <c r="CG11" s="7">
        <v>2302</v>
      </c>
      <c r="CH11" s="7">
        <f t="shared" si="41"/>
        <v>812</v>
      </c>
      <c r="CI11" s="7"/>
      <c r="CJ11" s="7"/>
      <c r="CL11" s="32">
        <v>1490</v>
      </c>
      <c r="CM11" s="27">
        <v>0.127</v>
      </c>
      <c r="CN11" s="28">
        <v>2.18E-2</v>
      </c>
      <c r="CO11" s="28">
        <f t="shared" si="42"/>
        <v>5.8256880733944953</v>
      </c>
      <c r="CP11" s="28"/>
      <c r="CQ11" s="55">
        <v>2182</v>
      </c>
      <c r="CR11" s="57">
        <f t="shared" si="43"/>
        <v>129</v>
      </c>
      <c r="CS11">
        <v>1.9699999999999995E-2</v>
      </c>
      <c r="CT11" s="71">
        <f t="shared" si="44"/>
        <v>6548.2233502538083</v>
      </c>
      <c r="CU11" s="80">
        <v>1627</v>
      </c>
      <c r="CV11" s="34">
        <f t="shared" si="45"/>
        <v>0</v>
      </c>
      <c r="CW11" s="33">
        <v>2.1399999999999988E-2</v>
      </c>
      <c r="CX11" s="34">
        <f t="shared" si="46"/>
        <v>0</v>
      </c>
      <c r="CY11" s="34"/>
      <c r="CZ11" s="78">
        <v>1500</v>
      </c>
      <c r="DA11" s="28">
        <f t="shared" si="47"/>
        <v>0</v>
      </c>
      <c r="DB11" s="27">
        <v>1.9799999999999998E-2</v>
      </c>
      <c r="DC11" s="28">
        <f t="shared" si="48"/>
        <v>0</v>
      </c>
      <c r="DD11" s="28"/>
      <c r="DE11" s="79">
        <v>1433</v>
      </c>
      <c r="DF11" s="56">
        <f t="shared" si="49"/>
        <v>0</v>
      </c>
      <c r="DG11" s="56">
        <v>1.9900000000000001E-2</v>
      </c>
      <c r="DH11" s="56">
        <f t="shared" si="50"/>
        <v>0</v>
      </c>
      <c r="DI11" s="56"/>
      <c r="DJ11" s="80">
        <v>1640</v>
      </c>
      <c r="DK11" s="34">
        <f t="shared" si="0"/>
        <v>0</v>
      </c>
      <c r="DL11" s="34">
        <v>2.0600000000000007E-2</v>
      </c>
      <c r="DM11" s="34">
        <f t="shared" si="51"/>
        <v>0</v>
      </c>
      <c r="DN11" s="34"/>
      <c r="DO11" s="65">
        <v>2018</v>
      </c>
      <c r="DP11" s="64">
        <f t="shared" si="52"/>
        <v>13</v>
      </c>
      <c r="DQ11" s="64">
        <v>2.0099999999999993E-2</v>
      </c>
      <c r="DR11" s="64">
        <f t="shared" si="53"/>
        <v>646.76616915422903</v>
      </c>
      <c r="DS11" s="64"/>
      <c r="DT11" s="79">
        <v>1855</v>
      </c>
      <c r="DU11" s="56">
        <f t="shared" si="54"/>
        <v>0</v>
      </c>
      <c r="DV11" s="56">
        <v>2.0399999999999988E-2</v>
      </c>
      <c r="DW11" s="56">
        <f t="shared" si="55"/>
        <v>0</v>
      </c>
      <c r="DX11" s="56"/>
      <c r="DY11" s="1">
        <v>2100</v>
      </c>
      <c r="DZ11">
        <f t="shared" si="56"/>
        <v>659</v>
      </c>
      <c r="ED11" s="80">
        <v>1441</v>
      </c>
      <c r="EE11" s="34">
        <f t="shared" si="57"/>
        <v>0</v>
      </c>
      <c r="EF11" s="34">
        <v>2.6099999999999984E-2</v>
      </c>
      <c r="EG11" s="34">
        <f t="shared" si="58"/>
        <v>0</v>
      </c>
      <c r="EH11" s="34"/>
      <c r="EI11" s="74">
        <v>2642</v>
      </c>
      <c r="EJ11" s="73">
        <f t="shared" si="59"/>
        <v>163</v>
      </c>
      <c r="EK11" s="73">
        <v>2.2200000000000011E-2</v>
      </c>
      <c r="EL11" s="73">
        <f t="shared" si="60"/>
        <v>7342.3423423423383</v>
      </c>
      <c r="EM11" s="73"/>
    </row>
    <row r="12" spans="1:143" x14ac:dyDescent="0.2">
      <c r="A12">
        <v>1.6648077777777779</v>
      </c>
      <c r="B12" s="29">
        <v>1525</v>
      </c>
      <c r="C12" s="28">
        <f t="shared" si="1"/>
        <v>7</v>
      </c>
      <c r="D12" s="27">
        <v>0.12570000000000001</v>
      </c>
      <c r="E12" s="28">
        <v>2.0500000000000004E-2</v>
      </c>
      <c r="F12" s="28">
        <f t="shared" si="2"/>
        <v>341.46341463414626</v>
      </c>
      <c r="G12" s="28">
        <f t="shared" si="3"/>
        <v>5.691056910569104E-2</v>
      </c>
      <c r="H12" s="55">
        <v>1635</v>
      </c>
      <c r="I12" s="56">
        <f t="shared" si="4"/>
        <v>35</v>
      </c>
      <c r="J12" s="57">
        <v>0.1205</v>
      </c>
      <c r="K12" s="56">
        <v>1.4899999999999997E-2</v>
      </c>
      <c r="L12" s="56">
        <f t="shared" si="5"/>
        <v>34.985100000000003</v>
      </c>
      <c r="M12" s="56">
        <f t="shared" si="6"/>
        <v>5.8308500000000003E-3</v>
      </c>
      <c r="N12" s="29">
        <v>1669</v>
      </c>
      <c r="O12" s="28">
        <f t="shared" si="7"/>
        <v>28</v>
      </c>
      <c r="P12" s="27">
        <v>0.1232</v>
      </c>
      <c r="Q12" s="28">
        <v>1.7899999999999999E-2</v>
      </c>
      <c r="R12" s="28">
        <f>O12/Q12</f>
        <v>1564.2458100558661</v>
      </c>
      <c r="S12" s="28">
        <f t="shared" si="9"/>
        <v>0.26070763500931099</v>
      </c>
      <c r="T12" s="55">
        <v>1667</v>
      </c>
      <c r="U12" s="56">
        <f t="shared" si="10"/>
        <v>-1</v>
      </c>
      <c r="V12" s="57">
        <v>0.1246</v>
      </c>
      <c r="W12" s="56">
        <v>1.9600000000000006E-2</v>
      </c>
      <c r="X12" s="56">
        <f t="shared" si="11"/>
        <v>-51.020408163265287</v>
      </c>
      <c r="Y12">
        <f t="shared" si="12"/>
        <v>-8.503401360544215E-3</v>
      </c>
      <c r="Z12" s="29">
        <v>1967</v>
      </c>
      <c r="AA12" s="28">
        <f t="shared" si="13"/>
        <v>84</v>
      </c>
      <c r="AB12" s="27">
        <v>0.1263</v>
      </c>
      <c r="AC12" s="28">
        <v>1.6899999999999998E-2</v>
      </c>
      <c r="AD12" s="28">
        <f t="shared" si="14"/>
        <v>4970.4142011834329</v>
      </c>
      <c r="AE12" s="28">
        <f t="shared" si="15"/>
        <v>0.82840236686390545</v>
      </c>
      <c r="AF12" s="55">
        <v>1718</v>
      </c>
      <c r="AG12" s="56">
        <f t="shared" si="16"/>
        <v>0</v>
      </c>
      <c r="AH12" s="57">
        <v>0.13719999999999999</v>
      </c>
      <c r="AI12" s="56">
        <v>2.8899999999999995E-2</v>
      </c>
      <c r="AJ12" s="56">
        <f t="shared" si="17"/>
        <v>0</v>
      </c>
      <c r="AK12" s="56">
        <f t="shared" si="18"/>
        <v>0</v>
      </c>
      <c r="AL12" s="7">
        <v>2151</v>
      </c>
      <c r="AM12" s="7">
        <f t="shared" si="19"/>
        <v>541</v>
      </c>
      <c r="AN12" s="7">
        <v>0.13400000000000001</v>
      </c>
      <c r="AO12" s="7">
        <v>2.8900000000000009E-2</v>
      </c>
      <c r="AP12" s="7">
        <v>-3.5439136838637504</v>
      </c>
      <c r="AQ12" s="32">
        <v>1610</v>
      </c>
      <c r="AR12" s="28"/>
      <c r="AS12" s="27">
        <f t="shared" si="20"/>
        <v>25</v>
      </c>
      <c r="AT12" s="28">
        <v>2.8900000000000009E-2</v>
      </c>
      <c r="AU12" s="28">
        <f t="shared" si="21"/>
        <v>865.05190311418653</v>
      </c>
      <c r="AV12" s="55">
        <v>2771</v>
      </c>
      <c r="AW12" s="56">
        <f t="shared" si="22"/>
        <v>282</v>
      </c>
      <c r="AX12" s="57">
        <v>0.1237</v>
      </c>
      <c r="AY12" s="56">
        <v>1.5899999999999997E-2</v>
      </c>
      <c r="AZ12" s="55">
        <f t="shared" si="23"/>
        <v>17735.849056603776</v>
      </c>
      <c r="BA12" s="55">
        <f t="shared" si="24"/>
        <v>2.9559748427672958</v>
      </c>
      <c r="BB12" s="82">
        <v>1617</v>
      </c>
      <c r="BC12">
        <f t="shared" si="25"/>
        <v>-38</v>
      </c>
      <c r="BD12" s="8">
        <v>0.1036</v>
      </c>
      <c r="BE12">
        <f t="shared" si="26"/>
        <v>-366.79536679536682</v>
      </c>
      <c r="BF12">
        <f t="shared" si="27"/>
        <v>-6.1132561132561138E-2</v>
      </c>
      <c r="BG12">
        <f t="shared" si="28"/>
        <v>-6.1132561132561138E-2</v>
      </c>
      <c r="BH12" s="65">
        <v>1537</v>
      </c>
      <c r="BI12" s="64">
        <f t="shared" si="29"/>
        <v>168</v>
      </c>
      <c r="BJ12" s="66">
        <v>0.1229</v>
      </c>
      <c r="BK12" s="64">
        <f t="shared" si="30"/>
        <v>1366.9650122050448</v>
      </c>
      <c r="BL12" s="64">
        <f t="shared" si="31"/>
        <v>0.22782750203417412</v>
      </c>
      <c r="BM12" s="78">
        <v>1605</v>
      </c>
      <c r="BN12" s="28">
        <f t="shared" si="32"/>
        <v>0</v>
      </c>
      <c r="BO12" s="27">
        <v>0.12379999999999999</v>
      </c>
      <c r="BP12" s="28">
        <f t="shared" si="33"/>
        <v>0</v>
      </c>
      <c r="BQ12" s="28">
        <f t="shared" si="34"/>
        <v>0</v>
      </c>
      <c r="BR12" s="35">
        <v>1698</v>
      </c>
      <c r="BS12" s="34">
        <f t="shared" si="35"/>
        <v>12</v>
      </c>
      <c r="BT12" s="33">
        <v>0.1285</v>
      </c>
      <c r="BU12" s="34">
        <f t="shared" si="36"/>
        <v>93.385214007782096</v>
      </c>
      <c r="BV12" s="34"/>
      <c r="BW12" s="29">
        <v>2093</v>
      </c>
      <c r="BX12" s="28">
        <f t="shared" si="37"/>
        <v>101</v>
      </c>
      <c r="BY12" s="27">
        <v>0.1268</v>
      </c>
      <c r="BZ12" s="28">
        <f t="shared" si="38"/>
        <v>796.52996845425866</v>
      </c>
      <c r="CA12" s="28"/>
      <c r="CB12" s="35">
        <v>1960</v>
      </c>
      <c r="CC12" s="34">
        <f t="shared" si="39"/>
        <v>30</v>
      </c>
      <c r="CD12" s="33">
        <v>0.13420000000000001</v>
      </c>
      <c r="CE12" s="34">
        <f t="shared" si="40"/>
        <v>223.54694485842023</v>
      </c>
      <c r="CF12" s="34"/>
      <c r="CG12" s="7">
        <v>2429</v>
      </c>
      <c r="CH12" s="7">
        <f t="shared" si="41"/>
        <v>985</v>
      </c>
      <c r="CI12" s="7"/>
      <c r="CJ12" s="7"/>
      <c r="CL12" s="78">
        <v>1444</v>
      </c>
      <c r="CM12" s="27">
        <v>0.13320000000000001</v>
      </c>
      <c r="CN12" s="28">
        <v>2.8000000000000011E-2</v>
      </c>
      <c r="CO12" s="28">
        <f t="shared" si="42"/>
        <v>4.7571428571428553</v>
      </c>
      <c r="CP12" s="28"/>
      <c r="CQ12" s="55">
        <v>2409</v>
      </c>
      <c r="CR12" s="57">
        <f t="shared" si="43"/>
        <v>356</v>
      </c>
      <c r="CS12">
        <v>2.5700000000000001E-2</v>
      </c>
      <c r="CT12" s="71">
        <f t="shared" si="44"/>
        <v>13852.140077821012</v>
      </c>
      <c r="CU12" s="35">
        <v>1699</v>
      </c>
      <c r="CV12" s="34">
        <f t="shared" si="45"/>
        <v>72</v>
      </c>
      <c r="CW12" s="33">
        <v>2.7699999999999989E-2</v>
      </c>
      <c r="CX12" s="34">
        <f t="shared" si="46"/>
        <v>2599.2779783393512</v>
      </c>
      <c r="CY12" s="34"/>
      <c r="CZ12" s="29">
        <v>1511</v>
      </c>
      <c r="DA12" s="28">
        <f t="shared" si="47"/>
        <v>11</v>
      </c>
      <c r="DB12" s="27">
        <v>2.4099999999999996E-2</v>
      </c>
      <c r="DC12" s="28">
        <f t="shared" si="48"/>
        <v>456.43153526970963</v>
      </c>
      <c r="DD12" s="28"/>
      <c r="DE12" s="55">
        <v>1473</v>
      </c>
      <c r="DF12" s="56">
        <f t="shared" si="49"/>
        <v>40</v>
      </c>
      <c r="DG12" s="56">
        <v>2.6300000000000018E-2</v>
      </c>
      <c r="DH12" s="56">
        <f t="shared" si="50"/>
        <v>1520.9125475285161</v>
      </c>
      <c r="DI12" s="56"/>
      <c r="DJ12" s="35">
        <v>1643</v>
      </c>
      <c r="DK12" s="34">
        <f t="shared" si="0"/>
        <v>3</v>
      </c>
      <c r="DL12" s="34">
        <v>2.5600000000000012E-2</v>
      </c>
      <c r="DM12" s="34">
        <f t="shared" si="51"/>
        <v>117.18749999999994</v>
      </c>
      <c r="DN12" s="34"/>
      <c r="DO12" s="65">
        <v>2072</v>
      </c>
      <c r="DP12" s="64">
        <f t="shared" si="52"/>
        <v>67</v>
      </c>
      <c r="DQ12" s="64">
        <v>2.5199999999999986E-2</v>
      </c>
      <c r="DR12" s="64">
        <f t="shared" si="53"/>
        <v>2658.7301587301604</v>
      </c>
      <c r="DS12" s="64"/>
      <c r="DT12" s="55">
        <v>1972</v>
      </c>
      <c r="DU12" s="56">
        <f t="shared" si="54"/>
        <v>117</v>
      </c>
      <c r="DV12" s="56">
        <v>2.7300000000000005E-2</v>
      </c>
      <c r="DW12" s="56">
        <f t="shared" si="55"/>
        <v>4285.7142857142853</v>
      </c>
      <c r="DX12" s="56"/>
      <c r="DY12" s="1">
        <v>2215</v>
      </c>
      <c r="DZ12">
        <f t="shared" si="56"/>
        <v>774</v>
      </c>
      <c r="ED12" s="37">
        <v>1441</v>
      </c>
      <c r="EE12" s="34">
        <f t="shared" si="57"/>
        <v>0</v>
      </c>
      <c r="EF12" s="34">
        <v>3.6399999999999988E-2</v>
      </c>
      <c r="EG12" s="34">
        <f t="shared" si="58"/>
        <v>0</v>
      </c>
      <c r="EH12" s="34"/>
      <c r="EI12" s="74">
        <v>2920</v>
      </c>
      <c r="EJ12" s="73">
        <f t="shared" si="59"/>
        <v>441</v>
      </c>
      <c r="EK12" s="73">
        <v>2.9100000000000001E-2</v>
      </c>
      <c r="EL12" s="73">
        <f t="shared" si="60"/>
        <v>15154.639175257731</v>
      </c>
      <c r="EM12" s="73"/>
    </row>
    <row r="13" spans="1:143" x14ac:dyDescent="0.2">
      <c r="A13" s="11">
        <v>1.9025777777777777</v>
      </c>
      <c r="B13" s="29">
        <v>1528</v>
      </c>
      <c r="C13" s="28">
        <f t="shared" si="1"/>
        <v>10</v>
      </c>
      <c r="D13" s="31">
        <v>0.1328</v>
      </c>
      <c r="E13" s="31">
        <v>2.76E-2</v>
      </c>
      <c r="F13" s="28">
        <f t="shared" si="2"/>
        <v>362.31884057971013</v>
      </c>
      <c r="G13" s="28">
        <f t="shared" si="3"/>
        <v>6.0386473429951688E-2</v>
      </c>
      <c r="H13" s="55">
        <v>1633</v>
      </c>
      <c r="I13" s="56">
        <f t="shared" si="4"/>
        <v>33</v>
      </c>
      <c r="J13" s="58">
        <v>0.1298</v>
      </c>
      <c r="K13" s="58">
        <v>2.4199999999999999E-2</v>
      </c>
      <c r="L13" s="56">
        <f t="shared" si="5"/>
        <v>32.9758</v>
      </c>
      <c r="M13" s="56">
        <f t="shared" si="6"/>
        <v>5.4959666666666669E-3</v>
      </c>
      <c r="N13" s="29">
        <v>1664</v>
      </c>
      <c r="O13" s="28">
        <f t="shared" si="7"/>
        <v>23</v>
      </c>
      <c r="P13" s="31">
        <v>0.1321</v>
      </c>
      <c r="Q13" s="31">
        <v>2.679999999999999E-2</v>
      </c>
      <c r="R13" s="28">
        <f t="shared" si="8"/>
        <v>858.20895522388093</v>
      </c>
      <c r="S13" s="28">
        <f t="shared" si="9"/>
        <v>0.14303482587064681</v>
      </c>
      <c r="T13" s="55">
        <v>1703</v>
      </c>
      <c r="U13" s="56">
        <f t="shared" si="10"/>
        <v>35</v>
      </c>
      <c r="V13" s="57">
        <v>0.13669999999999999</v>
      </c>
      <c r="W13" s="56">
        <v>3.1699999999999992E-2</v>
      </c>
      <c r="X13" s="56">
        <f t="shared" si="11"/>
        <v>1104.1009463722401</v>
      </c>
      <c r="Y13">
        <f t="shared" si="12"/>
        <v>0.18401682439537334</v>
      </c>
      <c r="Z13" s="29">
        <v>2026</v>
      </c>
      <c r="AA13" s="28">
        <f t="shared" si="13"/>
        <v>143</v>
      </c>
      <c r="AB13" s="27">
        <v>0.13689999999999999</v>
      </c>
      <c r="AC13" s="28">
        <v>2.7499999999999997E-2</v>
      </c>
      <c r="AD13" s="28">
        <f t="shared" si="14"/>
        <v>5200.0000000000009</v>
      </c>
      <c r="AE13" s="28">
        <f t="shared" si="15"/>
        <v>0.86666666666666681</v>
      </c>
      <c r="AF13" s="55">
        <v>1752</v>
      </c>
      <c r="AG13" s="56">
        <f t="shared" si="16"/>
        <v>34</v>
      </c>
      <c r="AH13" s="57">
        <v>0.15240000000000001</v>
      </c>
      <c r="AI13" s="56">
        <v>4.4100000000000014E-2</v>
      </c>
      <c r="AJ13" s="56">
        <f t="shared" si="17"/>
        <v>770.97505668934218</v>
      </c>
      <c r="AK13" s="56">
        <f t="shared" si="18"/>
        <v>0.12849584278155704</v>
      </c>
      <c r="AL13" s="7">
        <v>2213</v>
      </c>
      <c r="AM13" s="7">
        <f t="shared" si="19"/>
        <v>609</v>
      </c>
      <c r="AN13" s="7">
        <v>0.1517</v>
      </c>
      <c r="AO13" s="7">
        <v>4.6600000000000003E-2</v>
      </c>
      <c r="AP13" s="7">
        <v>-3.0661547378505367</v>
      </c>
      <c r="AQ13" s="32">
        <v>1604</v>
      </c>
      <c r="AR13" s="28"/>
      <c r="AS13" s="27">
        <f t="shared" si="20"/>
        <v>19</v>
      </c>
      <c r="AT13" s="28">
        <v>4.6600000000000003E-2</v>
      </c>
      <c r="AU13" s="28">
        <f t="shared" si="21"/>
        <v>407.725321888412</v>
      </c>
      <c r="AV13" s="55">
        <v>2817</v>
      </c>
      <c r="AW13" s="56">
        <f t="shared" si="22"/>
        <v>328</v>
      </c>
      <c r="AX13" s="57">
        <v>0.1406</v>
      </c>
      <c r="AY13" s="56">
        <v>3.2799999999999996E-2</v>
      </c>
      <c r="AZ13" s="55">
        <f t="shared" si="23"/>
        <v>10000.000000000002</v>
      </c>
      <c r="BA13" s="55">
        <f t="shared" si="24"/>
        <v>1.666666666666667</v>
      </c>
      <c r="BB13" s="82">
        <v>1578</v>
      </c>
      <c r="BC13">
        <f t="shared" si="25"/>
        <v>-77</v>
      </c>
      <c r="BD13" s="11">
        <v>0.1048</v>
      </c>
      <c r="BE13">
        <f t="shared" si="26"/>
        <v>-734.73282442748086</v>
      </c>
      <c r="BF13">
        <f t="shared" si="27"/>
        <v>-0.12245547073791348</v>
      </c>
      <c r="BG13">
        <f t="shared" si="28"/>
        <v>-0.12245547073791348</v>
      </c>
      <c r="BH13" s="65">
        <v>1544</v>
      </c>
      <c r="BI13" s="64">
        <f t="shared" si="29"/>
        <v>134</v>
      </c>
      <c r="BJ13" s="67">
        <v>0.13220000000000001</v>
      </c>
      <c r="BK13" s="64">
        <f t="shared" si="30"/>
        <v>1013.6157337367624</v>
      </c>
      <c r="BL13" s="64">
        <f t="shared" si="31"/>
        <v>0.16893595562279373</v>
      </c>
      <c r="BM13" s="29">
        <v>1628</v>
      </c>
      <c r="BN13" s="28">
        <f t="shared" si="32"/>
        <v>23</v>
      </c>
      <c r="BO13" s="31">
        <v>0.1343</v>
      </c>
      <c r="BP13" s="28">
        <f t="shared" si="33"/>
        <v>171.25837676842889</v>
      </c>
      <c r="BQ13" s="28">
        <f t="shared" si="34"/>
        <v>2.8543062794738148E-2</v>
      </c>
      <c r="BR13" s="35">
        <v>1752</v>
      </c>
      <c r="BS13" s="34">
        <f t="shared" si="35"/>
        <v>66</v>
      </c>
      <c r="BT13" s="33">
        <v>0.1404</v>
      </c>
      <c r="BU13" s="34">
        <f t="shared" si="36"/>
        <v>470.08547008547009</v>
      </c>
      <c r="BV13" s="34"/>
      <c r="BW13" s="29">
        <v>2178</v>
      </c>
      <c r="BX13" s="28">
        <f t="shared" si="37"/>
        <v>186</v>
      </c>
      <c r="BY13" s="27">
        <v>0.1404</v>
      </c>
      <c r="BZ13" s="28">
        <f t="shared" si="38"/>
        <v>1324.7863247863247</v>
      </c>
      <c r="CA13" s="28"/>
      <c r="CB13" s="35">
        <v>2023</v>
      </c>
      <c r="CC13" s="34">
        <f t="shared" si="39"/>
        <v>93</v>
      </c>
      <c r="CD13" s="33">
        <v>0.15140000000000001</v>
      </c>
      <c r="CE13" s="34">
        <f t="shared" si="40"/>
        <v>614.26684280052837</v>
      </c>
      <c r="CF13" s="34"/>
      <c r="CG13" s="7">
        <v>2588</v>
      </c>
      <c r="CH13" s="7">
        <f t="shared" si="41"/>
        <v>1126</v>
      </c>
      <c r="CI13" s="7"/>
      <c r="CJ13" s="7"/>
      <c r="CL13" s="32">
        <v>1462</v>
      </c>
      <c r="CM13" s="27">
        <v>0.15409999999999999</v>
      </c>
      <c r="CN13" s="28">
        <v>4.8899999999999985E-2</v>
      </c>
      <c r="CO13" s="28">
        <f t="shared" si="42"/>
        <v>3.1513292433537838</v>
      </c>
      <c r="CP13" s="28"/>
      <c r="CQ13" s="55">
        <v>2521</v>
      </c>
      <c r="CR13" s="57">
        <f t="shared" si="43"/>
        <v>468</v>
      </c>
      <c r="CS13">
        <v>4.5300000000000007E-2</v>
      </c>
      <c r="CT13" s="71">
        <f t="shared" si="44"/>
        <v>10331.125827814569</v>
      </c>
      <c r="CU13" s="35">
        <v>1668</v>
      </c>
      <c r="CV13" s="34">
        <f t="shared" si="45"/>
        <v>41</v>
      </c>
      <c r="CW13" s="36">
        <v>4.4499999999999998E-2</v>
      </c>
      <c r="CX13" s="34">
        <f t="shared" si="46"/>
        <v>921.34831460674161</v>
      </c>
      <c r="CY13" s="34"/>
      <c r="CZ13" s="29">
        <v>1507</v>
      </c>
      <c r="DA13" s="28">
        <f t="shared" si="47"/>
        <v>7</v>
      </c>
      <c r="DB13" s="31">
        <v>3.7199999999999997E-2</v>
      </c>
      <c r="DC13" s="28">
        <f t="shared" si="48"/>
        <v>188.1720430107527</v>
      </c>
      <c r="DD13" s="28"/>
      <c r="DE13" s="55">
        <v>1512</v>
      </c>
      <c r="DF13" s="56">
        <f t="shared" si="49"/>
        <v>79</v>
      </c>
      <c r="DG13" s="56">
        <v>3.9400000000000018E-2</v>
      </c>
      <c r="DH13" s="56">
        <f t="shared" si="50"/>
        <v>2005.0761421319787</v>
      </c>
      <c r="DI13" s="56"/>
      <c r="DJ13" s="35">
        <v>1655</v>
      </c>
      <c r="DK13" s="34">
        <f t="shared" si="0"/>
        <v>15</v>
      </c>
      <c r="DL13" s="34">
        <v>4.0300000000000002E-2</v>
      </c>
      <c r="DM13" s="34">
        <f t="shared" si="51"/>
        <v>372.20843672456573</v>
      </c>
      <c r="DN13" s="34"/>
      <c r="DO13" s="65">
        <v>2163</v>
      </c>
      <c r="DP13" s="64">
        <f t="shared" si="52"/>
        <v>158</v>
      </c>
      <c r="DQ13" s="64">
        <v>3.8699999999999998E-2</v>
      </c>
      <c r="DR13" s="64">
        <f t="shared" si="53"/>
        <v>4082.6873385012923</v>
      </c>
      <c r="DS13" s="64"/>
      <c r="DT13" s="55">
        <v>2009</v>
      </c>
      <c r="DU13" s="56">
        <f t="shared" si="54"/>
        <v>154</v>
      </c>
      <c r="DV13" s="56">
        <v>4.8899999999999985E-2</v>
      </c>
      <c r="DW13" s="56">
        <f t="shared" si="55"/>
        <v>3149.2842535787331</v>
      </c>
      <c r="DX13" s="56"/>
      <c r="DY13" s="1">
        <v>2327</v>
      </c>
      <c r="DZ13">
        <f t="shared" si="56"/>
        <v>885</v>
      </c>
      <c r="ED13" s="37">
        <v>1442</v>
      </c>
      <c r="EE13" s="34">
        <f t="shared" si="57"/>
        <v>1</v>
      </c>
      <c r="EF13" s="34">
        <v>6.2700000000000006E-2</v>
      </c>
      <c r="EG13" s="34">
        <f t="shared" si="58"/>
        <v>15.948963317384369</v>
      </c>
      <c r="EH13" s="34"/>
      <c r="EI13" s="74">
        <v>3059</v>
      </c>
      <c r="EJ13" s="73">
        <f t="shared" si="59"/>
        <v>580</v>
      </c>
      <c r="EK13" s="73">
        <v>5.1299999999999998E-2</v>
      </c>
      <c r="EL13" s="73">
        <f t="shared" si="60"/>
        <v>11306.042884990255</v>
      </c>
      <c r="EM13" s="73"/>
    </row>
    <row r="14" spans="1:143" x14ac:dyDescent="0.2">
      <c r="A14" s="11">
        <v>2.1403772222222224</v>
      </c>
      <c r="B14" s="29">
        <v>1515</v>
      </c>
      <c r="C14" s="28">
        <f t="shared" si="1"/>
        <v>-3</v>
      </c>
      <c r="D14" s="31">
        <v>0.14460000000000001</v>
      </c>
      <c r="E14" s="31">
        <v>3.9400000000000004E-2</v>
      </c>
      <c r="F14" s="28">
        <f t="shared" si="2"/>
        <v>-76.142131979695421</v>
      </c>
      <c r="G14" s="28">
        <f t="shared" si="3"/>
        <v>-1.2690355329949237E-2</v>
      </c>
      <c r="H14" s="79">
        <v>1600</v>
      </c>
      <c r="I14" s="56">
        <f t="shared" si="4"/>
        <v>0</v>
      </c>
      <c r="J14" s="58">
        <v>0.13900000000000001</v>
      </c>
      <c r="K14" s="58">
        <v>3.3400000000000013E-2</v>
      </c>
      <c r="L14" s="56">
        <f t="shared" si="5"/>
        <v>-3.3400000000000013E-2</v>
      </c>
      <c r="M14" s="56">
        <f t="shared" si="6"/>
        <v>-5.5666666666666687E-6</v>
      </c>
      <c r="N14" s="29">
        <v>1668</v>
      </c>
      <c r="O14" s="28">
        <f t="shared" si="7"/>
        <v>27</v>
      </c>
      <c r="P14" s="31">
        <v>0.14349999999999999</v>
      </c>
      <c r="Q14" s="31">
        <v>3.8199999999999984E-2</v>
      </c>
      <c r="R14" s="28">
        <f t="shared" si="8"/>
        <v>706.8062827225134</v>
      </c>
      <c r="S14" s="28">
        <f t="shared" si="9"/>
        <v>0.1178010471204189</v>
      </c>
      <c r="T14" s="55">
        <v>1661</v>
      </c>
      <c r="U14" s="56">
        <f t="shared" si="10"/>
        <v>-7</v>
      </c>
      <c r="V14" s="57">
        <v>0.1477</v>
      </c>
      <c r="W14" s="56">
        <v>4.2700000000000002E-2</v>
      </c>
      <c r="X14" s="56">
        <f t="shared" si="11"/>
        <v>-163.93442622950818</v>
      </c>
      <c r="Y14">
        <f t="shared" si="12"/>
        <v>-2.7322404371584695E-2</v>
      </c>
      <c r="Z14" s="29">
        <v>2055</v>
      </c>
      <c r="AA14" s="28">
        <f t="shared" si="13"/>
        <v>172</v>
      </c>
      <c r="AB14" s="27">
        <v>0.1487</v>
      </c>
      <c r="AC14" s="28">
        <v>3.9300000000000002E-2</v>
      </c>
      <c r="AD14" s="28">
        <f t="shared" si="14"/>
        <v>4376.5903307888038</v>
      </c>
      <c r="AE14" s="28">
        <f t="shared" si="15"/>
        <v>0.72943172179813398</v>
      </c>
      <c r="AF14" s="55">
        <v>1790</v>
      </c>
      <c r="AG14" s="56">
        <f t="shared" si="16"/>
        <v>72</v>
      </c>
      <c r="AH14" s="57">
        <v>0.16839999999999999</v>
      </c>
      <c r="AI14" s="56">
        <v>6.0100000000000001E-2</v>
      </c>
      <c r="AJ14" s="56">
        <f t="shared" si="17"/>
        <v>1198.0033277870216</v>
      </c>
      <c r="AK14" s="56">
        <f t="shared" si="18"/>
        <v>0.19966722129783693</v>
      </c>
      <c r="AL14" s="7">
        <v>2228</v>
      </c>
      <c r="AM14" s="7">
        <f t="shared" si="19"/>
        <v>612</v>
      </c>
      <c r="AN14" s="7">
        <v>0.1731</v>
      </c>
      <c r="AO14" s="7">
        <v>6.8000000000000005E-2</v>
      </c>
      <c r="AP14" s="7">
        <v>-2.6882475738060303</v>
      </c>
      <c r="AQ14" s="32">
        <v>1616</v>
      </c>
      <c r="AR14" s="28"/>
      <c r="AS14" s="27">
        <f t="shared" si="20"/>
        <v>31</v>
      </c>
      <c r="AT14" s="28">
        <v>6.8000000000000005E-2</v>
      </c>
      <c r="AU14" s="28">
        <f t="shared" si="21"/>
        <v>455.88235294117646</v>
      </c>
      <c r="AV14" s="55">
        <v>2828</v>
      </c>
      <c r="AW14" s="56">
        <f t="shared" si="22"/>
        <v>339</v>
      </c>
      <c r="AX14" s="57">
        <v>0.16309999999999999</v>
      </c>
      <c r="AY14" s="56">
        <v>5.5299999999999988E-2</v>
      </c>
      <c r="AZ14" s="55">
        <f t="shared" si="23"/>
        <v>6130.198915009043</v>
      </c>
      <c r="BA14" s="55">
        <f t="shared" si="24"/>
        <v>1.0216998191681739</v>
      </c>
      <c r="BB14" s="82">
        <v>1568</v>
      </c>
      <c r="BC14">
        <f t="shared" si="25"/>
        <v>-87</v>
      </c>
      <c r="BD14" s="11">
        <v>0.107</v>
      </c>
      <c r="BE14">
        <f t="shared" si="26"/>
        <v>-813.08411214953276</v>
      </c>
      <c r="BF14">
        <f t="shared" si="27"/>
        <v>-0.1355140186915888</v>
      </c>
      <c r="BG14">
        <f t="shared" si="28"/>
        <v>-0.1355140186915888</v>
      </c>
      <c r="BH14" s="65">
        <v>1501</v>
      </c>
      <c r="BI14" s="64">
        <f t="shared" si="29"/>
        <v>92</v>
      </c>
      <c r="BJ14" s="67">
        <v>0.1462</v>
      </c>
      <c r="BK14" s="64">
        <f t="shared" si="30"/>
        <v>629.27496580027366</v>
      </c>
      <c r="BL14" s="64">
        <f t="shared" si="31"/>
        <v>0.10487916096671228</v>
      </c>
      <c r="BM14" s="29">
        <v>1630</v>
      </c>
      <c r="BN14" s="28">
        <f t="shared" si="32"/>
        <v>25</v>
      </c>
      <c r="BO14" s="31">
        <v>0.14810000000000001</v>
      </c>
      <c r="BP14" s="28">
        <f t="shared" si="33"/>
        <v>168.80486158001349</v>
      </c>
      <c r="BQ14" s="28">
        <f t="shared" si="34"/>
        <v>2.8134143596668916E-2</v>
      </c>
      <c r="BR14" s="35">
        <v>1723</v>
      </c>
      <c r="BS14" s="34">
        <f t="shared" si="35"/>
        <v>37</v>
      </c>
      <c r="BT14" s="33">
        <v>0.15659999999999999</v>
      </c>
      <c r="BU14" s="34">
        <f t="shared" si="36"/>
        <v>236.27075351213284</v>
      </c>
      <c r="BV14" s="34"/>
      <c r="BW14" s="29">
        <v>2208</v>
      </c>
      <c r="BX14" s="28">
        <f t="shared" si="37"/>
        <v>216</v>
      </c>
      <c r="BY14" s="27">
        <v>0.15459999999999999</v>
      </c>
      <c r="BZ14" s="28">
        <f t="shared" si="38"/>
        <v>1397.1539456662356</v>
      </c>
      <c r="CA14" s="28"/>
      <c r="CB14" s="35">
        <v>2009</v>
      </c>
      <c r="CC14" s="34">
        <f t="shared" si="39"/>
        <v>79</v>
      </c>
      <c r="CD14" s="33">
        <v>0.16889999999999999</v>
      </c>
      <c r="CE14" s="34">
        <f t="shared" si="40"/>
        <v>467.73238602723507</v>
      </c>
      <c r="CF14" s="34"/>
      <c r="CG14" s="7">
        <v>2609</v>
      </c>
      <c r="CH14" s="7">
        <f t="shared" si="41"/>
        <v>1180</v>
      </c>
      <c r="CI14" s="7"/>
      <c r="CJ14" s="7"/>
      <c r="CL14" s="32">
        <v>1429</v>
      </c>
      <c r="CM14" s="27">
        <v>0.18079999999999999</v>
      </c>
      <c r="CN14" s="28">
        <v>7.5599999999999987E-2</v>
      </c>
      <c r="CO14" s="28">
        <f t="shared" si="42"/>
        <v>2.3915343915343916</v>
      </c>
      <c r="CP14" s="28"/>
      <c r="CQ14" s="55">
        <v>2604</v>
      </c>
      <c r="CR14" s="57">
        <f t="shared" si="43"/>
        <v>551</v>
      </c>
      <c r="CS14">
        <v>7.1099999999999997E-2</v>
      </c>
      <c r="CT14" s="71">
        <f t="shared" si="44"/>
        <v>7749.6483825597752</v>
      </c>
      <c r="CU14" s="35">
        <v>1686</v>
      </c>
      <c r="CV14" s="34">
        <f t="shared" si="45"/>
        <v>59</v>
      </c>
      <c r="CW14" s="36">
        <v>6.2100000000000002E-2</v>
      </c>
      <c r="CX14" s="34">
        <f t="shared" si="46"/>
        <v>950.08051529790657</v>
      </c>
      <c r="CY14" s="34"/>
      <c r="CZ14" s="29">
        <v>1488</v>
      </c>
      <c r="DA14" s="28">
        <f t="shared" si="47"/>
        <v>-12</v>
      </c>
      <c r="DB14" s="31">
        <v>5.8399999999999994E-2</v>
      </c>
      <c r="DC14" s="28">
        <f t="shared" si="48"/>
        <v>-205.47945205479454</v>
      </c>
      <c r="DD14" s="28"/>
      <c r="DE14" s="55">
        <v>1508</v>
      </c>
      <c r="DF14" s="56">
        <f t="shared" si="49"/>
        <v>75</v>
      </c>
      <c r="DG14" s="59">
        <v>6.1100000000000015E-2</v>
      </c>
      <c r="DH14" s="56">
        <f t="shared" si="50"/>
        <v>1227.4959083469719</v>
      </c>
      <c r="DI14" s="56"/>
      <c r="DJ14" s="35">
        <v>1651</v>
      </c>
      <c r="DK14" s="34">
        <f t="shared" si="0"/>
        <v>11</v>
      </c>
      <c r="DL14" s="34">
        <v>6.3299999999999995E-2</v>
      </c>
      <c r="DM14" s="34">
        <f t="shared" si="51"/>
        <v>173.77567140600317</v>
      </c>
      <c r="DN14" s="34"/>
      <c r="DO14" s="65">
        <v>2196</v>
      </c>
      <c r="DP14" s="64">
        <f t="shared" si="52"/>
        <v>191</v>
      </c>
      <c r="DQ14" s="64">
        <v>6.0800000000000007E-2</v>
      </c>
      <c r="DR14" s="64">
        <f t="shared" si="53"/>
        <v>3141.4473684210525</v>
      </c>
      <c r="DS14" s="64"/>
      <c r="DT14" s="55">
        <v>2027</v>
      </c>
      <c r="DU14" s="56">
        <f t="shared" si="54"/>
        <v>172</v>
      </c>
      <c r="DV14" s="56">
        <v>8.2099999999999992E-2</v>
      </c>
      <c r="DW14" s="56">
        <f t="shared" si="55"/>
        <v>2095.006090133983</v>
      </c>
      <c r="DX14" s="56"/>
      <c r="DY14" s="1">
        <v>2466</v>
      </c>
      <c r="DZ14">
        <f t="shared" si="56"/>
        <v>1023</v>
      </c>
      <c r="ED14" s="37">
        <v>1443</v>
      </c>
      <c r="EE14" s="34">
        <f t="shared" si="57"/>
        <v>2</v>
      </c>
      <c r="EF14" s="34">
        <v>0.1018</v>
      </c>
      <c r="EG14" s="34">
        <f t="shared" si="58"/>
        <v>19.646365422396855</v>
      </c>
      <c r="EH14" s="34"/>
      <c r="EI14" s="74">
        <v>3264</v>
      </c>
      <c r="EJ14" s="73">
        <f t="shared" si="59"/>
        <v>785</v>
      </c>
      <c r="EK14" s="73">
        <v>8.4400000000000017E-2</v>
      </c>
      <c r="EL14" s="73">
        <f t="shared" si="60"/>
        <v>9300.947867298577</v>
      </c>
      <c r="EM14" s="73"/>
    </row>
    <row r="15" spans="1:143" x14ac:dyDescent="0.2">
      <c r="A15" s="10">
        <v>2.3782172222222222</v>
      </c>
      <c r="B15" s="29">
        <v>1568</v>
      </c>
      <c r="C15" s="28">
        <f t="shared" si="1"/>
        <v>50</v>
      </c>
      <c r="D15" s="32">
        <v>0.15570000000000001</v>
      </c>
      <c r="E15" s="32">
        <v>5.0500000000000003E-2</v>
      </c>
      <c r="F15" s="52">
        <f t="shared" si="2"/>
        <v>990.09900990099004</v>
      </c>
      <c r="G15" s="28">
        <f t="shared" si="3"/>
        <v>0.16501650165016502</v>
      </c>
      <c r="H15" s="55">
        <v>1620</v>
      </c>
      <c r="I15" s="56">
        <f t="shared" si="4"/>
        <v>20</v>
      </c>
      <c r="J15" s="59">
        <v>0.14899999999999999</v>
      </c>
      <c r="K15" s="59">
        <v>4.3399999999999994E-2</v>
      </c>
      <c r="L15" s="54">
        <f t="shared" si="5"/>
        <v>19.956600000000002</v>
      </c>
      <c r="M15" s="56">
        <f t="shared" si="6"/>
        <v>3.3261000000000002E-3</v>
      </c>
      <c r="N15" s="29">
        <v>1676</v>
      </c>
      <c r="O15" s="28">
        <f t="shared" si="7"/>
        <v>35</v>
      </c>
      <c r="P15" s="32">
        <v>0.15229999999999999</v>
      </c>
      <c r="Q15" s="32">
        <v>4.6999999999999986E-2</v>
      </c>
      <c r="R15" s="52">
        <f t="shared" si="8"/>
        <v>744.68085106383</v>
      </c>
      <c r="S15" s="28">
        <f t="shared" si="9"/>
        <v>0.124113475177305</v>
      </c>
      <c r="T15" s="55">
        <v>1732</v>
      </c>
      <c r="U15" s="56">
        <f t="shared" si="10"/>
        <v>64</v>
      </c>
      <c r="V15" s="59">
        <v>0.1552</v>
      </c>
      <c r="W15" s="59">
        <v>5.0200000000000009E-2</v>
      </c>
      <c r="X15" s="54">
        <f t="shared" si="11"/>
        <v>1274.9003984063743</v>
      </c>
      <c r="Y15">
        <f t="shared" si="12"/>
        <v>0.2124833997343957</v>
      </c>
      <c r="Z15" s="29">
        <v>2144</v>
      </c>
      <c r="AA15" s="28">
        <f t="shared" si="13"/>
        <v>261</v>
      </c>
      <c r="AB15" s="32">
        <v>0.1547</v>
      </c>
      <c r="AC15" s="32">
        <v>4.5300000000000007E-2</v>
      </c>
      <c r="AD15" s="52">
        <f t="shared" si="14"/>
        <v>5761.5894039735094</v>
      </c>
      <c r="AE15" s="28">
        <f t="shared" si="15"/>
        <v>0.96026490066225156</v>
      </c>
      <c r="AF15" s="55">
        <v>1827</v>
      </c>
      <c r="AG15" s="56">
        <f t="shared" si="16"/>
        <v>109</v>
      </c>
      <c r="AH15" s="59">
        <v>0.18110000000000001</v>
      </c>
      <c r="AI15" s="59">
        <v>7.2800000000000017E-2</v>
      </c>
      <c r="AJ15" s="54">
        <f t="shared" si="17"/>
        <v>1497.252747252747</v>
      </c>
      <c r="AK15" s="56">
        <f t="shared" si="18"/>
        <v>0.24954212454212449</v>
      </c>
      <c r="AL15" s="7">
        <v>2334</v>
      </c>
      <c r="AM15" s="7">
        <f t="shared" si="19"/>
        <v>749</v>
      </c>
      <c r="AN15" s="7">
        <v>0.1835</v>
      </c>
      <c r="AO15" s="7">
        <v>7.8399999999999997E-2</v>
      </c>
      <c r="AP15" s="7">
        <v>-2.5459313516257751</v>
      </c>
      <c r="AQ15" s="32">
        <v>1585</v>
      </c>
      <c r="AR15" s="28"/>
      <c r="AS15" s="27">
        <f t="shared" si="20"/>
        <v>0</v>
      </c>
      <c r="AT15" s="32">
        <v>7.8399999999999997E-2</v>
      </c>
      <c r="AU15" s="28">
        <f t="shared" si="21"/>
        <v>0</v>
      </c>
      <c r="AV15" s="55">
        <v>3037</v>
      </c>
      <c r="AW15" s="56">
        <f t="shared" si="22"/>
        <v>548</v>
      </c>
      <c r="AX15" s="59">
        <v>0.1666</v>
      </c>
      <c r="AY15" s="59">
        <v>5.8799999999999991E-2</v>
      </c>
      <c r="AZ15" s="55">
        <f t="shared" si="23"/>
        <v>9319.7278911564645</v>
      </c>
      <c r="BA15" s="55">
        <f t="shared" si="24"/>
        <v>1.5532879818594107</v>
      </c>
      <c r="BB15" s="82">
        <v>1598</v>
      </c>
      <c r="BC15">
        <f t="shared" si="25"/>
        <v>-57</v>
      </c>
      <c r="BD15" s="10">
        <v>0.10920000000000001</v>
      </c>
      <c r="BE15">
        <f t="shared" si="26"/>
        <v>-521.97802197802196</v>
      </c>
      <c r="BF15">
        <f t="shared" si="27"/>
        <v>-8.6996336996336993E-2</v>
      </c>
      <c r="BG15">
        <f t="shared" si="28"/>
        <v>-8.6996336996336993E-2</v>
      </c>
      <c r="BH15" s="65">
        <v>1534</v>
      </c>
      <c r="BI15" s="64">
        <f t="shared" si="29"/>
        <v>114</v>
      </c>
      <c r="BJ15" s="68">
        <v>0.1585</v>
      </c>
      <c r="BK15" s="64">
        <f t="shared" si="30"/>
        <v>719.24290220820194</v>
      </c>
      <c r="BL15" s="64">
        <f t="shared" si="31"/>
        <v>0.11987381703470032</v>
      </c>
      <c r="BM15" s="29">
        <v>1686</v>
      </c>
      <c r="BN15" s="28">
        <f t="shared" si="32"/>
        <v>81</v>
      </c>
      <c r="BO15" s="32">
        <v>0.15989999999999999</v>
      </c>
      <c r="BP15" s="28">
        <f t="shared" si="33"/>
        <v>506.56660412757981</v>
      </c>
      <c r="BQ15" s="28">
        <f t="shared" si="34"/>
        <v>8.4427767354596631E-2</v>
      </c>
      <c r="BR15" s="35">
        <v>1769</v>
      </c>
      <c r="BS15" s="34">
        <f t="shared" si="35"/>
        <v>83</v>
      </c>
      <c r="BT15" s="37">
        <v>0.1706</v>
      </c>
      <c r="BU15" s="34">
        <f t="shared" si="36"/>
        <v>486.5181711606096</v>
      </c>
      <c r="BV15" s="34"/>
      <c r="BW15" s="29">
        <v>2317</v>
      </c>
      <c r="BX15" s="28">
        <f t="shared" si="37"/>
        <v>325</v>
      </c>
      <c r="BY15" s="32">
        <v>0.16650000000000001</v>
      </c>
      <c r="BZ15" s="28">
        <f t="shared" si="38"/>
        <v>1951.9519519519517</v>
      </c>
      <c r="CA15" s="28"/>
      <c r="CB15" s="35">
        <v>2091</v>
      </c>
      <c r="CC15" s="34">
        <f t="shared" si="39"/>
        <v>161</v>
      </c>
      <c r="CD15" s="37">
        <v>0.18440000000000001</v>
      </c>
      <c r="CE15" s="34">
        <f t="shared" si="40"/>
        <v>873.10195227765723</v>
      </c>
      <c r="CF15" s="34"/>
      <c r="CG15" s="7">
        <v>2749</v>
      </c>
      <c r="CH15" s="7">
        <f t="shared" si="41"/>
        <v>1279</v>
      </c>
      <c r="CI15" s="7"/>
      <c r="CJ15" s="7"/>
      <c r="CL15" s="32">
        <v>1470</v>
      </c>
      <c r="CM15" s="32">
        <v>0.2044</v>
      </c>
      <c r="CN15" s="32">
        <v>9.9199999999999997E-2</v>
      </c>
      <c r="CO15" s="28">
        <f t="shared" si="42"/>
        <v>2.060483870967742</v>
      </c>
      <c r="CP15" s="28"/>
      <c r="CQ15" s="55">
        <v>2913</v>
      </c>
      <c r="CR15" s="57">
        <f t="shared" si="43"/>
        <v>860</v>
      </c>
      <c r="CS15">
        <v>9.5899999999999985E-2</v>
      </c>
      <c r="CT15" s="71">
        <f t="shared" si="44"/>
        <v>8967.6746611053186</v>
      </c>
      <c r="CU15" s="35">
        <v>1739</v>
      </c>
      <c r="CV15" s="34">
        <f t="shared" si="45"/>
        <v>112</v>
      </c>
      <c r="CW15" s="37">
        <v>8.5300000000000001E-2</v>
      </c>
      <c r="CX15" s="34">
        <f t="shared" si="46"/>
        <v>1313.012895662368</v>
      </c>
      <c r="CY15" s="34"/>
      <c r="CZ15" s="29">
        <v>1508</v>
      </c>
      <c r="DA15" s="28">
        <f t="shared" si="47"/>
        <v>8</v>
      </c>
      <c r="DB15" s="32">
        <v>7.8E-2</v>
      </c>
      <c r="DC15" s="28">
        <f t="shared" si="48"/>
        <v>102.56410256410257</v>
      </c>
      <c r="DD15" s="28"/>
      <c r="DE15" s="55">
        <v>1534</v>
      </c>
      <c r="DF15" s="56">
        <f t="shared" si="49"/>
        <v>101</v>
      </c>
      <c r="DG15" s="56">
        <v>8.1100000000000005E-2</v>
      </c>
      <c r="DH15" s="56">
        <f t="shared" si="50"/>
        <v>1245.3760789149198</v>
      </c>
      <c r="DI15" s="56"/>
      <c r="DJ15" s="35">
        <v>1689</v>
      </c>
      <c r="DK15" s="34">
        <f t="shared" si="0"/>
        <v>49</v>
      </c>
      <c r="DL15" s="34">
        <v>8.2600000000000007E-2</v>
      </c>
      <c r="DM15" s="34">
        <f t="shared" si="51"/>
        <v>593.22033898305085</v>
      </c>
      <c r="DN15" s="34"/>
      <c r="DO15" s="65">
        <v>2344</v>
      </c>
      <c r="DP15" s="64">
        <f t="shared" si="52"/>
        <v>339</v>
      </c>
      <c r="DQ15" s="64">
        <v>7.9299999999999995E-2</v>
      </c>
      <c r="DR15" s="64">
        <f t="shared" si="53"/>
        <v>4274.9054224464062</v>
      </c>
      <c r="DS15" s="64"/>
      <c r="DT15" s="55">
        <v>2140</v>
      </c>
      <c r="DU15" s="56">
        <f t="shared" si="54"/>
        <v>285</v>
      </c>
      <c r="DV15" s="56">
        <v>0.1082</v>
      </c>
      <c r="DW15" s="56">
        <f t="shared" si="55"/>
        <v>2634.011090573013</v>
      </c>
      <c r="DX15" s="56"/>
      <c r="DY15" s="1">
        <v>2660</v>
      </c>
      <c r="DZ15">
        <f t="shared" si="56"/>
        <v>1198</v>
      </c>
      <c r="ED15" s="37">
        <v>1462</v>
      </c>
      <c r="EE15" s="34">
        <f t="shared" si="57"/>
        <v>21</v>
      </c>
      <c r="EF15" s="34">
        <v>0.1439</v>
      </c>
      <c r="EG15" s="34">
        <f t="shared" si="58"/>
        <v>145.93467685892981</v>
      </c>
      <c r="EH15" s="34"/>
      <c r="EI15" s="74">
        <v>3644</v>
      </c>
      <c r="EJ15" s="73">
        <f t="shared" si="59"/>
        <v>1165</v>
      </c>
      <c r="EK15" s="73">
        <v>0.12100000000000001</v>
      </c>
      <c r="EL15" s="73">
        <f t="shared" si="60"/>
        <v>9628.0991735537191</v>
      </c>
      <c r="EM15" s="73"/>
    </row>
    <row r="16" spans="1:143" x14ac:dyDescent="0.2">
      <c r="A16" s="11">
        <v>2.6159794444444442</v>
      </c>
      <c r="B16" s="29">
        <v>1583</v>
      </c>
      <c r="C16" s="28">
        <f t="shared" si="1"/>
        <v>65</v>
      </c>
      <c r="D16" s="31">
        <v>0.18540000000000001</v>
      </c>
      <c r="E16" s="31">
        <v>8.0200000000000007E-2</v>
      </c>
      <c r="F16" s="52">
        <f t="shared" si="2"/>
        <v>810.47381546134659</v>
      </c>
      <c r="G16" s="28">
        <f t="shared" si="3"/>
        <v>0.13507896924355778</v>
      </c>
      <c r="H16" s="55">
        <v>1626</v>
      </c>
      <c r="I16" s="56">
        <f t="shared" si="4"/>
        <v>26</v>
      </c>
      <c r="J16" s="58">
        <v>0.1744</v>
      </c>
      <c r="K16" s="58">
        <v>6.88E-2</v>
      </c>
      <c r="L16" s="54">
        <f t="shared" si="5"/>
        <v>25.9312</v>
      </c>
      <c r="M16" s="56">
        <f t="shared" si="6"/>
        <v>4.3218666666666669E-3</v>
      </c>
      <c r="N16" s="29">
        <v>1694</v>
      </c>
      <c r="O16" s="28">
        <f t="shared" si="7"/>
        <v>53</v>
      </c>
      <c r="P16" s="31">
        <v>0.17799999999999999</v>
      </c>
      <c r="Q16" s="31">
        <v>7.2699999999999987E-2</v>
      </c>
      <c r="R16" s="52">
        <f t="shared" si="8"/>
        <v>729.0233837689135</v>
      </c>
      <c r="S16" s="28">
        <f t="shared" si="9"/>
        <v>0.12150389729481892</v>
      </c>
      <c r="T16" s="55">
        <v>1707</v>
      </c>
      <c r="U16" s="56">
        <f t="shared" si="10"/>
        <v>39</v>
      </c>
      <c r="V16" s="57">
        <v>0.18110000000000001</v>
      </c>
      <c r="W16" s="56">
        <v>7.6100000000000015E-2</v>
      </c>
      <c r="X16" s="54">
        <f t="shared" si="11"/>
        <v>512.48357424441519</v>
      </c>
      <c r="Y16">
        <f t="shared" si="12"/>
        <v>8.5413929040735873E-2</v>
      </c>
      <c r="Z16" s="29">
        <v>2244</v>
      </c>
      <c r="AA16" s="28">
        <f t="shared" si="13"/>
        <v>361</v>
      </c>
      <c r="AB16" s="27">
        <v>0.1817</v>
      </c>
      <c r="AC16" s="28">
        <v>7.2300000000000003E-2</v>
      </c>
      <c r="AD16" s="52">
        <f t="shared" si="14"/>
        <v>4993.0843706777314</v>
      </c>
      <c r="AE16" s="28">
        <f t="shared" si="15"/>
        <v>0.83218072844628854</v>
      </c>
      <c r="AF16" s="55">
        <v>1911</v>
      </c>
      <c r="AG16" s="56">
        <f t="shared" si="16"/>
        <v>193</v>
      </c>
      <c r="AH16" s="57">
        <v>0.21479999999999999</v>
      </c>
      <c r="AI16" s="56">
        <v>0.1065</v>
      </c>
      <c r="AJ16" s="54">
        <f t="shared" si="17"/>
        <v>1812.206572769953</v>
      </c>
      <c r="AK16" s="56">
        <f t="shared" si="18"/>
        <v>0.30203442879499215</v>
      </c>
      <c r="AL16" s="7">
        <v>2454</v>
      </c>
      <c r="AM16" s="7">
        <f t="shared" si="19"/>
        <v>871</v>
      </c>
      <c r="AN16" s="7">
        <v>0.2276</v>
      </c>
      <c r="AO16" s="7">
        <v>0.1225</v>
      </c>
      <c r="AP16" s="7">
        <v>-2.0996442489973552</v>
      </c>
      <c r="AQ16" s="32">
        <v>1583</v>
      </c>
      <c r="AR16" s="28"/>
      <c r="AS16" s="27">
        <f t="shared" si="20"/>
        <v>-2</v>
      </c>
      <c r="AT16" s="28">
        <v>0.1225</v>
      </c>
      <c r="AU16" s="28">
        <f t="shared" si="21"/>
        <v>-16.326530612244898</v>
      </c>
      <c r="AV16" s="55">
        <v>3175</v>
      </c>
      <c r="AW16" s="56">
        <f t="shared" si="22"/>
        <v>686</v>
      </c>
      <c r="AX16" s="57">
        <v>0.2087</v>
      </c>
      <c r="AY16" s="56">
        <v>0.10089999999999999</v>
      </c>
      <c r="AZ16" s="55">
        <f t="shared" si="23"/>
        <v>6798.8107036669981</v>
      </c>
      <c r="BA16" s="55">
        <f t="shared" si="24"/>
        <v>1.133135117277833</v>
      </c>
      <c r="BB16" s="83">
        <v>1577</v>
      </c>
      <c r="BC16">
        <f t="shared" si="25"/>
        <v>-78</v>
      </c>
      <c r="BD16" s="11">
        <v>0.1138</v>
      </c>
      <c r="BE16">
        <f t="shared" si="26"/>
        <v>-685.41300527240776</v>
      </c>
      <c r="BF16">
        <f t="shared" si="27"/>
        <v>-0.11423550087873463</v>
      </c>
      <c r="BG16">
        <f t="shared" si="28"/>
        <v>-0.11423550087873463</v>
      </c>
      <c r="BH16" s="65">
        <v>1578</v>
      </c>
      <c r="BI16" s="64">
        <f t="shared" si="29"/>
        <v>104</v>
      </c>
      <c r="BJ16" s="67">
        <v>0.18820000000000001</v>
      </c>
      <c r="BK16" s="64">
        <f t="shared" si="30"/>
        <v>552.60361317747072</v>
      </c>
      <c r="BL16" s="64">
        <f t="shared" si="31"/>
        <v>9.2100602196245121E-2</v>
      </c>
      <c r="BM16" s="29">
        <v>1674</v>
      </c>
      <c r="BN16" s="28">
        <f t="shared" si="32"/>
        <v>69</v>
      </c>
      <c r="BO16" s="31">
        <v>0.18970000000000001</v>
      </c>
      <c r="BP16" s="28">
        <f t="shared" si="33"/>
        <v>363.73220875065891</v>
      </c>
      <c r="BQ16" s="28">
        <f t="shared" si="34"/>
        <v>6.0622034791776483E-2</v>
      </c>
      <c r="BR16" s="35">
        <v>1781</v>
      </c>
      <c r="BS16" s="34">
        <f t="shared" si="35"/>
        <v>95</v>
      </c>
      <c r="BT16" s="33">
        <v>0.20469999999999999</v>
      </c>
      <c r="BU16" s="34">
        <f t="shared" ref="BU16:BU39" si="61">BS16/BT16</f>
        <v>464.09379579872984</v>
      </c>
      <c r="BV16" s="34"/>
      <c r="BW16" s="29">
        <v>2412</v>
      </c>
      <c r="BX16" s="28">
        <f t="shared" si="37"/>
        <v>420</v>
      </c>
      <c r="BY16" s="27">
        <v>0.19839999999999999</v>
      </c>
      <c r="BZ16" s="28">
        <f t="shared" si="38"/>
        <v>2116.9354838709678</v>
      </c>
      <c r="CA16" s="28"/>
      <c r="CB16" s="35">
        <v>2195</v>
      </c>
      <c r="CC16" s="34">
        <f t="shared" si="39"/>
        <v>265</v>
      </c>
      <c r="CD16" s="33">
        <v>0.22370000000000001</v>
      </c>
      <c r="CE16" s="34">
        <f t="shared" si="40"/>
        <v>1184.6222619579794</v>
      </c>
      <c r="CF16" s="34"/>
      <c r="CG16" s="7">
        <v>2964</v>
      </c>
      <c r="CH16" s="7">
        <f t="shared" si="41"/>
        <v>1511</v>
      </c>
      <c r="CI16" s="7"/>
      <c r="CJ16" s="7"/>
      <c r="CL16" s="32">
        <v>1453</v>
      </c>
      <c r="CM16" s="27">
        <v>0.26229999999999998</v>
      </c>
      <c r="CN16" s="28">
        <v>0.15709999999999996</v>
      </c>
      <c r="CO16" s="28">
        <f t="shared" si="42"/>
        <v>1.669637173774666</v>
      </c>
      <c r="CP16" s="28"/>
      <c r="CQ16" s="55">
        <v>3185</v>
      </c>
      <c r="CR16" s="57">
        <f t="shared" si="43"/>
        <v>1132</v>
      </c>
      <c r="CS16">
        <v>0.1552</v>
      </c>
      <c r="CT16" s="71">
        <f t="shared" si="44"/>
        <v>7293.8144329896904</v>
      </c>
      <c r="CU16" s="35">
        <v>1789</v>
      </c>
      <c r="CV16" s="34">
        <f t="shared" si="45"/>
        <v>162</v>
      </c>
      <c r="CW16" s="36">
        <v>0.1386</v>
      </c>
      <c r="CX16" s="34">
        <f t="shared" si="46"/>
        <v>1168.8311688311687</v>
      </c>
      <c r="CY16" s="34"/>
      <c r="CZ16" s="29">
        <v>1524</v>
      </c>
      <c r="DA16" s="28">
        <f t="shared" si="47"/>
        <v>24</v>
      </c>
      <c r="DB16" s="31">
        <v>0.12100000000000001</v>
      </c>
      <c r="DC16" s="28">
        <f t="shared" si="48"/>
        <v>198.34710743801651</v>
      </c>
      <c r="DD16" s="28"/>
      <c r="DE16" s="55">
        <v>1574</v>
      </c>
      <c r="DF16" s="56">
        <f t="shared" si="49"/>
        <v>141</v>
      </c>
      <c r="DG16" s="56">
        <v>0.12670000000000001</v>
      </c>
      <c r="DH16" s="56">
        <f t="shared" si="50"/>
        <v>1112.8650355169691</v>
      </c>
      <c r="DI16" s="56"/>
      <c r="DJ16" s="35">
        <v>1696</v>
      </c>
      <c r="DK16" s="34">
        <f t="shared" si="0"/>
        <v>56</v>
      </c>
      <c r="DL16" s="34">
        <v>0.12840000000000001</v>
      </c>
      <c r="DM16" s="34">
        <f t="shared" si="51"/>
        <v>436.13707165109031</v>
      </c>
      <c r="DN16" s="34"/>
      <c r="DO16" s="65">
        <v>2512</v>
      </c>
      <c r="DP16" s="64">
        <f t="shared" si="52"/>
        <v>507</v>
      </c>
      <c r="DQ16" s="64">
        <v>0.12480000000000001</v>
      </c>
      <c r="DR16" s="64">
        <f t="shared" si="53"/>
        <v>4062.4999999999995</v>
      </c>
      <c r="DS16" s="64"/>
      <c r="DT16" s="55">
        <v>2277</v>
      </c>
      <c r="DU16" s="56">
        <f t="shared" si="54"/>
        <v>422</v>
      </c>
      <c r="DV16" s="56">
        <v>0.1724</v>
      </c>
      <c r="DW16" s="56">
        <f t="shared" si="55"/>
        <v>2447.7958236658933</v>
      </c>
      <c r="DX16" s="56"/>
      <c r="DY16" s="1">
        <v>2905</v>
      </c>
      <c r="DZ16">
        <f t="shared" si="56"/>
        <v>1441</v>
      </c>
      <c r="ED16" s="37">
        <v>1464</v>
      </c>
      <c r="EE16" s="34">
        <f t="shared" si="57"/>
        <v>23</v>
      </c>
      <c r="EF16" s="34">
        <v>0.2137</v>
      </c>
      <c r="EG16" s="34">
        <f t="shared" si="58"/>
        <v>107.62751520823585</v>
      </c>
      <c r="EH16" s="34"/>
      <c r="EI16" s="74">
        <v>4098</v>
      </c>
      <c r="EJ16" s="73">
        <f t="shared" si="59"/>
        <v>1619</v>
      </c>
      <c r="EK16" s="73">
        <v>0.1905</v>
      </c>
      <c r="EL16" s="73">
        <f t="shared" si="60"/>
        <v>8498.6876640419941</v>
      </c>
      <c r="EM16" s="73"/>
    </row>
    <row r="17" spans="1:143" x14ac:dyDescent="0.2">
      <c r="A17">
        <v>2.8537316666666666</v>
      </c>
      <c r="B17" s="29">
        <v>1627</v>
      </c>
      <c r="C17" s="28">
        <f t="shared" si="1"/>
        <v>109</v>
      </c>
      <c r="D17" s="27">
        <v>0.22090000000000001</v>
      </c>
      <c r="E17" s="28">
        <v>0.11570000000000001</v>
      </c>
      <c r="F17" s="52">
        <f>C17/E17</f>
        <v>942.09161624891954</v>
      </c>
      <c r="G17" s="28">
        <f t="shared" si="3"/>
        <v>0.15701526937481991</v>
      </c>
      <c r="H17" s="55">
        <v>1620</v>
      </c>
      <c r="I17" s="56">
        <f t="shared" si="4"/>
        <v>20</v>
      </c>
      <c r="J17" s="57">
        <v>0.20280000000000001</v>
      </c>
      <c r="K17" s="56">
        <v>9.7200000000000009E-2</v>
      </c>
      <c r="L17" s="54">
        <f t="shared" si="5"/>
        <v>19.902799999999999</v>
      </c>
      <c r="M17" s="56">
        <f t="shared" si="6"/>
        <v>3.317133333333333E-3</v>
      </c>
      <c r="N17" s="29">
        <v>1754</v>
      </c>
      <c r="O17" s="28">
        <f t="shared" si="7"/>
        <v>113</v>
      </c>
      <c r="P17" s="27">
        <v>0.20910000000000001</v>
      </c>
      <c r="Q17" s="28">
        <v>0.1038</v>
      </c>
      <c r="R17" s="78">
        <f t="shared" si="8"/>
        <v>1088.6319845857417</v>
      </c>
      <c r="S17" s="28">
        <f t="shared" si="9"/>
        <v>0.18143866409762363</v>
      </c>
      <c r="T17" s="55">
        <v>1800</v>
      </c>
      <c r="U17" s="56">
        <f t="shared" si="10"/>
        <v>132</v>
      </c>
      <c r="V17" s="57">
        <v>0.21029999999999999</v>
      </c>
      <c r="W17" s="56">
        <v>0.10529999999999999</v>
      </c>
      <c r="X17" s="54">
        <f t="shared" si="11"/>
        <v>1253.5612535612536</v>
      </c>
      <c r="Y17">
        <f t="shared" si="12"/>
        <v>0.20892687559354226</v>
      </c>
      <c r="Z17" s="29">
        <v>2364</v>
      </c>
      <c r="AA17" s="28">
        <f t="shared" si="13"/>
        <v>481</v>
      </c>
      <c r="AB17" s="27">
        <v>0.2089</v>
      </c>
      <c r="AC17" s="28">
        <v>9.9500000000000005E-2</v>
      </c>
      <c r="AD17" s="52">
        <f t="shared" si="14"/>
        <v>4834.1708542713568</v>
      </c>
      <c r="AE17" s="28">
        <f t="shared" si="15"/>
        <v>0.80569514237855944</v>
      </c>
      <c r="AF17" s="55">
        <v>1995</v>
      </c>
      <c r="AG17" s="56">
        <f t="shared" si="16"/>
        <v>277</v>
      </c>
      <c r="AH17" s="57">
        <v>0.25240000000000001</v>
      </c>
      <c r="AI17" s="56">
        <v>0.14410000000000001</v>
      </c>
      <c r="AJ17" s="54">
        <f t="shared" si="17"/>
        <v>1922.2761970853574</v>
      </c>
      <c r="AK17" s="56">
        <f t="shared" si="18"/>
        <v>0.32037936618089291</v>
      </c>
      <c r="AL17" s="7">
        <v>2583</v>
      </c>
      <c r="AM17" s="7">
        <f t="shared" si="19"/>
        <v>959</v>
      </c>
      <c r="AN17" s="7">
        <v>0.26240000000000002</v>
      </c>
      <c r="AO17" s="7">
        <v>0.15730000000000002</v>
      </c>
      <c r="AP17" s="7">
        <v>-1.8496004689179049</v>
      </c>
      <c r="AQ17" s="32">
        <v>1624</v>
      </c>
      <c r="AR17" s="28"/>
      <c r="AS17" s="27">
        <f t="shared" si="20"/>
        <v>39</v>
      </c>
      <c r="AT17" s="28">
        <v>0.15730000000000002</v>
      </c>
      <c r="AU17" s="28">
        <f t="shared" si="21"/>
        <v>247.93388429752062</v>
      </c>
      <c r="AV17" s="55">
        <v>3379</v>
      </c>
      <c r="AW17" s="56">
        <f t="shared" si="22"/>
        <v>890</v>
      </c>
      <c r="AX17" s="57">
        <v>0.2414</v>
      </c>
      <c r="AY17" s="56">
        <v>0.1336</v>
      </c>
      <c r="AZ17" s="55">
        <f t="shared" si="23"/>
        <v>6661.6766467065872</v>
      </c>
      <c r="BA17" s="55">
        <f t="shared" si="24"/>
        <v>1.1102794411177646</v>
      </c>
      <c r="BB17" s="82">
        <v>1614</v>
      </c>
      <c r="BC17">
        <f t="shared" si="25"/>
        <v>-41</v>
      </c>
      <c r="BD17" s="8">
        <v>0.12180000000000001</v>
      </c>
      <c r="BE17">
        <f t="shared" si="26"/>
        <v>-336.6174055829228</v>
      </c>
      <c r="BF17">
        <f t="shared" si="27"/>
        <v>-5.6102900930487136E-2</v>
      </c>
      <c r="BG17">
        <f t="shared" si="28"/>
        <v>-5.6102900930487136E-2</v>
      </c>
      <c r="BH17" s="65">
        <v>1549</v>
      </c>
      <c r="BI17" s="64">
        <f t="shared" si="29"/>
        <v>78</v>
      </c>
      <c r="BJ17" s="66">
        <v>0.23350000000000001</v>
      </c>
      <c r="BK17" s="64">
        <f t="shared" si="30"/>
        <v>334.04710920770879</v>
      </c>
      <c r="BL17" s="64">
        <f t="shared" si="31"/>
        <v>5.5674518201284801E-2</v>
      </c>
      <c r="BM17" s="29">
        <v>1723</v>
      </c>
      <c r="BN17" s="28">
        <f t="shared" si="32"/>
        <v>118</v>
      </c>
      <c r="BO17" s="27">
        <v>0.23230000000000001</v>
      </c>
      <c r="BP17" s="28">
        <f t="shared" si="33"/>
        <v>507.96383986224708</v>
      </c>
      <c r="BQ17" s="28">
        <f t="shared" si="34"/>
        <v>8.466063997704118E-2</v>
      </c>
      <c r="BR17" s="35">
        <v>1842</v>
      </c>
      <c r="BS17" s="34">
        <f t="shared" si="35"/>
        <v>156</v>
      </c>
      <c r="BT17" s="33">
        <v>0.24990000000000001</v>
      </c>
      <c r="BU17" s="34">
        <f t="shared" si="61"/>
        <v>624.249699879952</v>
      </c>
      <c r="BV17" s="34"/>
      <c r="BW17" s="29">
        <v>2623</v>
      </c>
      <c r="BX17" s="28">
        <f t="shared" si="37"/>
        <v>631</v>
      </c>
      <c r="BY17" s="27">
        <v>0.23630000000000001</v>
      </c>
      <c r="BZ17" s="28">
        <f t="shared" si="38"/>
        <v>2670.3343207786711</v>
      </c>
      <c r="CA17" s="28"/>
      <c r="CB17" s="35">
        <v>2329</v>
      </c>
      <c r="CC17" s="34">
        <f t="shared" si="39"/>
        <v>399</v>
      </c>
      <c r="CD17" s="33">
        <v>0.2702</v>
      </c>
      <c r="CE17" s="34">
        <f t="shared" si="40"/>
        <v>1476.6839378238342</v>
      </c>
      <c r="CF17" s="34"/>
      <c r="CG17" s="7">
        <v>3186</v>
      </c>
      <c r="CH17" s="7">
        <f t="shared" si="41"/>
        <v>1698</v>
      </c>
      <c r="CI17" s="7"/>
      <c r="CJ17" s="7"/>
      <c r="CL17" s="32">
        <v>1488</v>
      </c>
      <c r="CM17" s="27">
        <v>0.3039</v>
      </c>
      <c r="CN17" s="28">
        <v>0.19869999999999999</v>
      </c>
      <c r="CO17" s="28">
        <f t="shared" si="42"/>
        <v>1.5294413688978361</v>
      </c>
      <c r="CP17" s="28"/>
      <c r="CQ17" s="55">
        <v>3425</v>
      </c>
      <c r="CR17" s="57">
        <f t="shared" si="43"/>
        <v>1372</v>
      </c>
      <c r="CS17">
        <v>0.19919999999999999</v>
      </c>
      <c r="CT17" s="71">
        <f t="shared" si="44"/>
        <v>6887.5502008032136</v>
      </c>
      <c r="CU17" s="35">
        <v>1853</v>
      </c>
      <c r="CV17" s="34">
        <f t="shared" si="45"/>
        <v>226</v>
      </c>
      <c r="CW17" s="33">
        <v>0.19119999999999998</v>
      </c>
      <c r="CX17" s="34">
        <f t="shared" si="46"/>
        <v>1182.0083682008369</v>
      </c>
      <c r="CY17" s="34"/>
      <c r="CZ17" s="29">
        <v>1531</v>
      </c>
      <c r="DA17" s="28">
        <f t="shared" si="47"/>
        <v>31</v>
      </c>
      <c r="DB17" s="27">
        <v>0.18490000000000001</v>
      </c>
      <c r="DC17" s="28">
        <f t="shared" si="48"/>
        <v>167.65819361817196</v>
      </c>
      <c r="DD17" s="28"/>
      <c r="DE17" s="55">
        <v>1601</v>
      </c>
      <c r="DF17" s="56">
        <f t="shared" si="49"/>
        <v>168</v>
      </c>
      <c r="DG17" s="56">
        <v>0.18820000000000003</v>
      </c>
      <c r="DH17" s="56">
        <f t="shared" si="50"/>
        <v>892.66737513283726</v>
      </c>
      <c r="DI17" s="56"/>
      <c r="DJ17" s="35">
        <v>1759</v>
      </c>
      <c r="DK17" s="34">
        <f t="shared" si="0"/>
        <v>119</v>
      </c>
      <c r="DL17" s="34">
        <v>0.19069999999999998</v>
      </c>
      <c r="DM17" s="34">
        <f t="shared" si="51"/>
        <v>624.01678028316735</v>
      </c>
      <c r="DN17" s="34"/>
      <c r="DO17" s="65">
        <v>2675</v>
      </c>
      <c r="DP17" s="64">
        <f t="shared" si="52"/>
        <v>670</v>
      </c>
      <c r="DQ17" s="64">
        <v>0.18390000000000001</v>
      </c>
      <c r="DR17" s="64">
        <f t="shared" si="53"/>
        <v>3643.2843936922241</v>
      </c>
      <c r="DS17" s="64"/>
      <c r="DT17" s="55">
        <v>2366</v>
      </c>
      <c r="DU17" s="56">
        <f t="shared" si="54"/>
        <v>511</v>
      </c>
      <c r="DV17" s="56">
        <v>0.20779999999999998</v>
      </c>
      <c r="DW17" s="56">
        <f t="shared" si="55"/>
        <v>2459.095283926853</v>
      </c>
      <c r="DX17" s="56"/>
      <c r="DY17" s="1">
        <v>3080</v>
      </c>
      <c r="DZ17">
        <f t="shared" si="56"/>
        <v>1569</v>
      </c>
      <c r="ED17" s="37">
        <v>1511</v>
      </c>
      <c r="EE17" s="34">
        <f t="shared" si="57"/>
        <v>70</v>
      </c>
      <c r="EF17" s="34">
        <v>0.24609999999999999</v>
      </c>
      <c r="EG17" s="34">
        <f t="shared" si="58"/>
        <v>284.43722064201546</v>
      </c>
      <c r="EH17" s="34"/>
      <c r="EI17" s="74">
        <v>4644</v>
      </c>
      <c r="EJ17" s="73">
        <f t="shared" si="59"/>
        <v>2165</v>
      </c>
      <c r="EK17" s="73">
        <v>0.24390000000000001</v>
      </c>
      <c r="EL17" s="73">
        <f t="shared" si="60"/>
        <v>8876.5887658876582</v>
      </c>
      <c r="EM17" s="73"/>
    </row>
    <row r="18" spans="1:143" x14ac:dyDescent="0.2">
      <c r="A18">
        <v>3.0915727777777779</v>
      </c>
      <c r="B18" s="29">
        <v>1650</v>
      </c>
      <c r="C18" s="28">
        <f t="shared" si="1"/>
        <v>132</v>
      </c>
      <c r="D18" s="27">
        <v>0.28489999999999999</v>
      </c>
      <c r="E18" s="28">
        <v>0.17969999999999997</v>
      </c>
      <c r="F18" s="78">
        <f t="shared" si="2"/>
        <v>734.55759599332237</v>
      </c>
      <c r="G18" s="28">
        <f t="shared" si="3"/>
        <v>0.12242626599888706</v>
      </c>
      <c r="H18" s="55">
        <v>1631</v>
      </c>
      <c r="I18" s="56">
        <f t="shared" si="4"/>
        <v>31</v>
      </c>
      <c r="J18" s="57">
        <v>0.25419999999999998</v>
      </c>
      <c r="K18" s="56">
        <v>0.14859999999999998</v>
      </c>
      <c r="L18" s="54">
        <f t="shared" si="5"/>
        <v>30.851400000000002</v>
      </c>
      <c r="M18" s="56">
        <f t="shared" si="6"/>
        <v>5.1419000000000005E-3</v>
      </c>
      <c r="N18" s="29">
        <v>1740</v>
      </c>
      <c r="O18" s="28">
        <f t="shared" si="7"/>
        <v>99</v>
      </c>
      <c r="P18" s="27">
        <v>0.25829999999999997</v>
      </c>
      <c r="Q18" s="28">
        <v>0.15299999999999997</v>
      </c>
      <c r="R18" s="52">
        <f t="shared" si="8"/>
        <v>647.05882352941194</v>
      </c>
      <c r="S18" s="28">
        <f t="shared" si="9"/>
        <v>0.10784313725490199</v>
      </c>
      <c r="T18" s="55">
        <v>1772</v>
      </c>
      <c r="U18" s="56">
        <f t="shared" si="10"/>
        <v>104</v>
      </c>
      <c r="V18" s="57">
        <v>0.26090000000000002</v>
      </c>
      <c r="W18" s="56">
        <v>0.15590000000000004</v>
      </c>
      <c r="X18" s="54">
        <f t="shared" si="11"/>
        <v>667.0942912123154</v>
      </c>
      <c r="Y18">
        <f t="shared" si="12"/>
        <v>0.11118238186871923</v>
      </c>
      <c r="Z18" s="29">
        <v>2485</v>
      </c>
      <c r="AA18" s="28">
        <f t="shared" si="13"/>
        <v>602</v>
      </c>
      <c r="AB18" s="27">
        <v>0.2631</v>
      </c>
      <c r="AC18" s="28">
        <v>0.1537</v>
      </c>
      <c r="AD18" s="52">
        <f t="shared" si="14"/>
        <v>3916.7208848405985</v>
      </c>
      <c r="AE18" s="28">
        <f t="shared" si="15"/>
        <v>0.65278681414009976</v>
      </c>
      <c r="AF18" s="55">
        <v>2071</v>
      </c>
      <c r="AG18" s="56">
        <f t="shared" si="16"/>
        <v>353</v>
      </c>
      <c r="AH18" s="57">
        <v>0.30740000000000001</v>
      </c>
      <c r="AI18" s="56">
        <v>0.1991</v>
      </c>
      <c r="AJ18" s="54">
        <f t="shared" si="17"/>
        <v>1772.9784028126569</v>
      </c>
      <c r="AK18" s="56">
        <f t="shared" si="18"/>
        <v>0.29549640046877618</v>
      </c>
      <c r="AL18" s="7">
        <v>2724</v>
      </c>
      <c r="AM18" s="7">
        <f t="shared" si="19"/>
        <v>1117</v>
      </c>
      <c r="AN18" s="7">
        <v>0.34300000000000003</v>
      </c>
      <c r="AO18" s="7">
        <v>0.23790000000000003</v>
      </c>
      <c r="AP18" s="7">
        <v>-1.4359048616732248</v>
      </c>
      <c r="AQ18" s="32">
        <v>1607</v>
      </c>
      <c r="AR18" s="28"/>
      <c r="AS18" s="27">
        <f t="shared" si="20"/>
        <v>22</v>
      </c>
      <c r="AT18" s="28">
        <v>0.23790000000000003</v>
      </c>
      <c r="AU18" s="28">
        <f t="shared" si="21"/>
        <v>92.475830180748204</v>
      </c>
      <c r="AV18" s="55">
        <v>3560</v>
      </c>
      <c r="AW18" s="56">
        <f t="shared" si="22"/>
        <v>1071</v>
      </c>
      <c r="AX18" s="57">
        <v>0.3286</v>
      </c>
      <c r="AY18" s="56">
        <v>0.2208</v>
      </c>
      <c r="AZ18" s="55">
        <f t="shared" si="23"/>
        <v>4850.54347826087</v>
      </c>
      <c r="BA18" s="55">
        <f t="shared" si="24"/>
        <v>0.80842391304347838</v>
      </c>
      <c r="BB18" s="82">
        <v>1594</v>
      </c>
      <c r="BC18">
        <f t="shared" si="25"/>
        <v>-61</v>
      </c>
      <c r="BD18" s="8">
        <v>0.13450000000000001</v>
      </c>
      <c r="BE18">
        <f t="shared" si="26"/>
        <v>-453.53159851301115</v>
      </c>
      <c r="BF18">
        <f t="shared" si="27"/>
        <v>-7.5588599752168528E-2</v>
      </c>
      <c r="BG18">
        <f t="shared" si="28"/>
        <v>-7.5588599752168528E-2</v>
      </c>
      <c r="BH18" s="65">
        <v>1555</v>
      </c>
      <c r="BI18" s="64">
        <f t="shared" si="29"/>
        <v>32</v>
      </c>
      <c r="BJ18" s="66">
        <v>0.30299999999999999</v>
      </c>
      <c r="BK18" s="64">
        <f t="shared" si="30"/>
        <v>105.61056105610561</v>
      </c>
      <c r="BL18" s="64">
        <f t="shared" si="31"/>
        <v>1.7601760176017601E-2</v>
      </c>
      <c r="BM18" s="29">
        <v>1764</v>
      </c>
      <c r="BN18" s="28">
        <f t="shared" si="32"/>
        <v>159</v>
      </c>
      <c r="BO18" s="27">
        <v>0.30280000000000001</v>
      </c>
      <c r="BP18" s="28">
        <f t="shared" si="33"/>
        <v>525.09907529722591</v>
      </c>
      <c r="BQ18" s="28">
        <f t="shared" si="34"/>
        <v>8.7516512549537656E-2</v>
      </c>
      <c r="BR18" s="35">
        <v>1872</v>
      </c>
      <c r="BS18" s="34">
        <f t="shared" si="35"/>
        <v>186</v>
      </c>
      <c r="BT18" s="33">
        <v>0.31540000000000001</v>
      </c>
      <c r="BU18" s="34">
        <f t="shared" si="61"/>
        <v>589.72733037412809</v>
      </c>
      <c r="BV18" s="34"/>
      <c r="BW18" s="29">
        <v>2799</v>
      </c>
      <c r="BX18" s="28">
        <f t="shared" si="37"/>
        <v>807</v>
      </c>
      <c r="BY18" s="27">
        <v>0.30530000000000002</v>
      </c>
      <c r="BZ18" s="28">
        <f t="shared" si="38"/>
        <v>2643.3016704880442</v>
      </c>
      <c r="CA18" s="28"/>
      <c r="CB18" s="35">
        <v>2366</v>
      </c>
      <c r="CC18" s="34">
        <f t="shared" si="39"/>
        <v>436</v>
      </c>
      <c r="CD18" s="33">
        <v>0.32219999999999999</v>
      </c>
      <c r="CE18" s="34">
        <f t="shared" si="40"/>
        <v>1353.1967721911856</v>
      </c>
      <c r="CF18" s="34"/>
      <c r="CG18" s="7">
        <v>3291</v>
      </c>
      <c r="CH18" s="7">
        <f t="shared" si="41"/>
        <v>1801</v>
      </c>
      <c r="CI18" s="7"/>
      <c r="CJ18" s="7"/>
      <c r="CL18" s="32">
        <v>1490</v>
      </c>
      <c r="CM18" s="27">
        <v>0.35820000000000002</v>
      </c>
      <c r="CN18" s="28">
        <v>0.253</v>
      </c>
      <c r="CO18" s="28">
        <f t="shared" si="42"/>
        <v>1.4158102766798419</v>
      </c>
      <c r="CP18" s="28"/>
      <c r="CQ18" s="55">
        <v>3798</v>
      </c>
      <c r="CR18" s="57">
        <f t="shared" si="43"/>
        <v>1745</v>
      </c>
      <c r="CS18">
        <v>0.26569999999999999</v>
      </c>
      <c r="CT18" s="71">
        <f t="shared" si="44"/>
        <v>6567.5573955589016</v>
      </c>
      <c r="CU18" s="35">
        <v>1858</v>
      </c>
      <c r="CV18" s="34">
        <f t="shared" si="45"/>
        <v>231</v>
      </c>
      <c r="CW18" s="33">
        <v>0.25939999999999996</v>
      </c>
      <c r="CX18" s="34">
        <f t="shared" si="46"/>
        <v>890.51657671549742</v>
      </c>
      <c r="CY18" s="34"/>
      <c r="CZ18" s="29">
        <v>1554</v>
      </c>
      <c r="DA18" s="28">
        <f t="shared" si="47"/>
        <v>54</v>
      </c>
      <c r="DB18" s="27">
        <v>0.24099999999999999</v>
      </c>
      <c r="DC18" s="28">
        <f t="shared" si="48"/>
        <v>224.06639004149378</v>
      </c>
      <c r="DD18" s="28"/>
      <c r="DE18" s="55">
        <v>1655</v>
      </c>
      <c r="DF18" s="56">
        <f t="shared" si="49"/>
        <v>222</v>
      </c>
      <c r="DG18" s="59">
        <v>0.23680000000000001</v>
      </c>
      <c r="DH18" s="56">
        <f t="shared" si="50"/>
        <v>937.5</v>
      </c>
      <c r="DI18" s="56"/>
      <c r="DJ18" s="35">
        <v>1785</v>
      </c>
      <c r="DK18" s="34">
        <f t="shared" si="0"/>
        <v>145</v>
      </c>
      <c r="DL18" s="34">
        <v>0.2359</v>
      </c>
      <c r="DM18" s="34">
        <f t="shared" si="51"/>
        <v>614.66723187791433</v>
      </c>
      <c r="DN18" s="34"/>
      <c r="DO18" s="65">
        <v>2860</v>
      </c>
      <c r="DP18" s="64">
        <f t="shared" si="52"/>
        <v>855</v>
      </c>
      <c r="DQ18" s="64">
        <v>0.22869999999999996</v>
      </c>
      <c r="DR18" s="64">
        <f t="shared" si="53"/>
        <v>3738.5220813292531</v>
      </c>
      <c r="DS18" s="64"/>
      <c r="DT18" s="55">
        <v>2423</v>
      </c>
      <c r="DU18" s="56">
        <f t="shared" si="54"/>
        <v>568</v>
      </c>
      <c r="DV18" s="56">
        <v>0.2722</v>
      </c>
      <c r="DW18" s="56">
        <f t="shared" si="55"/>
        <v>2086.7009551800147</v>
      </c>
      <c r="DX18" s="56"/>
      <c r="DY18" s="1">
        <v>3205</v>
      </c>
      <c r="DZ18">
        <f t="shared" si="56"/>
        <v>1706</v>
      </c>
      <c r="ED18" s="37">
        <v>1499</v>
      </c>
      <c r="EE18" s="34">
        <f t="shared" si="57"/>
        <v>58</v>
      </c>
      <c r="EF18" s="34">
        <v>0.3221</v>
      </c>
      <c r="EG18" s="34">
        <f t="shared" si="58"/>
        <v>180.06830176963675</v>
      </c>
      <c r="EH18" s="34"/>
      <c r="EI18" s="74">
        <v>5474</v>
      </c>
      <c r="EJ18" s="73">
        <f t="shared" si="59"/>
        <v>2995</v>
      </c>
      <c r="EK18" s="73">
        <v>0.3276</v>
      </c>
      <c r="EL18" s="73">
        <f t="shared" si="60"/>
        <v>9142.2466422466423</v>
      </c>
      <c r="EM18" s="73"/>
    </row>
    <row r="19" spans="1:143" x14ac:dyDescent="0.2">
      <c r="A19" s="10">
        <v>3.3293372222222222</v>
      </c>
      <c r="B19" s="29">
        <v>1647</v>
      </c>
      <c r="C19" s="28">
        <f t="shared" si="1"/>
        <v>129</v>
      </c>
      <c r="D19" s="32">
        <v>0.309</v>
      </c>
      <c r="E19" s="32">
        <v>0.20379999999999998</v>
      </c>
      <c r="F19" s="52">
        <f t="shared" si="2"/>
        <v>632.97350343474</v>
      </c>
      <c r="G19" s="28">
        <f t="shared" si="3"/>
        <v>0.10549558390579</v>
      </c>
      <c r="H19" s="55">
        <v>1649</v>
      </c>
      <c r="I19" s="56">
        <f t="shared" si="4"/>
        <v>49</v>
      </c>
      <c r="J19" s="59">
        <v>0.29820000000000002</v>
      </c>
      <c r="K19" s="59">
        <v>0.19260000000000002</v>
      </c>
      <c r="L19" s="54">
        <f t="shared" si="5"/>
        <v>48.807400000000001</v>
      </c>
      <c r="M19" s="56">
        <f t="shared" si="6"/>
        <v>8.1345666666666674E-3</v>
      </c>
      <c r="N19" s="29">
        <v>1725</v>
      </c>
      <c r="O19" s="28">
        <f t="shared" si="7"/>
        <v>84</v>
      </c>
      <c r="P19" s="32">
        <v>0.29859999999999998</v>
      </c>
      <c r="Q19" s="32">
        <v>0.19329999999999997</v>
      </c>
      <c r="R19" s="52">
        <f t="shared" si="8"/>
        <v>434.55768235902747</v>
      </c>
      <c r="S19" s="28">
        <f t="shared" si="9"/>
        <v>7.2426280393171241E-2</v>
      </c>
      <c r="T19" s="55">
        <v>1784</v>
      </c>
      <c r="U19" s="56">
        <f t="shared" si="10"/>
        <v>116</v>
      </c>
      <c r="V19" s="59">
        <v>0.29799999999999999</v>
      </c>
      <c r="W19" s="59">
        <v>0.193</v>
      </c>
      <c r="X19" s="54">
        <f t="shared" si="11"/>
        <v>601.03626943005179</v>
      </c>
      <c r="Y19">
        <f t="shared" si="12"/>
        <v>0.1001727115716753</v>
      </c>
      <c r="Z19" s="29">
        <v>2460</v>
      </c>
      <c r="AA19" s="28">
        <f t="shared" si="13"/>
        <v>577</v>
      </c>
      <c r="AB19" s="32">
        <v>0.30349999999999999</v>
      </c>
      <c r="AC19" s="32">
        <v>0.19409999999999999</v>
      </c>
      <c r="AD19" s="52">
        <f t="shared" si="14"/>
        <v>2972.6944873776406</v>
      </c>
      <c r="AE19" s="28">
        <f t="shared" si="15"/>
        <v>0.49544908122960679</v>
      </c>
      <c r="AF19" s="55">
        <v>2024</v>
      </c>
      <c r="AG19" s="56">
        <f t="shared" si="16"/>
        <v>306</v>
      </c>
      <c r="AH19" s="59">
        <v>0.32119999999999999</v>
      </c>
      <c r="AI19" s="59">
        <v>0.21289999999999998</v>
      </c>
      <c r="AJ19" s="54">
        <f t="shared" si="17"/>
        <v>1437.294504462189</v>
      </c>
      <c r="AK19" s="56">
        <f t="shared" si="18"/>
        <v>0.23954908407703152</v>
      </c>
      <c r="AL19" s="7">
        <v>2682</v>
      </c>
      <c r="AM19" s="7">
        <f t="shared" si="19"/>
        <v>1047</v>
      </c>
      <c r="AN19" s="7">
        <v>0.35630000000000001</v>
      </c>
      <c r="AO19" s="7">
        <v>0.25119999999999998</v>
      </c>
      <c r="AP19" s="7">
        <v>-1.3815058443880934</v>
      </c>
      <c r="AQ19" s="32">
        <v>1635</v>
      </c>
      <c r="AR19" s="28"/>
      <c r="AS19" s="27">
        <f t="shared" si="20"/>
        <v>50</v>
      </c>
      <c r="AT19" s="32">
        <v>0.25119999999999998</v>
      </c>
      <c r="AU19" s="28">
        <f t="shared" si="21"/>
        <v>199.04458598726117</v>
      </c>
      <c r="AV19" s="55">
        <v>3534</v>
      </c>
      <c r="AW19" s="56">
        <f t="shared" si="22"/>
        <v>1045</v>
      </c>
      <c r="AX19" s="59">
        <v>0.37830000000000003</v>
      </c>
      <c r="AY19" s="59">
        <v>0.27050000000000002</v>
      </c>
      <c r="AZ19" s="55">
        <f t="shared" si="23"/>
        <v>3863.216266173752</v>
      </c>
      <c r="BA19" s="55">
        <f t="shared" si="24"/>
        <v>0.64386937769562536</v>
      </c>
      <c r="BB19" s="82">
        <v>1598</v>
      </c>
      <c r="BC19">
        <f t="shared" si="25"/>
        <v>-57</v>
      </c>
      <c r="BD19" s="10">
        <v>0.14760000000000001</v>
      </c>
      <c r="BE19">
        <f t="shared" si="26"/>
        <v>-386.17886178861784</v>
      </c>
      <c r="BF19">
        <f t="shared" si="27"/>
        <v>-6.4363143631436304E-2</v>
      </c>
      <c r="BG19">
        <f t="shared" si="28"/>
        <v>-6.4363143631436304E-2</v>
      </c>
      <c r="BH19" s="65">
        <v>1589</v>
      </c>
      <c r="BI19" s="64">
        <f t="shared" si="29"/>
        <v>42</v>
      </c>
      <c r="BJ19" s="68">
        <v>0.32869999999999999</v>
      </c>
      <c r="BK19" s="64">
        <f t="shared" si="30"/>
        <v>127.77608761788865</v>
      </c>
      <c r="BL19" s="64">
        <f t="shared" si="31"/>
        <v>2.1296014602981441E-2</v>
      </c>
      <c r="BM19" s="29">
        <v>1729</v>
      </c>
      <c r="BN19" s="28">
        <f t="shared" si="32"/>
        <v>124</v>
      </c>
      <c r="BO19" s="32">
        <v>0.32679999999999998</v>
      </c>
      <c r="BP19" s="28">
        <f t="shared" si="33"/>
        <v>379.43696450428399</v>
      </c>
      <c r="BQ19" s="28">
        <f t="shared" si="34"/>
        <v>6.3239494084047332E-2</v>
      </c>
      <c r="BR19" s="35">
        <v>1878</v>
      </c>
      <c r="BS19" s="34">
        <f t="shared" si="35"/>
        <v>192</v>
      </c>
      <c r="BT19" s="37">
        <v>0.33579999999999999</v>
      </c>
      <c r="BU19" s="34">
        <f t="shared" si="61"/>
        <v>571.76891006551523</v>
      </c>
      <c r="BV19" s="34"/>
      <c r="BW19" s="29">
        <v>2757</v>
      </c>
      <c r="BX19" s="28">
        <f t="shared" si="37"/>
        <v>765</v>
      </c>
      <c r="BY19" s="32">
        <v>0.32350000000000001</v>
      </c>
      <c r="BZ19" s="28">
        <f t="shared" si="38"/>
        <v>2364.7604327666149</v>
      </c>
      <c r="CA19" s="28"/>
      <c r="CB19" s="35">
        <v>2347</v>
      </c>
      <c r="CC19" s="34">
        <f t="shared" si="39"/>
        <v>417</v>
      </c>
      <c r="CD19" s="37">
        <v>0.34810000000000002</v>
      </c>
      <c r="CE19" s="34">
        <f t="shared" si="40"/>
        <v>1197.9316288422867</v>
      </c>
      <c r="CF19" s="34"/>
      <c r="CG19" s="7">
        <v>3284</v>
      </c>
      <c r="CH19" s="7">
        <f t="shared" si="41"/>
        <v>1790</v>
      </c>
      <c r="CI19" s="7"/>
      <c r="CJ19" s="7"/>
      <c r="CL19" s="32">
        <v>1494</v>
      </c>
      <c r="CM19" s="32">
        <v>0.4148</v>
      </c>
      <c r="CN19" s="32">
        <v>0.30959999999999999</v>
      </c>
      <c r="CO19" s="28">
        <f t="shared" si="42"/>
        <v>1.3397932816537468</v>
      </c>
      <c r="CP19" s="28"/>
      <c r="CQ19" s="55">
        <v>3904</v>
      </c>
      <c r="CR19" s="57">
        <f t="shared" si="43"/>
        <v>1851</v>
      </c>
      <c r="CS19">
        <v>0.33119999999999999</v>
      </c>
      <c r="CT19" s="71">
        <f t="shared" si="44"/>
        <v>5588.768115942029</v>
      </c>
      <c r="CU19" s="35">
        <v>1862</v>
      </c>
      <c r="CV19" s="34">
        <f t="shared" si="45"/>
        <v>235</v>
      </c>
      <c r="CW19" s="37">
        <v>0.31140000000000001</v>
      </c>
      <c r="CX19" s="34">
        <f t="shared" si="46"/>
        <v>754.6563904945408</v>
      </c>
      <c r="CY19" s="34"/>
      <c r="CZ19" s="29">
        <v>1545</v>
      </c>
      <c r="DA19" s="28">
        <f t="shared" si="47"/>
        <v>45</v>
      </c>
      <c r="DB19" s="32">
        <v>0.28129999999999999</v>
      </c>
      <c r="DC19" s="28">
        <f t="shared" si="48"/>
        <v>159.97156061144685</v>
      </c>
      <c r="DD19" s="28"/>
      <c r="DE19" s="55">
        <v>1639</v>
      </c>
      <c r="DF19" s="56">
        <f t="shared" si="49"/>
        <v>206</v>
      </c>
      <c r="DG19" s="59">
        <v>0.28420000000000001</v>
      </c>
      <c r="DH19" s="56">
        <f t="shared" si="50"/>
        <v>724.84166080225191</v>
      </c>
      <c r="DI19" s="56"/>
      <c r="DJ19" s="35">
        <v>1797</v>
      </c>
      <c r="DK19" s="34">
        <f t="shared" si="0"/>
        <v>157</v>
      </c>
      <c r="DL19" s="34">
        <v>0.28089999999999998</v>
      </c>
      <c r="DM19" s="34">
        <f t="shared" si="51"/>
        <v>558.91776432894267</v>
      </c>
      <c r="DN19" s="34"/>
      <c r="DO19" s="65">
        <v>2844</v>
      </c>
      <c r="DP19" s="64">
        <f t="shared" si="52"/>
        <v>839</v>
      </c>
      <c r="DQ19" s="64">
        <v>0.27459999999999996</v>
      </c>
      <c r="DR19" s="64">
        <f t="shared" si="53"/>
        <v>3055.3532410779321</v>
      </c>
      <c r="DS19" s="64"/>
      <c r="DT19" s="55">
        <v>2415</v>
      </c>
      <c r="DU19" s="56">
        <f t="shared" si="54"/>
        <v>560</v>
      </c>
      <c r="DV19" s="56">
        <v>0.33179999999999998</v>
      </c>
      <c r="DW19" s="56">
        <f t="shared" si="55"/>
        <v>1687.7637130801688</v>
      </c>
      <c r="DX19" s="56"/>
      <c r="DY19" s="1">
        <v>3178</v>
      </c>
      <c r="DZ19">
        <f t="shared" si="56"/>
        <v>1635</v>
      </c>
      <c r="ED19" s="37">
        <v>1543</v>
      </c>
      <c r="EE19" s="34">
        <f t="shared" si="57"/>
        <v>102</v>
      </c>
      <c r="EF19" s="34">
        <v>0.39389999999999997</v>
      </c>
      <c r="EG19" s="34">
        <f t="shared" si="58"/>
        <v>258.94897182025898</v>
      </c>
      <c r="EH19" s="34"/>
      <c r="EI19" s="74">
        <v>5965</v>
      </c>
      <c r="EJ19" s="73">
        <f t="shared" si="59"/>
        <v>3486</v>
      </c>
      <c r="EK19" s="73">
        <v>0.41259999999999997</v>
      </c>
      <c r="EL19" s="73">
        <f t="shared" si="60"/>
        <v>8448.8608822103743</v>
      </c>
      <c r="EM19" s="73"/>
    </row>
    <row r="20" spans="1:143" x14ac:dyDescent="0.2">
      <c r="A20" s="10">
        <v>3.5670933333333332</v>
      </c>
      <c r="B20" s="29">
        <v>1710</v>
      </c>
      <c r="C20" s="28">
        <f t="shared" si="1"/>
        <v>192</v>
      </c>
      <c r="D20" s="32">
        <v>0.32529999999999998</v>
      </c>
      <c r="E20" s="32">
        <v>0.22009999999999996</v>
      </c>
      <c r="F20" s="28">
        <f t="shared" si="2"/>
        <v>872.33075874602469</v>
      </c>
      <c r="G20" s="28">
        <f t="shared" si="3"/>
        <v>0.14538845979100412</v>
      </c>
      <c r="H20" s="55">
        <v>1653</v>
      </c>
      <c r="I20" s="56">
        <f t="shared" si="4"/>
        <v>53</v>
      </c>
      <c r="J20" s="59">
        <v>0.29580000000000001</v>
      </c>
      <c r="K20" s="59">
        <v>0.19020000000000001</v>
      </c>
      <c r="L20" s="58">
        <f t="shared" si="5"/>
        <v>52.809800000000003</v>
      </c>
      <c r="M20" s="56">
        <f t="shared" si="6"/>
        <v>8.8016333333333346E-3</v>
      </c>
      <c r="N20" s="29">
        <v>1744</v>
      </c>
      <c r="O20" s="28">
        <f t="shared" si="7"/>
        <v>103</v>
      </c>
      <c r="P20" s="32">
        <v>0.29459999999999997</v>
      </c>
      <c r="Q20" s="32">
        <v>0.18929999999999997</v>
      </c>
      <c r="R20" s="52">
        <f t="shared" si="8"/>
        <v>544.10987849973594</v>
      </c>
      <c r="S20" s="28">
        <f t="shared" si="9"/>
        <v>9.0684979749955985E-2</v>
      </c>
      <c r="T20" s="55">
        <v>1815</v>
      </c>
      <c r="U20" s="56">
        <f t="shared" si="10"/>
        <v>147</v>
      </c>
      <c r="V20" s="59">
        <v>0.30559999999999998</v>
      </c>
      <c r="W20" s="59">
        <v>0.2006</v>
      </c>
      <c r="X20" s="56">
        <f t="shared" si="11"/>
        <v>732.80159521435689</v>
      </c>
      <c r="Y20">
        <f t="shared" si="12"/>
        <v>0.12213359920239282</v>
      </c>
      <c r="Z20" s="29">
        <v>2543</v>
      </c>
      <c r="AA20" s="28">
        <f t="shared" si="13"/>
        <v>660</v>
      </c>
      <c r="AB20" s="32">
        <v>0.31059999999999999</v>
      </c>
      <c r="AC20" s="32">
        <v>0.20119999999999999</v>
      </c>
      <c r="AD20" s="52">
        <f t="shared" si="14"/>
        <v>3280.3180914512923</v>
      </c>
      <c r="AE20" s="28">
        <f t="shared" si="15"/>
        <v>0.54671968190854869</v>
      </c>
      <c r="AF20" s="55">
        <v>2062</v>
      </c>
      <c r="AG20" s="56">
        <f t="shared" si="16"/>
        <v>344</v>
      </c>
      <c r="AH20" s="59">
        <v>0.3342</v>
      </c>
      <c r="AI20" s="59">
        <v>0.22589999999999999</v>
      </c>
      <c r="AJ20" s="54">
        <f t="shared" si="17"/>
        <v>1522.7976980965029</v>
      </c>
      <c r="AK20" s="56">
        <f t="shared" si="18"/>
        <v>0.25379961634941717</v>
      </c>
      <c r="AL20" s="7">
        <v>2753</v>
      </c>
      <c r="AM20" s="7">
        <f t="shared" si="19"/>
        <v>1099</v>
      </c>
      <c r="AN20" s="7">
        <v>0.35520000000000002</v>
      </c>
      <c r="AO20" s="7">
        <v>0.25009999999999999</v>
      </c>
      <c r="AP20" s="7">
        <v>-1.3858944410985636</v>
      </c>
      <c r="AQ20" s="32">
        <v>1654</v>
      </c>
      <c r="AR20" s="28"/>
      <c r="AS20" s="27">
        <f t="shared" si="20"/>
        <v>69</v>
      </c>
      <c r="AT20" s="32">
        <v>0.25009999999999999</v>
      </c>
      <c r="AU20" s="28">
        <f t="shared" si="21"/>
        <v>275.88964414234306</v>
      </c>
      <c r="AV20" s="55">
        <v>3725</v>
      </c>
      <c r="AW20" s="56">
        <f t="shared" si="22"/>
        <v>1236</v>
      </c>
      <c r="AX20" s="59">
        <v>0.36709999999999998</v>
      </c>
      <c r="AY20" s="59">
        <v>0.25929999999999997</v>
      </c>
      <c r="AZ20" s="55">
        <f t="shared" si="23"/>
        <v>4766.6795217894332</v>
      </c>
      <c r="BA20" s="55">
        <f t="shared" si="24"/>
        <v>0.79444658696490555</v>
      </c>
      <c r="BB20" s="82">
        <v>1646</v>
      </c>
      <c r="BC20">
        <f t="shared" si="25"/>
        <v>-9</v>
      </c>
      <c r="BD20" s="10">
        <v>0.16250000000000001</v>
      </c>
      <c r="BE20">
        <f t="shared" si="26"/>
        <v>-55.38461538461538</v>
      </c>
      <c r="BF20">
        <f t="shared" si="27"/>
        <v>-9.2307692307692299E-3</v>
      </c>
      <c r="BG20">
        <f t="shared" si="28"/>
        <v>-9.2307692307692299E-3</v>
      </c>
      <c r="BH20" s="65">
        <v>1631</v>
      </c>
      <c r="BI20" s="64">
        <f t="shared" si="29"/>
        <v>38</v>
      </c>
      <c r="BJ20" s="68">
        <v>0.34970000000000001</v>
      </c>
      <c r="BK20" s="64">
        <f t="shared" si="30"/>
        <v>108.66456963111239</v>
      </c>
      <c r="BL20" s="64">
        <f t="shared" si="31"/>
        <v>1.8110761605185398E-2</v>
      </c>
      <c r="BM20" s="29">
        <v>1791</v>
      </c>
      <c r="BN20" s="28">
        <f t="shared" si="32"/>
        <v>186</v>
      </c>
      <c r="BO20" s="32">
        <v>0.34520000000000001</v>
      </c>
      <c r="BP20" s="28">
        <f t="shared" si="33"/>
        <v>538.81807647740436</v>
      </c>
      <c r="BQ20" s="28">
        <f t="shared" si="34"/>
        <v>8.9803012746234062E-2</v>
      </c>
      <c r="BR20" s="35">
        <v>1916</v>
      </c>
      <c r="BS20" s="34">
        <f t="shared" si="35"/>
        <v>230</v>
      </c>
      <c r="BT20" s="37">
        <v>0.35320000000000001</v>
      </c>
      <c r="BU20" s="34">
        <f t="shared" si="61"/>
        <v>651.18912797281996</v>
      </c>
      <c r="BV20" s="34"/>
      <c r="BW20" s="29">
        <v>2819</v>
      </c>
      <c r="BX20" s="28">
        <f t="shared" si="37"/>
        <v>827</v>
      </c>
      <c r="BY20" s="32">
        <v>0.33829999999999999</v>
      </c>
      <c r="BZ20" s="28">
        <f t="shared" si="38"/>
        <v>2444.5758202778597</v>
      </c>
      <c r="CA20" s="28"/>
      <c r="CB20" s="35">
        <v>2405</v>
      </c>
      <c r="CC20" s="34">
        <f t="shared" si="39"/>
        <v>475</v>
      </c>
      <c r="CD20" s="37">
        <v>0.36509999999999998</v>
      </c>
      <c r="CE20" s="34">
        <f t="shared" si="40"/>
        <v>1301.0134209805533</v>
      </c>
      <c r="CF20" s="34"/>
      <c r="CG20" s="7">
        <v>3331</v>
      </c>
      <c r="CH20" s="7">
        <f t="shared" si="41"/>
        <v>1811</v>
      </c>
      <c r="CI20" s="7"/>
      <c r="CJ20" s="7"/>
      <c r="CL20" s="32">
        <v>1520</v>
      </c>
      <c r="CM20" s="32">
        <v>0.44379999999999997</v>
      </c>
      <c r="CN20" s="32">
        <v>0.33859999999999996</v>
      </c>
      <c r="CO20" s="28">
        <f t="shared" si="42"/>
        <v>1.3106910809214414</v>
      </c>
      <c r="CP20" s="28"/>
      <c r="CQ20" s="55">
        <v>4267</v>
      </c>
      <c r="CR20" s="57">
        <f t="shared" si="43"/>
        <v>2214</v>
      </c>
      <c r="CS20">
        <v>0.36509999999999998</v>
      </c>
      <c r="CT20" s="71">
        <f t="shared" si="44"/>
        <v>6064.0920295809374</v>
      </c>
      <c r="CU20" s="35">
        <v>1932</v>
      </c>
      <c r="CV20" s="34">
        <f t="shared" si="45"/>
        <v>305</v>
      </c>
      <c r="CW20" s="37">
        <v>0.32319999999999999</v>
      </c>
      <c r="CX20" s="34">
        <f t="shared" si="46"/>
        <v>943.68811881188128</v>
      </c>
      <c r="CY20" s="34"/>
      <c r="CZ20" s="29">
        <v>1577</v>
      </c>
      <c r="DA20" s="28">
        <f t="shared" si="47"/>
        <v>77</v>
      </c>
      <c r="DB20" s="32">
        <v>0.31420000000000003</v>
      </c>
      <c r="DC20" s="28">
        <f t="shared" si="48"/>
        <v>245.06683640992995</v>
      </c>
      <c r="DD20" s="28"/>
      <c r="DE20" s="55">
        <v>1707</v>
      </c>
      <c r="DF20" s="56">
        <f t="shared" si="49"/>
        <v>274</v>
      </c>
      <c r="DG20" s="56">
        <v>0.30759999999999998</v>
      </c>
      <c r="DH20" s="56">
        <f t="shared" si="50"/>
        <v>890.76723016905078</v>
      </c>
      <c r="DI20" s="56"/>
      <c r="DJ20" s="35">
        <v>1836</v>
      </c>
      <c r="DK20" s="34">
        <f t="shared" si="0"/>
        <v>196</v>
      </c>
      <c r="DL20" s="34">
        <v>0.30809999999999998</v>
      </c>
      <c r="DM20" s="34">
        <f t="shared" si="51"/>
        <v>636.15709185329445</v>
      </c>
      <c r="DN20" s="34"/>
      <c r="DO20" s="65">
        <v>2957</v>
      </c>
      <c r="DP20" s="64">
        <f t="shared" si="52"/>
        <v>952</v>
      </c>
      <c r="DQ20" s="64">
        <v>0.30179999999999996</v>
      </c>
      <c r="DR20" s="64">
        <f t="shared" si="53"/>
        <v>3154.4068919814449</v>
      </c>
      <c r="DS20" s="64"/>
      <c r="DT20" s="55">
        <v>2459</v>
      </c>
      <c r="DU20" s="56">
        <f t="shared" si="54"/>
        <v>604</v>
      </c>
      <c r="DV20" s="56">
        <v>0.3669</v>
      </c>
      <c r="DW20" s="56">
        <f t="shared" si="55"/>
        <v>1646.2251294630689</v>
      </c>
      <c r="DX20" s="56"/>
      <c r="DY20" s="1">
        <v>3272</v>
      </c>
      <c r="DZ20">
        <f t="shared" si="56"/>
        <v>1703</v>
      </c>
      <c r="ED20" s="37">
        <v>1569</v>
      </c>
      <c r="EE20" s="34">
        <f t="shared" si="57"/>
        <v>128</v>
      </c>
      <c r="EF20" s="34">
        <v>0.43399999999999994</v>
      </c>
      <c r="EG20" s="34">
        <f t="shared" si="58"/>
        <v>294.9308755760369</v>
      </c>
      <c r="EH20" s="34"/>
      <c r="EI20" s="74">
        <v>6558</v>
      </c>
      <c r="EJ20" s="73">
        <f t="shared" si="59"/>
        <v>4079</v>
      </c>
      <c r="EK20" s="73">
        <v>0.47570000000000001</v>
      </c>
      <c r="EL20" s="73">
        <f t="shared" si="60"/>
        <v>8574.7319739331506</v>
      </c>
      <c r="EM20" s="73"/>
    </row>
    <row r="21" spans="1:143" x14ac:dyDescent="0.2">
      <c r="A21" s="11">
        <v>3.8049416666666671</v>
      </c>
      <c r="B21" s="29">
        <v>1718</v>
      </c>
      <c r="C21" s="28">
        <f t="shared" si="1"/>
        <v>200</v>
      </c>
      <c r="D21" s="31">
        <v>0.3664</v>
      </c>
      <c r="E21" s="31">
        <v>0.26119999999999999</v>
      </c>
      <c r="F21" s="28">
        <f t="shared" si="2"/>
        <v>765.69678407350693</v>
      </c>
      <c r="G21" s="28">
        <f t="shared" si="3"/>
        <v>0.12761613067891783</v>
      </c>
      <c r="H21" s="55">
        <v>1679</v>
      </c>
      <c r="I21" s="56">
        <f t="shared" si="4"/>
        <v>79</v>
      </c>
      <c r="J21" s="57">
        <v>0.33729999999999999</v>
      </c>
      <c r="K21" s="56">
        <v>0.23169999999999999</v>
      </c>
      <c r="L21" s="56">
        <f t="shared" si="5"/>
        <v>78.768299999999996</v>
      </c>
      <c r="M21" s="56">
        <f t="shared" si="6"/>
        <v>1.3128049999999999E-2</v>
      </c>
      <c r="N21" s="29">
        <v>1779</v>
      </c>
      <c r="O21" s="28">
        <f t="shared" si="7"/>
        <v>138</v>
      </c>
      <c r="P21" s="27">
        <v>0.32679999999999998</v>
      </c>
      <c r="Q21" s="28">
        <v>0.22149999999999997</v>
      </c>
      <c r="R21" s="28">
        <f t="shared" si="8"/>
        <v>623.02483069977438</v>
      </c>
      <c r="S21" s="28">
        <f t="shared" si="9"/>
        <v>0.10383747178329573</v>
      </c>
      <c r="T21" s="55">
        <v>1793</v>
      </c>
      <c r="U21" s="56">
        <f t="shared" si="10"/>
        <v>125</v>
      </c>
      <c r="V21" s="57">
        <v>0.3291</v>
      </c>
      <c r="W21" s="56">
        <v>0.22410000000000002</v>
      </c>
      <c r="X21" s="56">
        <f t="shared" si="11"/>
        <v>557.78670236501557</v>
      </c>
      <c r="Y21">
        <f t="shared" si="12"/>
        <v>9.2964450394169257E-2</v>
      </c>
      <c r="Z21" s="29">
        <v>2577</v>
      </c>
      <c r="AA21" s="28">
        <f t="shared" si="13"/>
        <v>694</v>
      </c>
      <c r="AB21" s="27">
        <v>0.32600000000000001</v>
      </c>
      <c r="AC21" s="28">
        <v>0.21660000000000001</v>
      </c>
      <c r="AD21" s="28">
        <f t="shared" si="14"/>
        <v>3204.0627885503231</v>
      </c>
      <c r="AE21" s="28">
        <f t="shared" si="15"/>
        <v>0.5340104647583872</v>
      </c>
      <c r="AF21" s="55">
        <v>2100</v>
      </c>
      <c r="AG21" s="56">
        <f t="shared" si="16"/>
        <v>382</v>
      </c>
      <c r="AH21" s="57">
        <v>0.36049999999999999</v>
      </c>
      <c r="AI21" s="56">
        <v>0.25219999999999998</v>
      </c>
      <c r="AJ21" s="56">
        <f t="shared" si="17"/>
        <v>1514.6708961141951</v>
      </c>
      <c r="AK21" s="56">
        <f t="shared" si="18"/>
        <v>0.25244514935236584</v>
      </c>
      <c r="AL21" s="7">
        <v>2760</v>
      </c>
      <c r="AM21" s="7">
        <f t="shared" si="19"/>
        <v>1088</v>
      </c>
      <c r="AN21" s="7">
        <v>0.39190000000000003</v>
      </c>
      <c r="AO21" s="7">
        <v>0.28680000000000005</v>
      </c>
      <c r="AP21" s="7">
        <v>-1.2489701702566716</v>
      </c>
      <c r="AQ21" s="32">
        <v>1672</v>
      </c>
      <c r="AR21" s="28"/>
      <c r="AS21" s="27">
        <f t="shared" si="20"/>
        <v>87</v>
      </c>
      <c r="AT21" s="28">
        <v>0.28680000000000005</v>
      </c>
      <c r="AU21" s="28">
        <f t="shared" si="21"/>
        <v>303.347280334728</v>
      </c>
      <c r="AV21" s="55">
        <v>3889</v>
      </c>
      <c r="AW21" s="56">
        <f t="shared" si="22"/>
        <v>1400</v>
      </c>
      <c r="AX21" s="57">
        <v>0.41010000000000002</v>
      </c>
      <c r="AY21" s="56">
        <v>0.30230000000000001</v>
      </c>
      <c r="AZ21" s="55">
        <f t="shared" si="23"/>
        <v>4631.1610982467746</v>
      </c>
      <c r="BA21" s="55">
        <f t="shared" si="24"/>
        <v>0.77186018304112913</v>
      </c>
      <c r="BB21" s="82">
        <v>1651</v>
      </c>
      <c r="BC21">
        <f t="shared" si="25"/>
        <v>-4</v>
      </c>
      <c r="BD21" s="11">
        <v>0.19109999999999999</v>
      </c>
      <c r="BE21">
        <f t="shared" si="26"/>
        <v>-20.931449502878074</v>
      </c>
      <c r="BF21">
        <f t="shared" si="27"/>
        <v>-3.4885749171463458E-3</v>
      </c>
      <c r="BG21">
        <f t="shared" si="28"/>
        <v>-3.4885749171463458E-3</v>
      </c>
      <c r="BH21" s="65">
        <v>1609</v>
      </c>
      <c r="BI21" s="64">
        <f t="shared" si="29"/>
        <v>-8</v>
      </c>
      <c r="BJ21" s="66">
        <v>0.39129999999999998</v>
      </c>
      <c r="BK21" s="64">
        <f t="shared" si="30"/>
        <v>-20.444671607462308</v>
      </c>
      <c r="BL21" s="64">
        <f t="shared" si="31"/>
        <v>-3.4074452679103847E-3</v>
      </c>
      <c r="BM21" s="29">
        <v>1803</v>
      </c>
      <c r="BN21" s="28">
        <f t="shared" si="32"/>
        <v>198</v>
      </c>
      <c r="BO21" s="27">
        <v>0.38159999999999999</v>
      </c>
      <c r="BP21" s="28">
        <f t="shared" si="33"/>
        <v>518.86792452830184</v>
      </c>
      <c r="BQ21" s="28">
        <f t="shared" si="34"/>
        <v>8.6477987421383642E-2</v>
      </c>
      <c r="BR21" s="35">
        <v>1896</v>
      </c>
      <c r="BS21" s="34">
        <f t="shared" si="35"/>
        <v>210</v>
      </c>
      <c r="BT21" s="33">
        <v>0.39240000000000003</v>
      </c>
      <c r="BU21" s="34">
        <f t="shared" si="61"/>
        <v>535.16819571865437</v>
      </c>
      <c r="BV21" s="34"/>
      <c r="BW21" s="29">
        <v>2829</v>
      </c>
      <c r="BX21" s="28">
        <f t="shared" si="37"/>
        <v>837</v>
      </c>
      <c r="BY21" s="27">
        <v>0.37469999999999998</v>
      </c>
      <c r="BZ21" s="28">
        <f t="shared" si="38"/>
        <v>2233.7870296236993</v>
      </c>
      <c r="CA21" s="28"/>
      <c r="CB21" s="35">
        <v>2408</v>
      </c>
      <c r="CC21" s="34">
        <f t="shared" si="39"/>
        <v>478</v>
      </c>
      <c r="CD21" s="33">
        <v>0.40360000000000001</v>
      </c>
      <c r="CE21" s="34">
        <f t="shared" si="40"/>
        <v>1184.3409316154607</v>
      </c>
      <c r="CF21" s="34"/>
      <c r="CG21" s="7">
        <v>3366</v>
      </c>
      <c r="CH21" s="7">
        <f t="shared" si="41"/>
        <v>1783</v>
      </c>
      <c r="CI21" s="7"/>
      <c r="CJ21" s="7"/>
      <c r="CL21" s="32">
        <v>1583</v>
      </c>
      <c r="CM21" s="27">
        <v>0.47689999999999999</v>
      </c>
      <c r="CN21" s="28">
        <v>0.37169999999999997</v>
      </c>
      <c r="CO21" s="28">
        <f t="shared" si="42"/>
        <v>1.2830239440408933</v>
      </c>
      <c r="CP21" s="28"/>
      <c r="CQ21" s="55">
        <v>4698</v>
      </c>
      <c r="CR21" s="57">
        <f t="shared" si="43"/>
        <v>2645</v>
      </c>
      <c r="CS21">
        <v>0.39780000000000004</v>
      </c>
      <c r="CT21" s="71">
        <f t="shared" si="44"/>
        <v>6649.0698843640012</v>
      </c>
      <c r="CU21" s="35">
        <v>1975</v>
      </c>
      <c r="CV21" s="34">
        <f t="shared" si="45"/>
        <v>348</v>
      </c>
      <c r="CW21" s="36">
        <v>0.40699999999999997</v>
      </c>
      <c r="CX21" s="34">
        <f t="shared" si="46"/>
        <v>855.03685503685506</v>
      </c>
      <c r="CY21" s="34"/>
      <c r="CZ21" s="29">
        <v>1605</v>
      </c>
      <c r="DA21" s="28">
        <f t="shared" si="47"/>
        <v>105</v>
      </c>
      <c r="DB21" s="27">
        <v>0.36410000000000003</v>
      </c>
      <c r="DC21" s="28">
        <f t="shared" si="48"/>
        <v>288.3823125514968</v>
      </c>
      <c r="DD21" s="28"/>
      <c r="DE21" s="55">
        <v>1714</v>
      </c>
      <c r="DF21" s="56">
        <f t="shared" si="49"/>
        <v>281</v>
      </c>
      <c r="DG21" s="56">
        <v>0.36459999999999998</v>
      </c>
      <c r="DH21" s="56">
        <f t="shared" si="50"/>
        <v>770.70762479429516</v>
      </c>
      <c r="DI21" s="56"/>
      <c r="DJ21" s="35">
        <v>1891</v>
      </c>
      <c r="DK21" s="34">
        <f t="shared" si="0"/>
        <v>251</v>
      </c>
      <c r="DL21" s="34">
        <v>0.35670000000000002</v>
      </c>
      <c r="DM21" s="34">
        <f t="shared" si="51"/>
        <v>703.67255396691894</v>
      </c>
      <c r="DN21" s="34"/>
      <c r="DO21" s="65">
        <v>2978</v>
      </c>
      <c r="DP21" s="64">
        <f t="shared" si="52"/>
        <v>973</v>
      </c>
      <c r="DQ21" s="64">
        <v>0.35069999999999996</v>
      </c>
      <c r="DR21" s="64">
        <f t="shared" si="53"/>
        <v>2774.4510978043913</v>
      </c>
      <c r="DS21" s="64"/>
      <c r="DT21" s="55">
        <v>2463</v>
      </c>
      <c r="DU21" s="56">
        <f t="shared" si="54"/>
        <v>608</v>
      </c>
      <c r="DV21" s="56">
        <v>0.39979999999999999</v>
      </c>
      <c r="DW21" s="56">
        <f t="shared" si="55"/>
        <v>1520.760380190095</v>
      </c>
      <c r="DX21" s="56"/>
      <c r="DY21" s="1">
        <v>3312</v>
      </c>
      <c r="DZ21">
        <f t="shared" si="56"/>
        <v>1734</v>
      </c>
      <c r="ED21" s="37">
        <v>1578</v>
      </c>
      <c r="EE21" s="34">
        <f t="shared" si="57"/>
        <v>137</v>
      </c>
      <c r="EF21" s="34">
        <v>0.46330000000000005</v>
      </c>
      <c r="EG21" s="34">
        <f t="shared" si="58"/>
        <v>295.70472695877396</v>
      </c>
      <c r="EH21" s="34"/>
      <c r="EI21" s="74">
        <v>8152</v>
      </c>
      <c r="EJ21" s="73">
        <f t="shared" si="59"/>
        <v>5673</v>
      </c>
      <c r="EK21" s="73">
        <v>0.49229999999999996</v>
      </c>
      <c r="EL21" s="73">
        <f t="shared" si="60"/>
        <v>11523.461304082877</v>
      </c>
      <c r="EM21" s="73"/>
    </row>
    <row r="22" spans="1:143" x14ac:dyDescent="0.2">
      <c r="A22" s="11">
        <v>4.0427038888888891</v>
      </c>
      <c r="B22" s="29">
        <v>1716</v>
      </c>
      <c r="C22" s="28">
        <f t="shared" si="1"/>
        <v>198</v>
      </c>
      <c r="D22" s="31">
        <v>0.41210000000000002</v>
      </c>
      <c r="E22" s="31">
        <v>0.30690000000000001</v>
      </c>
      <c r="F22" s="28">
        <f t="shared" si="2"/>
        <v>645.16129032258061</v>
      </c>
      <c r="G22" s="28">
        <f t="shared" si="3"/>
        <v>0.1075268817204301</v>
      </c>
      <c r="H22" s="55">
        <v>1668</v>
      </c>
      <c r="I22" s="56">
        <f t="shared" si="4"/>
        <v>68</v>
      </c>
      <c r="J22" s="57">
        <v>0.38009999999999999</v>
      </c>
      <c r="K22" s="56">
        <v>0.27449999999999997</v>
      </c>
      <c r="L22" s="56">
        <f t="shared" si="5"/>
        <v>67.725499999999997</v>
      </c>
      <c r="M22" s="56">
        <f t="shared" si="6"/>
        <v>1.1287583333333333E-2</v>
      </c>
      <c r="N22" s="29">
        <v>1799</v>
      </c>
      <c r="O22" s="28">
        <f t="shared" si="7"/>
        <v>158</v>
      </c>
      <c r="P22" s="27">
        <v>0.36359999999999998</v>
      </c>
      <c r="Q22" s="28">
        <v>0.25829999999999997</v>
      </c>
      <c r="R22" s="28">
        <f t="shared" si="8"/>
        <v>611.69183120402636</v>
      </c>
      <c r="S22" s="28">
        <f t="shared" si="9"/>
        <v>0.10194863853400439</v>
      </c>
      <c r="T22" s="55">
        <v>1841</v>
      </c>
      <c r="U22" s="56">
        <f t="shared" si="10"/>
        <v>173</v>
      </c>
      <c r="V22" s="57">
        <v>0.36280000000000001</v>
      </c>
      <c r="W22" s="56">
        <v>0.25780000000000003</v>
      </c>
      <c r="X22" s="56">
        <f t="shared" si="11"/>
        <v>671.06283941039555</v>
      </c>
      <c r="Y22">
        <f t="shared" si="12"/>
        <v>0.11184380656839926</v>
      </c>
      <c r="Z22" s="29">
        <v>2550</v>
      </c>
      <c r="AA22" s="28">
        <f t="shared" si="13"/>
        <v>667</v>
      </c>
      <c r="AB22" s="27">
        <v>0.35580000000000001</v>
      </c>
      <c r="AC22" s="28">
        <v>0.24640000000000001</v>
      </c>
      <c r="AD22" s="28">
        <f t="shared" si="14"/>
        <v>2706.9805194805194</v>
      </c>
      <c r="AE22" s="28">
        <f t="shared" si="15"/>
        <v>0.45116341991341991</v>
      </c>
      <c r="AF22" s="55">
        <v>2052</v>
      </c>
      <c r="AG22" s="56">
        <f t="shared" si="16"/>
        <v>334</v>
      </c>
      <c r="AH22" s="57">
        <v>0.39479999999999998</v>
      </c>
      <c r="AI22" s="56">
        <v>0.28649999999999998</v>
      </c>
      <c r="AJ22" s="58">
        <f t="shared" si="17"/>
        <v>1165.7940663176266</v>
      </c>
      <c r="AK22" s="56">
        <f t="shared" si="18"/>
        <v>0.19429901105293776</v>
      </c>
      <c r="AL22" s="7">
        <v>2702</v>
      </c>
      <c r="AM22" s="7">
        <f t="shared" si="19"/>
        <v>1035</v>
      </c>
      <c r="AN22" s="7">
        <v>0.42849999999999999</v>
      </c>
      <c r="AO22" s="7">
        <v>0.32340000000000002</v>
      </c>
      <c r="AP22" s="7">
        <v>-1.1288653318391306</v>
      </c>
      <c r="AQ22" s="32">
        <v>1667</v>
      </c>
      <c r="AR22" s="28"/>
      <c r="AS22" s="27">
        <f t="shared" si="20"/>
        <v>82</v>
      </c>
      <c r="AT22" s="28">
        <v>0.32340000000000002</v>
      </c>
      <c r="AU22" s="28">
        <f t="shared" si="21"/>
        <v>253.5559678416821</v>
      </c>
      <c r="AV22" s="55">
        <v>3821</v>
      </c>
      <c r="AW22" s="56">
        <f t="shared" si="22"/>
        <v>1332</v>
      </c>
      <c r="AX22" s="57">
        <v>0.47320000000000001</v>
      </c>
      <c r="AY22" s="56">
        <v>0.3654</v>
      </c>
      <c r="AZ22" s="55">
        <f t="shared" si="23"/>
        <v>3645.3201970443351</v>
      </c>
      <c r="BA22" s="55">
        <f t="shared" si="24"/>
        <v>0.60755336617405586</v>
      </c>
      <c r="BB22" s="82">
        <v>1649</v>
      </c>
      <c r="BC22">
        <f t="shared" si="25"/>
        <v>-6</v>
      </c>
      <c r="BD22" s="11">
        <v>0.2266</v>
      </c>
      <c r="BE22">
        <f t="shared" si="26"/>
        <v>-26.4783759929391</v>
      </c>
      <c r="BF22">
        <f t="shared" si="27"/>
        <v>-4.4130626654898496E-3</v>
      </c>
      <c r="BG22">
        <f t="shared" si="28"/>
        <v>-4.4130626654898496E-3</v>
      </c>
      <c r="BH22" s="65">
        <v>1619</v>
      </c>
      <c r="BI22" s="64">
        <f t="shared" si="29"/>
        <v>12</v>
      </c>
      <c r="BJ22" s="66">
        <v>0.4481</v>
      </c>
      <c r="BK22" s="64">
        <f t="shared" si="30"/>
        <v>26.779736665922787</v>
      </c>
      <c r="BL22" s="64">
        <f t="shared" si="31"/>
        <v>4.4632894443204646E-3</v>
      </c>
      <c r="BM22" s="29">
        <v>1798</v>
      </c>
      <c r="BN22" s="28">
        <f t="shared" si="32"/>
        <v>193</v>
      </c>
      <c r="BO22" s="27">
        <v>0.43419999999999997</v>
      </c>
      <c r="BP22" s="28">
        <f t="shared" si="33"/>
        <v>444.49562413634271</v>
      </c>
      <c r="BQ22" s="28">
        <f t="shared" si="34"/>
        <v>7.4082604022723791E-2</v>
      </c>
      <c r="BR22" s="35">
        <v>1929</v>
      </c>
      <c r="BS22" s="34">
        <f t="shared" si="35"/>
        <v>243</v>
      </c>
      <c r="BT22" s="33">
        <v>0.43859999999999999</v>
      </c>
      <c r="BU22" s="34">
        <f t="shared" si="61"/>
        <v>554.03556771545834</v>
      </c>
      <c r="BV22" s="34"/>
      <c r="BW22" s="29">
        <v>2808</v>
      </c>
      <c r="BX22" s="28">
        <f t="shared" si="37"/>
        <v>816</v>
      </c>
      <c r="BY22" s="27">
        <v>0.42120000000000002</v>
      </c>
      <c r="BZ22" s="28">
        <f t="shared" si="38"/>
        <v>1937.3219373219372</v>
      </c>
      <c r="CA22" s="28"/>
      <c r="CB22" s="35">
        <v>2366</v>
      </c>
      <c r="CC22" s="34">
        <f t="shared" si="39"/>
        <v>436</v>
      </c>
      <c r="CD22" s="33">
        <v>0.44829999999999998</v>
      </c>
      <c r="CE22" s="34">
        <f t="shared" si="40"/>
        <v>972.56301583760876</v>
      </c>
      <c r="CF22" s="34"/>
      <c r="CG22" s="7">
        <v>3296</v>
      </c>
      <c r="CH22" s="7">
        <f t="shared" si="41"/>
        <v>1702</v>
      </c>
      <c r="CI22" s="7"/>
      <c r="CJ22" s="7"/>
      <c r="CL22" s="32">
        <v>1594</v>
      </c>
      <c r="CM22" s="27">
        <v>0.52200000000000002</v>
      </c>
      <c r="CN22" s="28">
        <v>0.4168</v>
      </c>
      <c r="CO22" s="28">
        <f t="shared" si="42"/>
        <v>1.2523992322456814</v>
      </c>
      <c r="CP22" s="28"/>
      <c r="CQ22" s="55">
        <v>4623</v>
      </c>
      <c r="CR22" s="57">
        <f t="shared" si="43"/>
        <v>2570</v>
      </c>
      <c r="CS22">
        <v>0.44550000000000001</v>
      </c>
      <c r="CT22" s="71">
        <f t="shared" si="44"/>
        <v>5768.7991021324351</v>
      </c>
      <c r="CU22" s="35">
        <v>1916</v>
      </c>
      <c r="CV22" s="34">
        <f t="shared" si="45"/>
        <v>289</v>
      </c>
      <c r="CW22" s="36">
        <v>0.48099999999999993</v>
      </c>
      <c r="CX22" s="34">
        <f t="shared" si="46"/>
        <v>600.83160083160089</v>
      </c>
      <c r="CY22" s="34"/>
      <c r="CZ22" s="29">
        <v>1626</v>
      </c>
      <c r="DA22" s="28">
        <f t="shared" si="47"/>
        <v>126</v>
      </c>
      <c r="DB22" s="27">
        <v>0.42300000000000004</v>
      </c>
      <c r="DC22" s="28">
        <f t="shared" si="48"/>
        <v>297.87234042553189</v>
      </c>
      <c r="DD22" s="28"/>
      <c r="DE22" s="55">
        <v>1708</v>
      </c>
      <c r="DF22" s="56">
        <f t="shared" si="49"/>
        <v>275</v>
      </c>
      <c r="DG22" s="56">
        <v>0.41560000000000002</v>
      </c>
      <c r="DH22" s="56">
        <f t="shared" si="50"/>
        <v>661.69393647738207</v>
      </c>
      <c r="DI22" s="56"/>
      <c r="DJ22" s="35">
        <v>1877</v>
      </c>
      <c r="DK22" s="34">
        <f t="shared" si="0"/>
        <v>237</v>
      </c>
      <c r="DL22" s="34">
        <v>0.4083</v>
      </c>
      <c r="DM22" s="34">
        <f t="shared" si="51"/>
        <v>580.45554739162378</v>
      </c>
      <c r="DN22" s="34"/>
      <c r="DO22" s="65">
        <v>2973</v>
      </c>
      <c r="DP22" s="64">
        <f t="shared" si="52"/>
        <v>968</v>
      </c>
      <c r="DQ22" s="64">
        <v>0.40700000000000003</v>
      </c>
      <c r="DR22" s="64">
        <f t="shared" si="53"/>
        <v>2378.3783783783783</v>
      </c>
      <c r="DS22" s="64"/>
      <c r="DT22" s="55">
        <v>2422</v>
      </c>
      <c r="DU22" s="56">
        <f t="shared" si="54"/>
        <v>567</v>
      </c>
      <c r="DV22" s="56">
        <v>0.44139999999999996</v>
      </c>
      <c r="DW22" s="56">
        <f t="shared" si="55"/>
        <v>1284.5491617580426</v>
      </c>
      <c r="DX22" s="56"/>
      <c r="DY22" s="1">
        <v>3198</v>
      </c>
      <c r="DZ22">
        <f t="shared" si="56"/>
        <v>1629</v>
      </c>
      <c r="ED22" s="37">
        <v>1569</v>
      </c>
      <c r="EE22" s="34">
        <f t="shared" si="57"/>
        <v>128</v>
      </c>
      <c r="EF22" s="34">
        <v>0.49980000000000002</v>
      </c>
      <c r="EG22" s="34">
        <f t="shared" si="58"/>
        <v>256.10244097639054</v>
      </c>
      <c r="EH22" s="34"/>
      <c r="EI22" s="74">
        <v>8247</v>
      </c>
      <c r="EJ22" s="73">
        <f t="shared" si="59"/>
        <v>5768</v>
      </c>
      <c r="EK22" s="73">
        <v>0.54649999999999999</v>
      </c>
      <c r="EL22" s="73">
        <f t="shared" si="60"/>
        <v>10554.437328453798</v>
      </c>
      <c r="EM22" s="73"/>
    </row>
    <row r="23" spans="1:143" x14ac:dyDescent="0.2">
      <c r="A23" s="11">
        <v>4.2804622222222228</v>
      </c>
      <c r="B23" s="29">
        <v>1768</v>
      </c>
      <c r="C23" s="28">
        <f t="shared" si="1"/>
        <v>250</v>
      </c>
      <c r="D23" s="31">
        <v>0.42809999999999998</v>
      </c>
      <c r="E23" s="31">
        <v>0.32289999999999996</v>
      </c>
      <c r="F23" s="28">
        <f t="shared" si="2"/>
        <v>774.2335088262621</v>
      </c>
      <c r="G23" s="28">
        <f t="shared" si="3"/>
        <v>0.12903891813771035</v>
      </c>
      <c r="H23" s="55">
        <v>1755</v>
      </c>
      <c r="I23" s="56">
        <f t="shared" si="4"/>
        <v>155</v>
      </c>
      <c r="J23" s="57">
        <v>0.39340000000000003</v>
      </c>
      <c r="K23" s="56">
        <v>0.28780000000000006</v>
      </c>
      <c r="L23" s="56">
        <f>I23-K23</f>
        <v>154.7122</v>
      </c>
      <c r="M23" s="56">
        <f t="shared" si="6"/>
        <v>2.5785366666666667E-2</v>
      </c>
      <c r="N23" s="29">
        <v>1817</v>
      </c>
      <c r="O23" s="28">
        <f t="shared" si="7"/>
        <v>176</v>
      </c>
      <c r="P23" s="27">
        <v>0.37769999999999998</v>
      </c>
      <c r="Q23" s="28">
        <v>0.27239999999999998</v>
      </c>
      <c r="R23" s="28">
        <f t="shared" si="8"/>
        <v>646.10866372980911</v>
      </c>
      <c r="S23" s="28">
        <f t="shared" si="9"/>
        <v>0.10768477728830152</v>
      </c>
      <c r="T23" s="55">
        <v>1858</v>
      </c>
      <c r="U23" s="56">
        <f t="shared" si="10"/>
        <v>190</v>
      </c>
      <c r="V23" s="57">
        <v>0.38229999999999997</v>
      </c>
      <c r="W23" s="56">
        <v>0.27729999999999999</v>
      </c>
      <c r="X23" s="56">
        <f t="shared" si="11"/>
        <v>685.17850703209524</v>
      </c>
      <c r="Y23">
        <f t="shared" si="12"/>
        <v>0.11419641783868253</v>
      </c>
      <c r="Z23" s="29">
        <v>2631</v>
      </c>
      <c r="AA23" s="28">
        <f t="shared" si="13"/>
        <v>748</v>
      </c>
      <c r="AB23" s="27">
        <v>0.37759999999999999</v>
      </c>
      <c r="AC23" s="28">
        <v>0.26819999999999999</v>
      </c>
      <c r="AD23" s="28">
        <f t="shared" si="14"/>
        <v>2788.9634601043999</v>
      </c>
      <c r="AE23" s="28">
        <f t="shared" si="15"/>
        <v>0.46482724335073333</v>
      </c>
      <c r="AF23" s="55">
        <v>2117</v>
      </c>
      <c r="AG23" s="56">
        <f t="shared" si="16"/>
        <v>399</v>
      </c>
      <c r="AH23" s="57">
        <v>0.41489999999999999</v>
      </c>
      <c r="AI23" s="56">
        <v>0.30659999999999998</v>
      </c>
      <c r="AJ23" s="56">
        <f t="shared" si="17"/>
        <v>1301.3698630136987</v>
      </c>
      <c r="AK23" s="56">
        <f t="shared" si="18"/>
        <v>0.21689497716894979</v>
      </c>
      <c r="AL23" s="7">
        <v>2745</v>
      </c>
      <c r="AM23" s="7">
        <f t="shared" si="19"/>
        <v>1047</v>
      </c>
      <c r="AN23" s="7">
        <v>0.44969999999999999</v>
      </c>
      <c r="AO23" s="7">
        <v>0.34460000000000002</v>
      </c>
      <c r="AP23" s="7">
        <v>-1.0653709548883077</v>
      </c>
      <c r="AQ23" s="32">
        <v>1698</v>
      </c>
      <c r="AR23" s="28"/>
      <c r="AS23" s="27">
        <f t="shared" si="20"/>
        <v>113</v>
      </c>
      <c r="AT23" s="28">
        <v>0.34460000000000002</v>
      </c>
      <c r="AU23" s="28">
        <f t="shared" si="21"/>
        <v>327.91642484039465</v>
      </c>
      <c r="AV23" s="55">
        <v>3946</v>
      </c>
      <c r="AW23" s="56">
        <f t="shared" si="22"/>
        <v>1457</v>
      </c>
      <c r="AX23" s="57">
        <v>0.48649999999999999</v>
      </c>
      <c r="AY23" s="56">
        <v>0.37869999999999998</v>
      </c>
      <c r="AZ23" s="55">
        <f t="shared" si="23"/>
        <v>3847.3725904409825</v>
      </c>
      <c r="BA23" s="55">
        <f t="shared" si="24"/>
        <v>0.64122876507349713</v>
      </c>
      <c r="BB23" s="82">
        <v>1677</v>
      </c>
      <c r="BC23">
        <f t="shared" si="25"/>
        <v>22</v>
      </c>
      <c r="BD23" s="11">
        <v>0.26219999999999999</v>
      </c>
      <c r="BE23">
        <f t="shared" si="26"/>
        <v>83.905415713196035</v>
      </c>
      <c r="BF23">
        <f t="shared" si="27"/>
        <v>1.398423595219934E-2</v>
      </c>
      <c r="BG23">
        <f t="shared" si="28"/>
        <v>1.398423595219934E-2</v>
      </c>
      <c r="BH23" s="65">
        <v>1645</v>
      </c>
      <c r="BI23" s="64">
        <f t="shared" si="29"/>
        <v>3</v>
      </c>
      <c r="BJ23" s="66">
        <v>0.48349999999999999</v>
      </c>
      <c r="BK23" s="64">
        <f t="shared" si="30"/>
        <v>6.2047569803516032</v>
      </c>
      <c r="BL23" s="64">
        <f t="shared" si="31"/>
        <v>1.0341261633919339E-3</v>
      </c>
      <c r="BM23" s="29">
        <v>1844</v>
      </c>
      <c r="BN23" s="28">
        <f t="shared" si="32"/>
        <v>239</v>
      </c>
      <c r="BO23" s="27">
        <v>0.4627</v>
      </c>
      <c r="BP23" s="28">
        <f t="shared" si="33"/>
        <v>516.53339096606874</v>
      </c>
      <c r="BQ23" s="28">
        <f t="shared" si="34"/>
        <v>8.6088898494344784E-2</v>
      </c>
      <c r="BR23" s="35">
        <v>1992</v>
      </c>
      <c r="BS23" s="34">
        <f t="shared" si="35"/>
        <v>306</v>
      </c>
      <c r="BT23" s="33">
        <v>0.46560000000000001</v>
      </c>
      <c r="BU23" s="34">
        <f t="shared" si="61"/>
        <v>657.21649484536078</v>
      </c>
      <c r="BV23" s="34"/>
      <c r="BW23" s="29">
        <v>2834</v>
      </c>
      <c r="BX23" s="28">
        <f t="shared" si="37"/>
        <v>842</v>
      </c>
      <c r="BY23" s="27">
        <v>0.4456</v>
      </c>
      <c r="BZ23" s="28">
        <f t="shared" si="38"/>
        <v>1889.5870736086176</v>
      </c>
      <c r="CA23" s="28"/>
      <c r="CB23" s="35">
        <v>2448</v>
      </c>
      <c r="CC23" s="34">
        <f t="shared" si="39"/>
        <v>518</v>
      </c>
      <c r="CD23" s="33">
        <v>0.4713</v>
      </c>
      <c r="CE23" s="34">
        <f t="shared" si="40"/>
        <v>1099.087629959686</v>
      </c>
      <c r="CF23" s="34"/>
      <c r="CG23" s="7">
        <v>3333</v>
      </c>
      <c r="CH23" s="7">
        <f t="shared" si="41"/>
        <v>1723</v>
      </c>
      <c r="CI23" s="7"/>
      <c r="CJ23" s="7"/>
      <c r="CL23" s="32">
        <v>1610</v>
      </c>
      <c r="CM23" s="27">
        <v>0.54200000000000004</v>
      </c>
      <c r="CN23" s="28">
        <v>0.43680000000000002</v>
      </c>
      <c r="CO23" s="28">
        <f t="shared" si="42"/>
        <v>1.2408424908424909</v>
      </c>
      <c r="CP23" s="28"/>
      <c r="CQ23" s="55">
        <v>4696</v>
      </c>
      <c r="CR23" s="57">
        <f t="shared" si="43"/>
        <v>2643</v>
      </c>
      <c r="CS23">
        <v>0.47640000000000005</v>
      </c>
      <c r="CT23" s="71">
        <f t="shared" si="44"/>
        <v>5547.8589420654907</v>
      </c>
      <c r="CU23" s="35">
        <v>1995</v>
      </c>
      <c r="CV23" s="34">
        <f t="shared" si="45"/>
        <v>368</v>
      </c>
      <c r="CW23" s="36">
        <v>0.46329999999999999</v>
      </c>
      <c r="CX23" s="34">
        <f t="shared" si="46"/>
        <v>794.30174832721775</v>
      </c>
      <c r="CY23" s="34"/>
      <c r="CZ23" s="29">
        <v>1676</v>
      </c>
      <c r="DA23" s="28">
        <f t="shared" si="47"/>
        <v>176</v>
      </c>
      <c r="DB23" s="27">
        <v>0.44879999999999998</v>
      </c>
      <c r="DC23" s="28">
        <f t="shared" si="48"/>
        <v>392.15686274509807</v>
      </c>
      <c r="DD23" s="28"/>
      <c r="DE23" s="55">
        <v>1727</v>
      </c>
      <c r="DF23" s="56">
        <f t="shared" si="49"/>
        <v>294</v>
      </c>
      <c r="DG23" s="56">
        <v>0.44260000000000005</v>
      </c>
      <c r="DH23" s="56">
        <f t="shared" si="50"/>
        <v>664.25666516041565</v>
      </c>
      <c r="DI23" s="56"/>
      <c r="DJ23" s="35">
        <v>1919</v>
      </c>
      <c r="DK23" s="34">
        <f t="shared" si="0"/>
        <v>279</v>
      </c>
      <c r="DL23" s="34">
        <v>0.43540000000000001</v>
      </c>
      <c r="DM23" s="34">
        <f t="shared" si="51"/>
        <v>640.79007808911342</v>
      </c>
      <c r="DN23" s="34"/>
      <c r="DO23" s="65">
        <v>3019</v>
      </c>
      <c r="DP23" s="64">
        <f t="shared" si="52"/>
        <v>1014</v>
      </c>
      <c r="DQ23" s="64">
        <v>0.43389999999999995</v>
      </c>
      <c r="DR23" s="64">
        <f t="shared" si="53"/>
        <v>2336.9439963125146</v>
      </c>
      <c r="DS23" s="64"/>
      <c r="DT23" s="55">
        <v>2484</v>
      </c>
      <c r="DU23" s="56">
        <f t="shared" si="54"/>
        <v>629</v>
      </c>
      <c r="DV23" s="56">
        <v>0.46869999999999995</v>
      </c>
      <c r="DW23" s="56">
        <f t="shared" si="55"/>
        <v>1342.0098143802006</v>
      </c>
      <c r="DX23" s="56"/>
      <c r="DY23" s="1">
        <v>3191</v>
      </c>
      <c r="DZ23">
        <f t="shared" si="56"/>
        <v>1622</v>
      </c>
      <c r="ED23" s="37">
        <v>1569</v>
      </c>
      <c r="EE23" s="34">
        <f t="shared" si="57"/>
        <v>128</v>
      </c>
      <c r="EF23" s="34">
        <v>0.51639999999999997</v>
      </c>
      <c r="EG23" s="34">
        <f t="shared" si="58"/>
        <v>247.86986831913248</v>
      </c>
      <c r="EH23" s="34"/>
      <c r="EI23" s="74">
        <v>8297</v>
      </c>
      <c r="EJ23" s="73">
        <f t="shared" si="59"/>
        <v>5818</v>
      </c>
      <c r="EK23" s="73">
        <v>0.56459999999999999</v>
      </c>
      <c r="EL23" s="73">
        <f t="shared" si="60"/>
        <v>10304.640453418349</v>
      </c>
      <c r="EM23" s="73"/>
    </row>
    <row r="24" spans="1:143" x14ac:dyDescent="0.2">
      <c r="A24" s="11">
        <v>4.5183066666666667</v>
      </c>
      <c r="B24" s="29">
        <v>1769</v>
      </c>
      <c r="C24" s="28">
        <f t="shared" si="1"/>
        <v>251</v>
      </c>
      <c r="D24" s="31">
        <v>0.44190000000000002</v>
      </c>
      <c r="E24" s="31">
        <v>0.3367</v>
      </c>
      <c r="F24" s="28">
        <f t="shared" si="2"/>
        <v>745.47074547074544</v>
      </c>
      <c r="G24" s="28">
        <f t="shared" si="3"/>
        <v>0.12424512424512424</v>
      </c>
      <c r="H24" s="55">
        <v>1738</v>
      </c>
      <c r="I24" s="56">
        <f t="shared" si="4"/>
        <v>138</v>
      </c>
      <c r="J24" s="57">
        <v>0.42330000000000001</v>
      </c>
      <c r="K24" s="56">
        <v>0.31769999999999998</v>
      </c>
      <c r="L24" s="56">
        <f t="shared" si="5"/>
        <v>137.6823</v>
      </c>
      <c r="M24" s="56">
        <f t="shared" si="6"/>
        <v>2.294705E-2</v>
      </c>
      <c r="N24" s="29">
        <v>1829</v>
      </c>
      <c r="O24" s="28">
        <f t="shared" si="7"/>
        <v>188</v>
      </c>
      <c r="P24" s="27">
        <v>0.40079999999999999</v>
      </c>
      <c r="Q24" s="28">
        <v>0.29549999999999998</v>
      </c>
      <c r="R24" s="28">
        <f t="shared" si="8"/>
        <v>636.20981387478855</v>
      </c>
      <c r="S24" s="28">
        <f t="shared" si="9"/>
        <v>0.10603496897913142</v>
      </c>
      <c r="T24" s="55">
        <v>1846</v>
      </c>
      <c r="U24" s="56">
        <f t="shared" si="10"/>
        <v>178</v>
      </c>
      <c r="V24" s="57">
        <v>0.40749999999999997</v>
      </c>
      <c r="W24" s="56">
        <v>0.30249999999999999</v>
      </c>
      <c r="X24" s="56">
        <f t="shared" si="11"/>
        <v>588.42975206611573</v>
      </c>
      <c r="Y24">
        <f t="shared" si="12"/>
        <v>9.8071625344352625E-2</v>
      </c>
      <c r="Z24" s="29">
        <v>2566</v>
      </c>
      <c r="AA24" s="28">
        <f t="shared" si="13"/>
        <v>683</v>
      </c>
      <c r="AB24" s="27">
        <v>0.39129999999999998</v>
      </c>
      <c r="AC24" s="28">
        <v>0.28189999999999998</v>
      </c>
      <c r="AD24" s="78">
        <f t="shared" si="14"/>
        <v>2422.8449804895354</v>
      </c>
      <c r="AE24" s="28">
        <f t="shared" si="15"/>
        <v>0.40380749674825589</v>
      </c>
      <c r="AF24" s="55">
        <v>2095</v>
      </c>
      <c r="AG24" s="56">
        <f t="shared" si="16"/>
        <v>377</v>
      </c>
      <c r="AH24" s="57">
        <v>0.43070000000000003</v>
      </c>
      <c r="AI24" s="56">
        <v>0.32240000000000002</v>
      </c>
      <c r="AJ24" s="56">
        <f t="shared" si="17"/>
        <v>1169.3548387096773</v>
      </c>
      <c r="AK24" s="56">
        <f t="shared" si="18"/>
        <v>0.19489247311827956</v>
      </c>
      <c r="AL24" s="7">
        <v>2727</v>
      </c>
      <c r="AM24" s="7">
        <f t="shared" si="19"/>
        <v>1007</v>
      </c>
      <c r="AN24" s="7">
        <v>0.47110000000000002</v>
      </c>
      <c r="AO24" s="7">
        <v>0.36599999999999999</v>
      </c>
      <c r="AP24" s="7">
        <v>-1.0051219455807707</v>
      </c>
      <c r="AQ24" s="32">
        <v>1720</v>
      </c>
      <c r="AR24" s="28"/>
      <c r="AS24" s="27">
        <f t="shared" si="20"/>
        <v>135</v>
      </c>
      <c r="AT24" s="28">
        <v>0.36599999999999999</v>
      </c>
      <c r="AU24" s="28">
        <f t="shared" si="21"/>
        <v>368.85245901639342</v>
      </c>
      <c r="AV24" s="55">
        <v>4013</v>
      </c>
      <c r="AW24" s="56">
        <f t="shared" si="22"/>
        <v>1524</v>
      </c>
      <c r="AX24" s="57">
        <v>0.5091</v>
      </c>
      <c r="AY24" s="56">
        <v>0.40129999999999999</v>
      </c>
      <c r="AZ24" s="55">
        <f t="shared" si="23"/>
        <v>3797.6576127585349</v>
      </c>
      <c r="BA24" s="55">
        <f t="shared" si="24"/>
        <v>0.63294293545975577</v>
      </c>
      <c r="BB24" s="82">
        <v>1713</v>
      </c>
      <c r="BC24">
        <f t="shared" si="25"/>
        <v>58</v>
      </c>
      <c r="BD24" s="11">
        <v>0.29389999999999999</v>
      </c>
      <c r="BE24">
        <f t="shared" si="26"/>
        <v>197.34603606668935</v>
      </c>
      <c r="BF24">
        <f t="shared" si="27"/>
        <v>3.2891006011114894E-2</v>
      </c>
      <c r="BG24">
        <f t="shared" si="28"/>
        <v>3.2891006011114894E-2</v>
      </c>
      <c r="BH24" s="65">
        <v>1691</v>
      </c>
      <c r="BI24" s="64">
        <f t="shared" si="29"/>
        <v>27</v>
      </c>
      <c r="BJ24" s="66">
        <v>0.49959999999999999</v>
      </c>
      <c r="BK24" s="64">
        <f t="shared" si="30"/>
        <v>54.043234587670135</v>
      </c>
      <c r="BL24" s="64">
        <f t="shared" si="31"/>
        <v>9.007205764611689E-3</v>
      </c>
      <c r="BM24" s="29">
        <v>1844</v>
      </c>
      <c r="BN24" s="28">
        <f t="shared" si="32"/>
        <v>239</v>
      </c>
      <c r="BO24" s="27">
        <v>0.48220000000000002</v>
      </c>
      <c r="BP24" s="28">
        <f t="shared" si="33"/>
        <v>495.64496059726252</v>
      </c>
      <c r="BQ24" s="28">
        <f t="shared" si="34"/>
        <v>8.2607493432877085E-2</v>
      </c>
      <c r="BR24" s="35">
        <v>1976</v>
      </c>
      <c r="BS24" s="34">
        <f t="shared" si="35"/>
        <v>290</v>
      </c>
      <c r="BT24" s="33">
        <v>0.48470000000000002</v>
      </c>
      <c r="BU24" s="34">
        <f t="shared" si="61"/>
        <v>598.30823189601813</v>
      </c>
      <c r="BV24" s="34"/>
      <c r="BW24" s="29">
        <v>2856</v>
      </c>
      <c r="BX24" s="28">
        <f t="shared" si="37"/>
        <v>864</v>
      </c>
      <c r="BY24" s="27">
        <v>0.47020000000000001</v>
      </c>
      <c r="BZ24" s="28">
        <f t="shared" si="38"/>
        <v>1837.5159506592938</v>
      </c>
      <c r="CA24" s="28"/>
      <c r="CB24" s="35">
        <v>2415</v>
      </c>
      <c r="CC24" s="34">
        <f t="shared" si="39"/>
        <v>485</v>
      </c>
      <c r="CD24" s="33">
        <v>0.49130000000000001</v>
      </c>
      <c r="CE24" s="34">
        <f t="shared" si="40"/>
        <v>987.17687767148379</v>
      </c>
      <c r="CF24" s="34"/>
      <c r="CG24" s="7">
        <v>3274</v>
      </c>
      <c r="CH24" s="7">
        <f t="shared" si="41"/>
        <v>1672</v>
      </c>
      <c r="CI24" s="7"/>
      <c r="CJ24" s="7"/>
      <c r="CL24" s="32">
        <v>1602</v>
      </c>
      <c r="CM24" s="27">
        <v>0.55910000000000004</v>
      </c>
      <c r="CN24" s="28">
        <v>0.45390000000000003</v>
      </c>
      <c r="CO24" s="28">
        <f t="shared" si="42"/>
        <v>1.2317691121392378</v>
      </c>
      <c r="CP24" s="28"/>
      <c r="CQ24" s="55">
        <v>4706</v>
      </c>
      <c r="CR24" s="57">
        <f t="shared" si="43"/>
        <v>2653</v>
      </c>
      <c r="CS24">
        <v>0.49009999999999998</v>
      </c>
      <c r="CT24" s="71">
        <f t="shared" si="44"/>
        <v>5413.180983472761</v>
      </c>
      <c r="CU24" s="35">
        <v>2005</v>
      </c>
      <c r="CV24" s="34">
        <f t="shared" si="45"/>
        <v>378</v>
      </c>
      <c r="CW24" s="36">
        <v>0.53939999999999999</v>
      </c>
      <c r="CX24" s="34">
        <f t="shared" si="46"/>
        <v>700.77864293659627</v>
      </c>
      <c r="CY24" s="34"/>
      <c r="CZ24" s="29">
        <v>1674</v>
      </c>
      <c r="DA24" s="28">
        <f t="shared" si="47"/>
        <v>174</v>
      </c>
      <c r="DB24" s="27">
        <v>0.46879999999999999</v>
      </c>
      <c r="DC24" s="28">
        <f t="shared" si="48"/>
        <v>371.16040955631399</v>
      </c>
      <c r="DD24" s="28"/>
      <c r="DE24" s="55">
        <v>1739</v>
      </c>
      <c r="DF24" s="56">
        <f t="shared" si="49"/>
        <v>306</v>
      </c>
      <c r="DG24" s="56">
        <v>0.46710000000000002</v>
      </c>
      <c r="DH24" s="56">
        <f t="shared" si="50"/>
        <v>655.10597302504812</v>
      </c>
      <c r="DI24" s="56"/>
      <c r="DJ24" s="35">
        <v>1915</v>
      </c>
      <c r="DK24" s="34">
        <f t="shared" si="0"/>
        <v>275</v>
      </c>
      <c r="DL24" s="34">
        <v>0.45450000000000002</v>
      </c>
      <c r="DM24" s="34">
        <f t="shared" si="51"/>
        <v>605.060506050605</v>
      </c>
      <c r="DN24" s="34"/>
      <c r="DO24" s="65">
        <v>2956</v>
      </c>
      <c r="DP24" s="64">
        <f t="shared" si="52"/>
        <v>951</v>
      </c>
      <c r="DQ24" s="64">
        <v>0.45279999999999998</v>
      </c>
      <c r="DR24" s="64">
        <f t="shared" si="53"/>
        <v>2100.2650176678444</v>
      </c>
      <c r="DS24" s="64"/>
      <c r="DT24" s="55">
        <v>2395</v>
      </c>
      <c r="DU24" s="56">
        <f t="shared" si="54"/>
        <v>540</v>
      </c>
      <c r="DV24" s="56">
        <v>0.47869999999999996</v>
      </c>
      <c r="DW24" s="56">
        <f t="shared" si="55"/>
        <v>1128.0551493628579</v>
      </c>
      <c r="DX24" s="56"/>
      <c r="DY24" s="1">
        <v>3135</v>
      </c>
      <c r="DZ24">
        <f t="shared" si="56"/>
        <v>1558</v>
      </c>
      <c r="ED24" s="37">
        <v>1577</v>
      </c>
      <c r="EE24" s="34">
        <f t="shared" si="57"/>
        <v>136</v>
      </c>
      <c r="EF24" s="34">
        <v>0.52049999999999996</v>
      </c>
      <c r="EG24" s="34">
        <f t="shared" si="58"/>
        <v>261.2872238232469</v>
      </c>
      <c r="EH24" s="34"/>
      <c r="EI24" s="74">
        <v>8311</v>
      </c>
      <c r="EJ24" s="73">
        <f t="shared" si="59"/>
        <v>5832</v>
      </c>
      <c r="EK24" s="73">
        <v>0.57030000000000003</v>
      </c>
      <c r="EL24" s="73">
        <f t="shared" si="60"/>
        <v>10226.196738558652</v>
      </c>
      <c r="EM24" s="73"/>
    </row>
    <row r="25" spans="1:143" x14ac:dyDescent="0.2">
      <c r="A25" s="11">
        <v>4.7560597222222221</v>
      </c>
      <c r="B25" s="29">
        <v>1763</v>
      </c>
      <c r="C25" s="28">
        <f t="shared" si="1"/>
        <v>245</v>
      </c>
      <c r="D25" s="31">
        <v>0.47870000000000001</v>
      </c>
      <c r="E25" s="31">
        <v>0.3735</v>
      </c>
      <c r="F25" s="28">
        <f t="shared" si="2"/>
        <v>655.95716198125842</v>
      </c>
      <c r="G25" s="28">
        <f t="shared" si="3"/>
        <v>0.10932619366354307</v>
      </c>
      <c r="H25" s="55">
        <v>1708</v>
      </c>
      <c r="I25" s="56">
        <f t="shared" si="4"/>
        <v>108</v>
      </c>
      <c r="J25" s="57">
        <v>0.4667</v>
      </c>
      <c r="K25" s="56">
        <v>0.36109999999999998</v>
      </c>
      <c r="L25" s="56">
        <f t="shared" si="5"/>
        <v>107.63890000000001</v>
      </c>
      <c r="M25" s="56">
        <f t="shared" si="6"/>
        <v>1.7939816666666667E-2</v>
      </c>
      <c r="N25" s="29">
        <v>1801</v>
      </c>
      <c r="O25" s="28">
        <f t="shared" si="7"/>
        <v>160</v>
      </c>
      <c r="P25" s="27">
        <v>0.44230000000000003</v>
      </c>
      <c r="Q25" s="28">
        <v>0.33700000000000002</v>
      </c>
      <c r="R25" s="28">
        <f t="shared" si="8"/>
        <v>474.77744807121661</v>
      </c>
      <c r="S25" s="28">
        <f t="shared" si="9"/>
        <v>7.9129574678536096E-2</v>
      </c>
      <c r="T25" s="55">
        <v>1850</v>
      </c>
      <c r="U25" s="56">
        <f t="shared" si="10"/>
        <v>182</v>
      </c>
      <c r="V25" s="57">
        <v>0.44500000000000001</v>
      </c>
      <c r="W25" s="56">
        <v>0.34</v>
      </c>
      <c r="X25" s="56">
        <f t="shared" si="11"/>
        <v>535.29411764705878</v>
      </c>
      <c r="Y25">
        <f t="shared" si="12"/>
        <v>8.9215686274509792E-2</v>
      </c>
      <c r="Z25" s="29">
        <v>2524</v>
      </c>
      <c r="AA25" s="28">
        <f t="shared" si="13"/>
        <v>641</v>
      </c>
      <c r="AB25" s="27">
        <v>0.42730000000000001</v>
      </c>
      <c r="AC25" s="28">
        <v>0.31790000000000002</v>
      </c>
      <c r="AD25" s="28">
        <f t="shared" si="14"/>
        <v>2016.3573450770682</v>
      </c>
      <c r="AE25" s="28">
        <f t="shared" si="15"/>
        <v>0.33605955751284472</v>
      </c>
      <c r="AF25" s="55">
        <v>2051</v>
      </c>
      <c r="AG25" s="56">
        <f t="shared" si="16"/>
        <v>333</v>
      </c>
      <c r="AH25" s="57">
        <v>0.4612</v>
      </c>
      <c r="AI25" s="56">
        <v>0.35289999999999999</v>
      </c>
      <c r="AJ25" s="56">
        <f t="shared" si="17"/>
        <v>943.61008784358182</v>
      </c>
      <c r="AK25" s="56">
        <f t="shared" si="18"/>
        <v>0.1572683479739303</v>
      </c>
      <c r="AL25" s="7">
        <v>2648</v>
      </c>
      <c r="AM25" s="7">
        <f t="shared" si="19"/>
        <v>893</v>
      </c>
      <c r="AN25" s="7">
        <v>0.50260000000000005</v>
      </c>
      <c r="AO25" s="7">
        <v>0.39750000000000008</v>
      </c>
      <c r="AP25" s="7">
        <v>-0.92256034488775029</v>
      </c>
      <c r="AQ25" s="32">
        <v>1755</v>
      </c>
      <c r="AR25" s="28"/>
      <c r="AS25" s="27">
        <f t="shared" si="20"/>
        <v>170</v>
      </c>
      <c r="AT25" s="28">
        <v>0.39750000000000008</v>
      </c>
      <c r="AU25" s="28">
        <f t="shared" si="21"/>
        <v>427.67295597484269</v>
      </c>
      <c r="AV25" s="55">
        <v>3914</v>
      </c>
      <c r="AW25" s="56">
        <f t="shared" si="22"/>
        <v>1425</v>
      </c>
      <c r="AX25" s="57">
        <v>0.55800000000000005</v>
      </c>
      <c r="AY25" s="56">
        <v>0.45020000000000004</v>
      </c>
      <c r="AZ25" s="55">
        <f t="shared" si="23"/>
        <v>3165.2598844957793</v>
      </c>
      <c r="BA25" s="55">
        <f t="shared" si="24"/>
        <v>0.52754331408262989</v>
      </c>
      <c r="BB25" s="82">
        <v>1708</v>
      </c>
      <c r="BC25">
        <f t="shared" si="25"/>
        <v>53</v>
      </c>
      <c r="BD25" s="11">
        <v>0.34189999999999998</v>
      </c>
      <c r="BE25">
        <f t="shared" si="26"/>
        <v>155.01608657502194</v>
      </c>
      <c r="BF25">
        <f t="shared" si="27"/>
        <v>2.5836014429170325E-2</v>
      </c>
      <c r="BG25">
        <f t="shared" si="28"/>
        <v>2.5836014429170325E-2</v>
      </c>
      <c r="BH25" s="65">
        <v>1681</v>
      </c>
      <c r="BI25" s="64">
        <f t="shared" si="29"/>
        <v>22</v>
      </c>
      <c r="BJ25" s="66">
        <v>0.53959999999999997</v>
      </c>
      <c r="BK25" s="64">
        <f t="shared" si="30"/>
        <v>40.770941438102298</v>
      </c>
      <c r="BL25" s="64">
        <f t="shared" si="31"/>
        <v>6.7951569063503829E-3</v>
      </c>
      <c r="BM25" s="29">
        <v>1841</v>
      </c>
      <c r="BN25" s="28">
        <f t="shared" si="32"/>
        <v>236</v>
      </c>
      <c r="BO25" s="27">
        <v>0.51939999999999997</v>
      </c>
      <c r="BP25" s="28">
        <f t="shared" si="33"/>
        <v>454.37042741624953</v>
      </c>
      <c r="BQ25" s="28">
        <f t="shared" si="34"/>
        <v>7.5728404569374921E-2</v>
      </c>
      <c r="BR25" s="35">
        <v>1969</v>
      </c>
      <c r="BS25" s="34">
        <f t="shared" si="35"/>
        <v>283</v>
      </c>
      <c r="BT25" s="33">
        <v>0.52139999999999997</v>
      </c>
      <c r="BU25" s="34">
        <f t="shared" si="61"/>
        <v>542.76946682009975</v>
      </c>
      <c r="BV25" s="34"/>
      <c r="BW25" s="29">
        <v>2796</v>
      </c>
      <c r="BX25" s="28">
        <f t="shared" si="37"/>
        <v>804</v>
      </c>
      <c r="BY25" s="27">
        <v>0.50590000000000002</v>
      </c>
      <c r="BZ25" s="28">
        <f t="shared" si="38"/>
        <v>1589.2468867365092</v>
      </c>
      <c r="CA25" s="28"/>
      <c r="CB25" s="35">
        <v>2388</v>
      </c>
      <c r="CC25" s="34">
        <f t="shared" si="39"/>
        <v>458</v>
      </c>
      <c r="CD25" s="33">
        <v>0.52569999999999995</v>
      </c>
      <c r="CE25" s="34">
        <f t="shared" si="40"/>
        <v>871.21932661213634</v>
      </c>
      <c r="CF25" s="34"/>
      <c r="CG25" s="7">
        <v>3161</v>
      </c>
      <c r="CH25" s="7">
        <f t="shared" si="41"/>
        <v>1554</v>
      </c>
      <c r="CI25" s="7"/>
      <c r="CJ25" s="7"/>
      <c r="CL25" s="32">
        <v>1607</v>
      </c>
      <c r="CM25" s="27">
        <v>0.58799999999999997</v>
      </c>
      <c r="CN25" s="28">
        <v>0.48279999999999995</v>
      </c>
      <c r="CO25" s="28">
        <f t="shared" si="42"/>
        <v>1.2178956089478046</v>
      </c>
      <c r="CP25" s="28"/>
      <c r="CQ25" s="55">
        <v>4498</v>
      </c>
      <c r="CR25" s="57">
        <f t="shared" si="43"/>
        <v>2445</v>
      </c>
      <c r="CS25">
        <v>0.5071</v>
      </c>
      <c r="CT25" s="71">
        <f t="shared" si="44"/>
        <v>4821.5342141589426</v>
      </c>
      <c r="CU25" s="35">
        <v>1979</v>
      </c>
      <c r="CV25" s="34">
        <f t="shared" si="45"/>
        <v>352</v>
      </c>
      <c r="CW25" s="36">
        <v>0.57390000000000008</v>
      </c>
      <c r="CX25" s="34">
        <f t="shared" si="46"/>
        <v>613.3472730440842</v>
      </c>
      <c r="CY25" s="34"/>
      <c r="CZ25" s="29">
        <v>1660</v>
      </c>
      <c r="DA25" s="28">
        <f t="shared" si="47"/>
        <v>160</v>
      </c>
      <c r="DB25" s="27">
        <v>0.49819999999999998</v>
      </c>
      <c r="DC25" s="28">
        <f t="shared" si="48"/>
        <v>321.15616218386191</v>
      </c>
      <c r="DD25" s="28"/>
      <c r="DE25" s="55">
        <v>1715</v>
      </c>
      <c r="DF25" s="56">
        <f t="shared" si="49"/>
        <v>282</v>
      </c>
      <c r="DG25" s="56">
        <v>0.49379999999999996</v>
      </c>
      <c r="DH25" s="56">
        <f t="shared" si="50"/>
        <v>571.08140947752133</v>
      </c>
      <c r="DI25" s="56"/>
      <c r="DJ25" s="35">
        <v>1884</v>
      </c>
      <c r="DK25" s="34">
        <f t="shared" si="0"/>
        <v>244</v>
      </c>
      <c r="DL25" s="34">
        <v>0.48199999999999998</v>
      </c>
      <c r="DM25" s="34">
        <f t="shared" si="51"/>
        <v>506.22406639004151</v>
      </c>
      <c r="DN25" s="34"/>
      <c r="DO25" s="65">
        <v>2864</v>
      </c>
      <c r="DP25" s="64">
        <f t="shared" si="52"/>
        <v>859</v>
      </c>
      <c r="DQ25" s="64">
        <v>0.48649999999999993</v>
      </c>
      <c r="DR25" s="64">
        <f t="shared" si="53"/>
        <v>1765.6731757451184</v>
      </c>
      <c r="DS25" s="64"/>
      <c r="DT25" s="55">
        <v>2362</v>
      </c>
      <c r="DU25" s="56">
        <f t="shared" si="54"/>
        <v>507</v>
      </c>
      <c r="DV25" s="56">
        <v>0.49859999999999999</v>
      </c>
      <c r="DW25" s="56">
        <f t="shared" si="55"/>
        <v>1016.8471720818292</v>
      </c>
      <c r="DX25" s="56"/>
      <c r="DY25" s="1">
        <v>2961</v>
      </c>
      <c r="DZ25">
        <f t="shared" si="56"/>
        <v>1375</v>
      </c>
      <c r="ED25" s="37">
        <v>1586</v>
      </c>
      <c r="EE25" s="34">
        <f t="shared" si="57"/>
        <v>145</v>
      </c>
      <c r="EF25" s="34">
        <v>0.53059999999999996</v>
      </c>
      <c r="EG25" s="34">
        <f t="shared" si="58"/>
        <v>273.2755371277799</v>
      </c>
      <c r="EH25" s="34"/>
      <c r="EI25" s="74">
        <v>7846</v>
      </c>
      <c r="EJ25" s="73">
        <f t="shared" si="59"/>
        <v>5367</v>
      </c>
      <c r="EK25" s="73">
        <v>0.58099999999999996</v>
      </c>
      <c r="EL25" s="73">
        <f t="shared" si="60"/>
        <v>9237.5215146299488</v>
      </c>
      <c r="EM25" s="73"/>
    </row>
    <row r="26" spans="1:143" x14ac:dyDescent="0.2">
      <c r="A26" s="11">
        <v>4.9938205555555557</v>
      </c>
      <c r="B26" s="29">
        <v>1796</v>
      </c>
      <c r="C26" s="28">
        <f t="shared" si="1"/>
        <v>278</v>
      </c>
      <c r="D26" s="31">
        <v>0.4985</v>
      </c>
      <c r="E26" s="31">
        <v>0.39329999999999998</v>
      </c>
      <c r="F26" s="28">
        <f t="shared" si="2"/>
        <v>706.83956267480301</v>
      </c>
      <c r="G26" s="28">
        <f t="shared" si="3"/>
        <v>0.11780659377913383</v>
      </c>
      <c r="H26" s="55">
        <v>1727</v>
      </c>
      <c r="I26" s="56">
        <f t="shared" si="4"/>
        <v>127</v>
      </c>
      <c r="J26" s="57">
        <v>0.47720000000000001</v>
      </c>
      <c r="K26" s="56">
        <v>0.37160000000000004</v>
      </c>
      <c r="L26" s="56">
        <f t="shared" si="5"/>
        <v>126.6284</v>
      </c>
      <c r="M26" s="56">
        <f t="shared" si="6"/>
        <v>2.1104733333333334E-2</v>
      </c>
      <c r="N26" s="29">
        <v>1886</v>
      </c>
      <c r="O26" s="28">
        <f t="shared" si="7"/>
        <v>245</v>
      </c>
      <c r="P26" s="27">
        <v>0.46110000000000001</v>
      </c>
      <c r="Q26" s="28">
        <v>0.35580000000000001</v>
      </c>
      <c r="R26" s="28">
        <f t="shared" si="8"/>
        <v>688.58909499718948</v>
      </c>
      <c r="S26" s="28">
        <f t="shared" si="9"/>
        <v>0.11476484916619825</v>
      </c>
      <c r="T26" s="55">
        <v>1889</v>
      </c>
      <c r="U26" s="56">
        <f t="shared" si="10"/>
        <v>221</v>
      </c>
      <c r="V26" s="57">
        <v>0.46129999999999999</v>
      </c>
      <c r="W26" s="56">
        <v>0.35630000000000001</v>
      </c>
      <c r="X26" s="56">
        <f t="shared" si="11"/>
        <v>620.26382262138645</v>
      </c>
      <c r="Y26">
        <f t="shared" si="12"/>
        <v>0.10337730377023108</v>
      </c>
      <c r="Z26" s="29">
        <v>2543</v>
      </c>
      <c r="AA26" s="28">
        <f t="shared" si="13"/>
        <v>660</v>
      </c>
      <c r="AB26" s="27">
        <v>0.44740000000000002</v>
      </c>
      <c r="AC26" s="28">
        <v>0.33800000000000002</v>
      </c>
      <c r="AD26" s="28">
        <f t="shared" si="14"/>
        <v>1952.6627218934909</v>
      </c>
      <c r="AE26" s="28">
        <f t="shared" si="15"/>
        <v>0.32544378698224846</v>
      </c>
      <c r="AF26" s="55">
        <v>2060</v>
      </c>
      <c r="AG26" s="56">
        <f t="shared" si="16"/>
        <v>342</v>
      </c>
      <c r="AH26" s="57">
        <v>0.47220000000000001</v>
      </c>
      <c r="AI26" s="56">
        <v>0.3639</v>
      </c>
      <c r="AJ26" s="56">
        <f t="shared" si="17"/>
        <v>939.81863149216815</v>
      </c>
      <c r="AK26" s="56">
        <f t="shared" si="18"/>
        <v>0.15663643858202803</v>
      </c>
      <c r="AL26" s="7">
        <v>2686</v>
      </c>
      <c r="AM26" s="7">
        <f t="shared" si="19"/>
        <v>957</v>
      </c>
      <c r="AN26" s="7">
        <v>0.51680000000000004</v>
      </c>
      <c r="AO26" s="7">
        <v>0.41170000000000007</v>
      </c>
      <c r="AP26" s="7">
        <v>-0.88746035020627789</v>
      </c>
      <c r="AQ26" s="32">
        <v>1729</v>
      </c>
      <c r="AR26" s="28"/>
      <c r="AS26" s="27">
        <f t="shared" si="20"/>
        <v>144</v>
      </c>
      <c r="AT26" s="28">
        <v>0.41170000000000007</v>
      </c>
      <c r="AU26" s="28">
        <f t="shared" si="21"/>
        <v>349.76924945348549</v>
      </c>
      <c r="AV26" s="55">
        <v>3958</v>
      </c>
      <c r="AW26" s="56">
        <f t="shared" si="22"/>
        <v>1469</v>
      </c>
      <c r="AX26" s="57">
        <v>0.57179999999999997</v>
      </c>
      <c r="AY26" s="56">
        <v>0.46399999999999997</v>
      </c>
      <c r="AZ26" s="55">
        <f t="shared" si="23"/>
        <v>3165.9482758620693</v>
      </c>
      <c r="BA26" s="55">
        <f t="shared" si="24"/>
        <v>0.5276580459770116</v>
      </c>
      <c r="BB26" s="82">
        <v>1742</v>
      </c>
      <c r="BC26">
        <f t="shared" si="25"/>
        <v>87</v>
      </c>
      <c r="BD26" s="11">
        <v>0.37080000000000002</v>
      </c>
      <c r="BE26">
        <f t="shared" si="26"/>
        <v>234.62783171521033</v>
      </c>
      <c r="BF26">
        <f t="shared" si="27"/>
        <v>3.9104638619201722E-2</v>
      </c>
      <c r="BG26">
        <f t="shared" si="28"/>
        <v>3.9104638619201722E-2</v>
      </c>
      <c r="BH26" s="65">
        <v>1685</v>
      </c>
      <c r="BI26" s="64">
        <f t="shared" si="29"/>
        <v>22</v>
      </c>
      <c r="BJ26" s="66">
        <v>0.56020000000000003</v>
      </c>
      <c r="BK26" s="64">
        <f t="shared" si="30"/>
        <v>39.271688682613352</v>
      </c>
      <c r="BL26" s="64">
        <f t="shared" si="31"/>
        <v>6.5452814471022251E-3</v>
      </c>
      <c r="BM26" s="29">
        <v>1881</v>
      </c>
      <c r="BN26" s="28">
        <f t="shared" si="32"/>
        <v>276</v>
      </c>
      <c r="BO26" s="27">
        <v>0.54069999999999996</v>
      </c>
      <c r="BP26" s="28">
        <f t="shared" si="33"/>
        <v>510.44941742186057</v>
      </c>
      <c r="BQ26" s="28">
        <f t="shared" si="34"/>
        <v>8.5074902903643432E-2</v>
      </c>
      <c r="BR26" s="35">
        <v>1952</v>
      </c>
      <c r="BS26" s="34">
        <f t="shared" si="35"/>
        <v>266</v>
      </c>
      <c r="BT26" s="33">
        <v>0.54059999999999997</v>
      </c>
      <c r="BU26" s="34">
        <f t="shared" si="61"/>
        <v>492.04587495375512</v>
      </c>
      <c r="BV26" s="34"/>
      <c r="BW26" s="29">
        <v>2820</v>
      </c>
      <c r="BX26" s="28">
        <f t="shared" si="37"/>
        <v>828</v>
      </c>
      <c r="BY26" s="27">
        <v>0.5252</v>
      </c>
      <c r="BZ26" s="28">
        <f t="shared" si="38"/>
        <v>1576.5422696115766</v>
      </c>
      <c r="CA26" s="28"/>
      <c r="CB26" s="35">
        <v>2387</v>
      </c>
      <c r="CC26" s="34">
        <f t="shared" si="39"/>
        <v>457</v>
      </c>
      <c r="CD26" s="33">
        <v>0.54169999999999996</v>
      </c>
      <c r="CE26" s="34">
        <f t="shared" si="40"/>
        <v>843.64039136053168</v>
      </c>
      <c r="CF26" s="34"/>
      <c r="CG26" s="7">
        <v>3135</v>
      </c>
      <c r="CH26" s="7">
        <f t="shared" si="41"/>
        <v>1509</v>
      </c>
      <c r="CI26" s="7"/>
      <c r="CJ26" s="7"/>
      <c r="CL26" s="32">
        <v>1626</v>
      </c>
      <c r="CM26" s="27">
        <v>0.58799999999999997</v>
      </c>
      <c r="CN26" s="28">
        <v>0.48279999999999995</v>
      </c>
      <c r="CO26" s="28">
        <f t="shared" si="42"/>
        <v>1.2178956089478046</v>
      </c>
      <c r="CP26" s="28"/>
      <c r="CQ26" s="55">
        <v>4540</v>
      </c>
      <c r="CR26" s="57">
        <f t="shared" si="43"/>
        <v>2487</v>
      </c>
      <c r="CS26">
        <v>0.51349999999999996</v>
      </c>
      <c r="CT26" s="71">
        <f t="shared" si="44"/>
        <v>4843.2327166504383</v>
      </c>
      <c r="CU26" s="35">
        <v>2023</v>
      </c>
      <c r="CV26" s="34">
        <f t="shared" si="45"/>
        <v>396</v>
      </c>
      <c r="CW26" s="36">
        <v>0.51950000000000007</v>
      </c>
      <c r="CX26" s="34">
        <f t="shared" si="46"/>
        <v>762.27141482194406</v>
      </c>
      <c r="CY26" s="34"/>
      <c r="CZ26" s="29">
        <v>1686</v>
      </c>
      <c r="DA26" s="28">
        <f t="shared" si="47"/>
        <v>186</v>
      </c>
      <c r="DB26" s="27">
        <v>0.51200000000000001</v>
      </c>
      <c r="DC26" s="28">
        <f t="shared" si="48"/>
        <v>363.28125</v>
      </c>
      <c r="DD26" s="28"/>
      <c r="DE26" s="55">
        <v>1727</v>
      </c>
      <c r="DF26" s="56">
        <f t="shared" si="49"/>
        <v>294</v>
      </c>
      <c r="DG26" s="56">
        <v>0.50639999999999996</v>
      </c>
      <c r="DH26" s="56">
        <f t="shared" si="50"/>
        <v>580.56872037914695</v>
      </c>
      <c r="DI26" s="56"/>
      <c r="DJ26" s="35">
        <v>1898</v>
      </c>
      <c r="DK26" s="34">
        <f t="shared" si="0"/>
        <v>258</v>
      </c>
      <c r="DL26" s="34">
        <v>0.49690000000000001</v>
      </c>
      <c r="DM26" s="34">
        <f t="shared" si="51"/>
        <v>519.21915878446362</v>
      </c>
      <c r="DN26" s="34"/>
      <c r="DO26" s="65">
        <v>2865</v>
      </c>
      <c r="DP26" s="64">
        <f t="shared" si="52"/>
        <v>860</v>
      </c>
      <c r="DQ26" s="64">
        <v>0.49690000000000001</v>
      </c>
      <c r="DR26" s="64">
        <f t="shared" si="53"/>
        <v>1730.7305292815456</v>
      </c>
      <c r="DS26" s="64"/>
      <c r="DT26" s="55">
        <v>2350</v>
      </c>
      <c r="DU26" s="56">
        <f t="shared" si="54"/>
        <v>495</v>
      </c>
      <c r="DV26" s="56">
        <v>0.51060000000000005</v>
      </c>
      <c r="DW26" s="56">
        <f t="shared" si="55"/>
        <v>969.44770857814331</v>
      </c>
      <c r="DX26" s="56"/>
      <c r="DY26" s="1">
        <v>2939</v>
      </c>
      <c r="DZ26">
        <f t="shared" si="56"/>
        <v>1347</v>
      </c>
      <c r="ED26" s="37">
        <v>1592</v>
      </c>
      <c r="EE26" s="34">
        <f t="shared" si="57"/>
        <v>151</v>
      </c>
      <c r="EF26" s="34">
        <v>0.54410000000000003</v>
      </c>
      <c r="EG26" s="34">
        <f t="shared" si="58"/>
        <v>277.52251424370519</v>
      </c>
      <c r="EH26" s="34"/>
      <c r="EI26" s="74">
        <v>7735</v>
      </c>
      <c r="EJ26" s="73">
        <f t="shared" si="59"/>
        <v>5256</v>
      </c>
      <c r="EK26" s="73">
        <v>0.57950000000000002</v>
      </c>
      <c r="EL26" s="73">
        <f t="shared" si="60"/>
        <v>9069.8878343399483</v>
      </c>
      <c r="EM26" s="73"/>
    </row>
    <row r="27" spans="1:143" x14ac:dyDescent="0.2">
      <c r="A27" s="11">
        <v>5.2316730555555555</v>
      </c>
      <c r="B27" s="29">
        <v>1802</v>
      </c>
      <c r="C27" s="28">
        <f t="shared" si="1"/>
        <v>284</v>
      </c>
      <c r="D27" s="31">
        <v>0.4985</v>
      </c>
      <c r="E27" s="31">
        <v>0.39329999999999998</v>
      </c>
      <c r="F27" s="28">
        <f t="shared" si="2"/>
        <v>722.09509280447503</v>
      </c>
      <c r="G27" s="28">
        <f t="shared" si="3"/>
        <v>0.12034918213407918</v>
      </c>
      <c r="H27" s="55">
        <v>1749</v>
      </c>
      <c r="I27" s="56">
        <f t="shared" si="4"/>
        <v>149</v>
      </c>
      <c r="J27" s="57">
        <v>0.48899999999999999</v>
      </c>
      <c r="K27" s="56">
        <v>0.38339999999999996</v>
      </c>
      <c r="L27" s="56">
        <f t="shared" si="5"/>
        <v>148.61660000000001</v>
      </c>
      <c r="M27" s="56">
        <f t="shared" si="6"/>
        <v>2.4769433333333334E-2</v>
      </c>
      <c r="N27" s="29">
        <v>1889</v>
      </c>
      <c r="O27" s="28">
        <f t="shared" si="7"/>
        <v>248</v>
      </c>
      <c r="P27" s="27">
        <v>0.46289999999999998</v>
      </c>
      <c r="Q27" s="28">
        <v>0.35759999999999997</v>
      </c>
      <c r="R27" s="28">
        <f t="shared" si="8"/>
        <v>693.51230425055928</v>
      </c>
      <c r="S27" s="28">
        <f t="shared" si="9"/>
        <v>0.11558538404175989</v>
      </c>
      <c r="T27" s="55">
        <v>1900</v>
      </c>
      <c r="U27" s="56">
        <f t="shared" si="10"/>
        <v>232</v>
      </c>
      <c r="V27" s="57">
        <v>0.46529999999999999</v>
      </c>
      <c r="W27" s="56">
        <v>0.36030000000000001</v>
      </c>
      <c r="X27" s="56">
        <f t="shared" si="11"/>
        <v>643.9078545656397</v>
      </c>
      <c r="Y27">
        <f t="shared" si="12"/>
        <v>0.10731797576093995</v>
      </c>
      <c r="Z27" s="29">
        <v>2553</v>
      </c>
      <c r="AA27" s="28">
        <f t="shared" si="13"/>
        <v>670</v>
      </c>
      <c r="AB27" s="27">
        <v>0.45079999999999998</v>
      </c>
      <c r="AC27" s="28">
        <v>0.34139999999999998</v>
      </c>
      <c r="AD27" s="28">
        <f t="shared" si="14"/>
        <v>1962.507322788518</v>
      </c>
      <c r="AE27" s="28">
        <f t="shared" si="15"/>
        <v>0.32708455379808632</v>
      </c>
      <c r="AF27" s="55">
        <v>2059</v>
      </c>
      <c r="AG27" s="56">
        <f t="shared" si="16"/>
        <v>341</v>
      </c>
      <c r="AH27" s="57">
        <v>0.4899</v>
      </c>
      <c r="AI27" s="56">
        <v>0.38159999999999999</v>
      </c>
      <c r="AJ27" s="56">
        <f t="shared" si="17"/>
        <v>893.6058700209644</v>
      </c>
      <c r="AK27" s="56">
        <f t="shared" si="18"/>
        <v>0.14893431167016075</v>
      </c>
      <c r="AL27" s="7">
        <v>2645</v>
      </c>
      <c r="AM27" s="7">
        <f t="shared" si="19"/>
        <v>920</v>
      </c>
      <c r="AN27" s="7">
        <v>0.53620000000000001</v>
      </c>
      <c r="AO27" s="7">
        <v>0.43110000000000004</v>
      </c>
      <c r="AP27" s="7">
        <v>-0.84141519722904801</v>
      </c>
      <c r="AQ27" s="32">
        <v>1725</v>
      </c>
      <c r="AR27" s="28"/>
      <c r="AS27" s="27">
        <f t="shared" si="20"/>
        <v>140</v>
      </c>
      <c r="AT27" s="28">
        <v>0.43110000000000004</v>
      </c>
      <c r="AU27" s="28">
        <f t="shared" si="21"/>
        <v>324.75063790303869</v>
      </c>
      <c r="AV27" s="55">
        <v>3915</v>
      </c>
      <c r="AW27" s="56">
        <f t="shared" si="22"/>
        <v>1426</v>
      </c>
      <c r="AX27" s="57">
        <v>0.58860000000000001</v>
      </c>
      <c r="AY27" s="56">
        <v>0.48080000000000001</v>
      </c>
      <c r="AZ27" s="55">
        <f t="shared" si="23"/>
        <v>2965.8901830282862</v>
      </c>
      <c r="BA27" s="55">
        <f t="shared" si="24"/>
        <v>0.49431503050471437</v>
      </c>
      <c r="BB27" s="82">
        <v>1776</v>
      </c>
      <c r="BC27">
        <f t="shared" si="25"/>
        <v>121</v>
      </c>
      <c r="BD27" s="11">
        <v>0.40839999999999999</v>
      </c>
      <c r="BE27">
        <f t="shared" si="26"/>
        <v>296.2781586679726</v>
      </c>
      <c r="BF27">
        <f t="shared" si="27"/>
        <v>4.9379693111328768E-2</v>
      </c>
      <c r="BG27">
        <f t="shared" si="28"/>
        <v>4.9379693111328768E-2</v>
      </c>
      <c r="BH27" s="65">
        <v>1731</v>
      </c>
      <c r="BI27" s="64">
        <f t="shared" si="29"/>
        <v>41</v>
      </c>
      <c r="BJ27" s="66">
        <v>0.55930000000000002</v>
      </c>
      <c r="BK27" s="64">
        <f t="shared" si="30"/>
        <v>73.305918111925621</v>
      </c>
      <c r="BL27" s="64">
        <f t="shared" si="31"/>
        <v>1.2217653018654269E-2</v>
      </c>
      <c r="BM27" s="29">
        <v>1856</v>
      </c>
      <c r="BN27" s="28">
        <f t="shared" si="32"/>
        <v>251</v>
      </c>
      <c r="BO27" s="27">
        <v>0.54300000000000004</v>
      </c>
      <c r="BP27" s="28">
        <f t="shared" si="33"/>
        <v>462.2467771639042</v>
      </c>
      <c r="BQ27" s="28">
        <f t="shared" si="34"/>
        <v>7.704112952731737E-2</v>
      </c>
      <c r="BR27" s="35">
        <v>1994</v>
      </c>
      <c r="BS27" s="34">
        <f t="shared" si="35"/>
        <v>308</v>
      </c>
      <c r="BT27" s="33">
        <v>0.54349999999999998</v>
      </c>
      <c r="BU27" s="34">
        <f t="shared" si="61"/>
        <v>566.69733210671575</v>
      </c>
      <c r="BV27" s="34"/>
      <c r="BW27" s="29">
        <v>2807</v>
      </c>
      <c r="BX27" s="28">
        <f t="shared" si="37"/>
        <v>815</v>
      </c>
      <c r="BY27" s="27">
        <v>0.53100000000000003</v>
      </c>
      <c r="BZ27" s="28">
        <f t="shared" si="38"/>
        <v>1534.839924670433</v>
      </c>
      <c r="CA27" s="28"/>
      <c r="CB27" s="35">
        <v>2439</v>
      </c>
      <c r="CC27" s="34">
        <f t="shared" si="39"/>
        <v>509</v>
      </c>
      <c r="CD27" s="33">
        <v>0.54869999999999997</v>
      </c>
      <c r="CE27" s="34">
        <f t="shared" si="40"/>
        <v>927.64716602879537</v>
      </c>
      <c r="CF27" s="34"/>
      <c r="CG27" s="7">
        <v>3092</v>
      </c>
      <c r="CH27" s="7">
        <f t="shared" si="41"/>
        <v>1464</v>
      </c>
      <c r="CI27" s="7"/>
      <c r="CJ27" s="7"/>
      <c r="CL27" s="32">
        <v>1628</v>
      </c>
      <c r="CM27" s="27">
        <v>0.60060000000000002</v>
      </c>
      <c r="CN27" s="28">
        <v>0.49540000000000001</v>
      </c>
      <c r="CO27" s="28">
        <f t="shared" si="42"/>
        <v>1.2123536536132418</v>
      </c>
      <c r="CP27" s="28"/>
      <c r="CQ27" s="55">
        <v>4423</v>
      </c>
      <c r="CR27" s="57">
        <f t="shared" si="43"/>
        <v>2370</v>
      </c>
      <c r="CS27">
        <v>0.5212</v>
      </c>
      <c r="CT27" s="71">
        <f t="shared" si="44"/>
        <v>4547.1987720644665</v>
      </c>
      <c r="CU27" s="35">
        <v>1933</v>
      </c>
      <c r="CV27" s="34">
        <f t="shared" si="45"/>
        <v>306</v>
      </c>
      <c r="CW27" s="36">
        <v>0.61030000000000006</v>
      </c>
      <c r="CX27" s="34">
        <f t="shared" si="46"/>
        <v>501.39275766016709</v>
      </c>
      <c r="CY27" s="34"/>
      <c r="CZ27" s="29">
        <v>1688</v>
      </c>
      <c r="DA27" s="28">
        <f t="shared" si="47"/>
        <v>188</v>
      </c>
      <c r="DB27" s="27">
        <v>0.51819999999999999</v>
      </c>
      <c r="DC27" s="28">
        <f t="shared" si="48"/>
        <v>362.79428791972214</v>
      </c>
      <c r="DD27" s="28"/>
      <c r="DE27" s="55">
        <v>1718</v>
      </c>
      <c r="DF27" s="56">
        <f t="shared" si="49"/>
        <v>285</v>
      </c>
      <c r="DG27" s="56">
        <v>0.51869999999999994</v>
      </c>
      <c r="DH27" s="56">
        <f t="shared" si="50"/>
        <v>549.45054945054949</v>
      </c>
      <c r="DI27" s="56"/>
      <c r="DJ27" s="35">
        <v>1928</v>
      </c>
      <c r="DK27" s="34">
        <f t="shared" si="0"/>
        <v>288</v>
      </c>
      <c r="DL27" s="34">
        <v>0.50890000000000002</v>
      </c>
      <c r="DM27" s="34">
        <f t="shared" si="51"/>
        <v>565.92650815484376</v>
      </c>
      <c r="DN27" s="34"/>
      <c r="DO27" s="65">
        <v>2808</v>
      </c>
      <c r="DP27" s="64">
        <f t="shared" si="52"/>
        <v>803</v>
      </c>
      <c r="DQ27" s="64">
        <v>0.51119999999999999</v>
      </c>
      <c r="DR27" s="64">
        <f t="shared" si="53"/>
        <v>1570.8137715179969</v>
      </c>
      <c r="DS27" s="64"/>
      <c r="DT27" s="55">
        <v>2342</v>
      </c>
      <c r="DU27" s="56">
        <f t="shared" si="54"/>
        <v>487</v>
      </c>
      <c r="DV27" s="56">
        <v>0.51960000000000006</v>
      </c>
      <c r="DW27" s="56">
        <f t="shared" si="55"/>
        <v>937.25943033102374</v>
      </c>
      <c r="DX27" s="56"/>
      <c r="DY27" s="1">
        <v>2883</v>
      </c>
      <c r="DZ27">
        <f t="shared" si="56"/>
        <v>1330</v>
      </c>
      <c r="ED27" s="37">
        <v>1553</v>
      </c>
      <c r="EE27" s="34">
        <f t="shared" si="57"/>
        <v>112</v>
      </c>
      <c r="EF27" s="34">
        <v>0.54589999999999994</v>
      </c>
      <c r="EG27" s="34">
        <f t="shared" si="58"/>
        <v>205.16578127862249</v>
      </c>
      <c r="EH27" s="34"/>
      <c r="EI27" s="74">
        <v>7357</v>
      </c>
      <c r="EJ27" s="73">
        <f t="shared" si="59"/>
        <v>4878</v>
      </c>
      <c r="EK27" s="73">
        <v>0.5786</v>
      </c>
      <c r="EL27" s="73">
        <f t="shared" si="60"/>
        <v>8430.6947805046657</v>
      </c>
      <c r="EM27" s="73"/>
    </row>
    <row r="28" spans="1:143" x14ac:dyDescent="0.2">
      <c r="A28">
        <v>5.4694311111111116</v>
      </c>
      <c r="B28" s="29">
        <v>1812</v>
      </c>
      <c r="C28" s="28">
        <f t="shared" si="1"/>
        <v>294</v>
      </c>
      <c r="D28" s="27">
        <v>0.51829999999999998</v>
      </c>
      <c r="E28" s="28">
        <v>0.41309999999999997</v>
      </c>
      <c r="F28" s="28">
        <f t="shared" si="2"/>
        <v>711.69208424110388</v>
      </c>
      <c r="G28" s="28">
        <f t="shared" si="3"/>
        <v>0.11861534737351731</v>
      </c>
      <c r="H28" s="55">
        <v>1769</v>
      </c>
      <c r="I28" s="56">
        <f t="shared" si="4"/>
        <v>169</v>
      </c>
      <c r="J28" s="57">
        <v>0.50629999999999997</v>
      </c>
      <c r="K28" s="56">
        <v>0.40069999999999995</v>
      </c>
      <c r="L28" s="56">
        <f t="shared" si="5"/>
        <v>168.5993</v>
      </c>
      <c r="M28" s="56">
        <f t="shared" si="6"/>
        <v>2.8099883333333332E-2</v>
      </c>
      <c r="N28" s="29">
        <v>1874</v>
      </c>
      <c r="O28" s="28">
        <f t="shared" si="7"/>
        <v>233</v>
      </c>
      <c r="P28" s="27">
        <v>0.48430000000000001</v>
      </c>
      <c r="Q28" s="28">
        <v>0.379</v>
      </c>
      <c r="R28" s="28">
        <f t="shared" si="8"/>
        <v>614.77572559366752</v>
      </c>
      <c r="S28" s="28">
        <f t="shared" si="9"/>
        <v>0.10246262093227793</v>
      </c>
      <c r="T28" s="55">
        <v>1886</v>
      </c>
      <c r="U28" s="56">
        <f t="shared" si="10"/>
        <v>218</v>
      </c>
      <c r="V28" s="57">
        <v>0.48499999999999999</v>
      </c>
      <c r="W28" s="56">
        <v>0.38</v>
      </c>
      <c r="X28" s="56">
        <f t="shared" si="11"/>
        <v>573.68421052631584</v>
      </c>
      <c r="Y28">
        <f t="shared" si="12"/>
        <v>9.5614035087719304E-2</v>
      </c>
      <c r="Z28" s="29">
        <v>2573</v>
      </c>
      <c r="AA28" s="28">
        <f t="shared" si="13"/>
        <v>690</v>
      </c>
      <c r="AB28" s="27">
        <v>0.47</v>
      </c>
      <c r="AC28" s="28">
        <v>0.36059999999999998</v>
      </c>
      <c r="AD28" s="28">
        <f t="shared" si="14"/>
        <v>1913.477537437604</v>
      </c>
      <c r="AE28" s="28">
        <f t="shared" si="15"/>
        <v>0.31891292290626733</v>
      </c>
      <c r="AF28" s="55">
        <v>2061</v>
      </c>
      <c r="AG28" s="56">
        <f t="shared" si="16"/>
        <v>343</v>
      </c>
      <c r="AH28" s="57">
        <v>0.48909999999999998</v>
      </c>
      <c r="AI28" s="56">
        <v>0.38079999999999997</v>
      </c>
      <c r="AJ28" s="56">
        <f t="shared" si="17"/>
        <v>900.73529411764707</v>
      </c>
      <c r="AK28" s="56">
        <f t="shared" si="18"/>
        <v>0.15012254901960784</v>
      </c>
      <c r="AL28" s="7">
        <v>2641</v>
      </c>
      <c r="AM28" s="7">
        <f t="shared" si="19"/>
        <v>943</v>
      </c>
      <c r="AN28" s="7">
        <v>0.54120000000000001</v>
      </c>
      <c r="AO28" s="7">
        <v>0.43610000000000004</v>
      </c>
      <c r="AP28" s="7">
        <v>-0.82988370413341617</v>
      </c>
      <c r="AQ28" s="32">
        <v>1698</v>
      </c>
      <c r="AR28" s="28"/>
      <c r="AS28" s="27">
        <f t="shared" si="20"/>
        <v>113</v>
      </c>
      <c r="AT28" s="28">
        <v>0.43610000000000004</v>
      </c>
      <c r="AU28" s="28">
        <f t="shared" si="21"/>
        <v>259.11488190781927</v>
      </c>
      <c r="AV28" s="55">
        <v>3853</v>
      </c>
      <c r="AW28" s="56">
        <f t="shared" si="22"/>
        <v>1364</v>
      </c>
      <c r="AX28" s="57">
        <v>0.60729999999999995</v>
      </c>
      <c r="AY28" s="56">
        <v>0.49949999999999994</v>
      </c>
      <c r="AZ28" s="55">
        <f t="shared" si="23"/>
        <v>2730.730730730731</v>
      </c>
      <c r="BA28" s="55">
        <f t="shared" si="24"/>
        <v>0.45512178845512186</v>
      </c>
      <c r="BB28" s="82">
        <v>1804</v>
      </c>
      <c r="BC28">
        <f t="shared" si="25"/>
        <v>149</v>
      </c>
      <c r="BD28" s="8">
        <v>0.4491</v>
      </c>
      <c r="BE28">
        <f t="shared" si="26"/>
        <v>331.77466043197506</v>
      </c>
      <c r="BF28">
        <f t="shared" si="27"/>
        <v>5.5295776738662511E-2</v>
      </c>
      <c r="BG28">
        <f t="shared" si="28"/>
        <v>5.5295776738662511E-2</v>
      </c>
      <c r="BH28" s="65">
        <v>1711</v>
      </c>
      <c r="BI28" s="64">
        <f t="shared" si="29"/>
        <v>-2</v>
      </c>
      <c r="BJ28" s="66">
        <v>0.57679999999999998</v>
      </c>
      <c r="BK28" s="64">
        <f t="shared" si="30"/>
        <v>-3.4674063800277395</v>
      </c>
      <c r="BL28" s="64">
        <f t="shared" si="31"/>
        <v>-5.7790106333795654E-4</v>
      </c>
      <c r="BM28" s="29">
        <v>1872</v>
      </c>
      <c r="BN28" s="28">
        <f t="shared" si="32"/>
        <v>267</v>
      </c>
      <c r="BO28" s="27">
        <v>0.55989999999999995</v>
      </c>
      <c r="BP28" s="28">
        <f t="shared" si="33"/>
        <v>476.87086979817826</v>
      </c>
      <c r="BQ28" s="28">
        <f t="shared" si="34"/>
        <v>7.947847829969637E-2</v>
      </c>
      <c r="BR28" s="35">
        <v>1964</v>
      </c>
      <c r="BS28" s="34">
        <f t="shared" si="35"/>
        <v>278</v>
      </c>
      <c r="BT28" s="33">
        <v>0.56140000000000001</v>
      </c>
      <c r="BU28" s="34">
        <f t="shared" si="61"/>
        <v>495.19059494121836</v>
      </c>
      <c r="BV28" s="34"/>
      <c r="BW28" s="29">
        <v>2766</v>
      </c>
      <c r="BX28" s="28">
        <f t="shared" si="37"/>
        <v>774</v>
      </c>
      <c r="BY28" s="27">
        <v>0.55000000000000004</v>
      </c>
      <c r="BZ28" s="28">
        <f t="shared" si="38"/>
        <v>1407.2727272727273</v>
      </c>
      <c r="CA28" s="28"/>
      <c r="CB28" s="35">
        <v>2373</v>
      </c>
      <c r="CC28" s="34">
        <f t="shared" si="39"/>
        <v>443</v>
      </c>
      <c r="CD28" s="33">
        <v>0.56359999999999999</v>
      </c>
      <c r="CE28" s="34">
        <f t="shared" si="40"/>
        <v>786.01845280340672</v>
      </c>
      <c r="CF28" s="34"/>
      <c r="CG28" s="7">
        <v>3071</v>
      </c>
      <c r="CH28" s="7">
        <f t="shared" si="41"/>
        <v>1445</v>
      </c>
      <c r="CI28" s="7"/>
      <c r="CJ28" s="7"/>
      <c r="CL28" s="32">
        <v>1626</v>
      </c>
      <c r="CM28" s="27">
        <v>0.59699999999999998</v>
      </c>
      <c r="CN28" s="28">
        <v>0.49179999999999996</v>
      </c>
      <c r="CO28" s="28">
        <f t="shared" si="42"/>
        <v>1.2139080927206183</v>
      </c>
      <c r="CP28" s="28"/>
      <c r="CQ28" s="55">
        <v>4319</v>
      </c>
      <c r="CR28" s="57">
        <f t="shared" si="43"/>
        <v>2266</v>
      </c>
      <c r="CS28">
        <v>0.51890000000000003</v>
      </c>
      <c r="CT28" s="71">
        <f t="shared" si="44"/>
        <v>4366.930044324532</v>
      </c>
      <c r="CU28" s="35">
        <v>1965</v>
      </c>
      <c r="CV28" s="34">
        <f t="shared" si="45"/>
        <v>338</v>
      </c>
      <c r="CW28" s="33">
        <v>0.61099999999999999</v>
      </c>
      <c r="CX28" s="34">
        <f t="shared" si="46"/>
        <v>553.19148936170211</v>
      </c>
      <c r="CY28" s="34"/>
      <c r="CZ28" s="29">
        <v>1691</v>
      </c>
      <c r="DA28" s="28">
        <f t="shared" si="47"/>
        <v>191</v>
      </c>
      <c r="DB28" s="27">
        <v>0.52280000000000004</v>
      </c>
      <c r="DC28" s="28">
        <f t="shared" si="48"/>
        <v>365.34047436878342</v>
      </c>
      <c r="DD28" s="28"/>
      <c r="DE28" s="55">
        <v>1722</v>
      </c>
      <c r="DF28" s="56">
        <f t="shared" si="49"/>
        <v>289</v>
      </c>
      <c r="DG28" s="56">
        <v>0.52520000000000011</v>
      </c>
      <c r="DH28" s="56">
        <f t="shared" si="50"/>
        <v>550.26656511805015</v>
      </c>
      <c r="DI28" s="56"/>
      <c r="DJ28" s="35">
        <v>1913</v>
      </c>
      <c r="DK28" s="34">
        <f t="shared" si="0"/>
        <v>273</v>
      </c>
      <c r="DL28" s="34">
        <v>0.50860000000000005</v>
      </c>
      <c r="DM28" s="34">
        <f t="shared" si="51"/>
        <v>536.76759732599282</v>
      </c>
      <c r="DN28" s="34"/>
      <c r="DO28" s="65">
        <v>2806</v>
      </c>
      <c r="DP28" s="64">
        <f t="shared" si="52"/>
        <v>801</v>
      </c>
      <c r="DQ28" s="64">
        <v>0.51080000000000003</v>
      </c>
      <c r="DR28" s="64">
        <f t="shared" si="53"/>
        <v>1568.1284259984338</v>
      </c>
      <c r="DS28" s="64"/>
      <c r="DT28" s="55">
        <v>2341</v>
      </c>
      <c r="DU28" s="56">
        <f t="shared" si="54"/>
        <v>486</v>
      </c>
      <c r="DV28" s="56">
        <v>0.51230000000000009</v>
      </c>
      <c r="DW28" s="56">
        <f t="shared" si="55"/>
        <v>948.66289283622859</v>
      </c>
      <c r="DX28" s="56"/>
      <c r="DY28" s="1">
        <v>2823</v>
      </c>
      <c r="DZ28">
        <f t="shared" si="56"/>
        <v>1231</v>
      </c>
      <c r="ED28" s="37">
        <v>1592</v>
      </c>
      <c r="EE28" s="34">
        <f t="shared" si="57"/>
        <v>151</v>
      </c>
      <c r="EF28" s="34">
        <v>0.53979999999999995</v>
      </c>
      <c r="EG28" s="34">
        <f t="shared" si="58"/>
        <v>279.73323453130791</v>
      </c>
      <c r="EH28" s="34"/>
      <c r="EI28" s="74">
        <v>7232</v>
      </c>
      <c r="EJ28" s="73">
        <f t="shared" si="59"/>
        <v>4753</v>
      </c>
      <c r="EK28" s="73">
        <v>0.56720000000000004</v>
      </c>
      <c r="EL28" s="73">
        <f t="shared" si="60"/>
        <v>8379.7602256699574</v>
      </c>
      <c r="EM28" s="73"/>
    </row>
    <row r="29" spans="1:143" x14ac:dyDescent="0.2">
      <c r="A29">
        <v>5.7071944444444451</v>
      </c>
      <c r="B29" s="29">
        <v>1774</v>
      </c>
      <c r="C29" s="28">
        <f t="shared" si="1"/>
        <v>256</v>
      </c>
      <c r="D29" s="27">
        <v>0.51900000000000002</v>
      </c>
      <c r="E29" s="28">
        <v>0.4138</v>
      </c>
      <c r="F29" s="28">
        <f t="shared" si="2"/>
        <v>618.6563557274045</v>
      </c>
      <c r="G29" s="28">
        <f t="shared" si="3"/>
        <v>0.10310939262123409</v>
      </c>
      <c r="H29" s="55">
        <v>1763</v>
      </c>
      <c r="I29" s="56">
        <f t="shared" si="4"/>
        <v>163</v>
      </c>
      <c r="J29" s="57">
        <v>0.5151</v>
      </c>
      <c r="K29" s="56">
        <v>0.40949999999999998</v>
      </c>
      <c r="L29" s="56">
        <f t="shared" si="5"/>
        <v>162.59049999999999</v>
      </c>
      <c r="M29" s="56">
        <f t="shared" si="6"/>
        <v>2.7098416666666666E-2</v>
      </c>
      <c r="N29" s="29">
        <v>1842</v>
      </c>
      <c r="O29" s="28">
        <f t="shared" si="7"/>
        <v>201</v>
      </c>
      <c r="P29" s="27">
        <v>0.49890000000000001</v>
      </c>
      <c r="Q29" s="28">
        <v>0.39360000000000001</v>
      </c>
      <c r="R29" s="28">
        <f t="shared" si="8"/>
        <v>510.67073170731709</v>
      </c>
      <c r="S29" s="28">
        <f t="shared" si="9"/>
        <v>8.511178861788618E-2</v>
      </c>
      <c r="T29" s="55">
        <v>1857</v>
      </c>
      <c r="U29" s="56">
        <f t="shared" si="10"/>
        <v>189</v>
      </c>
      <c r="V29" s="57">
        <v>0.49559999999999998</v>
      </c>
      <c r="W29" s="56">
        <v>0.3906</v>
      </c>
      <c r="X29" s="56">
        <f t="shared" si="11"/>
        <v>483.87096774193549</v>
      </c>
      <c r="Y29">
        <f t="shared" si="12"/>
        <v>8.0645161290322578E-2</v>
      </c>
      <c r="Z29" s="29">
        <v>2523</v>
      </c>
      <c r="AA29" s="28">
        <f t="shared" si="13"/>
        <v>640</v>
      </c>
      <c r="AB29" s="27">
        <v>0.48209999999999997</v>
      </c>
      <c r="AC29" s="28">
        <v>0.37269999999999998</v>
      </c>
      <c r="AD29" s="28">
        <f t="shared" si="14"/>
        <v>1717.1988194258117</v>
      </c>
      <c r="AE29" s="28">
        <f t="shared" si="15"/>
        <v>0.28619980323763528</v>
      </c>
      <c r="AF29" s="55">
        <v>2036</v>
      </c>
      <c r="AG29" s="56">
        <f t="shared" si="16"/>
        <v>318</v>
      </c>
      <c r="AH29" s="57">
        <v>0.51749999999999996</v>
      </c>
      <c r="AI29" s="56">
        <v>0.40919999999999995</v>
      </c>
      <c r="AJ29" s="56">
        <f t="shared" si="17"/>
        <v>777.12609970674498</v>
      </c>
      <c r="AK29" s="56">
        <f t="shared" si="18"/>
        <v>0.12952101661779084</v>
      </c>
      <c r="AL29" s="7">
        <v>2608</v>
      </c>
      <c r="AM29" s="7">
        <f t="shared" si="19"/>
        <v>887</v>
      </c>
      <c r="AN29" s="7">
        <v>0.57040000000000002</v>
      </c>
      <c r="AO29" s="7">
        <v>0.46530000000000005</v>
      </c>
      <c r="AP29" s="7">
        <v>-0.76507292013153416</v>
      </c>
      <c r="AQ29" s="32">
        <v>1721</v>
      </c>
      <c r="AR29" s="28"/>
      <c r="AS29" s="27">
        <f t="shared" si="20"/>
        <v>136</v>
      </c>
      <c r="AT29" s="28">
        <v>0.46530000000000005</v>
      </c>
      <c r="AU29" s="28">
        <f t="shared" si="21"/>
        <v>292.28454760369652</v>
      </c>
      <c r="AV29" s="55">
        <v>3835</v>
      </c>
      <c r="AW29" s="56">
        <f t="shared" si="22"/>
        <v>1346</v>
      </c>
      <c r="AX29" s="57">
        <v>0.62109999999999999</v>
      </c>
      <c r="AY29" s="56">
        <v>0.51329999999999998</v>
      </c>
      <c r="AZ29" s="55">
        <f t="shared" si="23"/>
        <v>2622.2481979349309</v>
      </c>
      <c r="BA29" s="55">
        <f t="shared" si="24"/>
        <v>0.43704136632248847</v>
      </c>
      <c r="BB29" s="82">
        <v>1806</v>
      </c>
      <c r="BC29">
        <f t="shared" si="25"/>
        <v>151</v>
      </c>
      <c r="BD29" s="8">
        <v>0.49280000000000002</v>
      </c>
      <c r="BE29">
        <f t="shared" si="26"/>
        <v>306.41233766233768</v>
      </c>
      <c r="BF29">
        <f t="shared" si="27"/>
        <v>5.1068722943722944E-2</v>
      </c>
      <c r="BG29">
        <f t="shared" si="28"/>
        <v>5.1068722943722944E-2</v>
      </c>
      <c r="BH29" s="65">
        <v>1720</v>
      </c>
      <c r="BI29" s="64">
        <f t="shared" si="29"/>
        <v>11</v>
      </c>
      <c r="BJ29" s="66">
        <v>0.58699999999999997</v>
      </c>
      <c r="BK29" s="64">
        <f t="shared" si="30"/>
        <v>18.739352640545146</v>
      </c>
      <c r="BL29" s="64">
        <f t="shared" si="31"/>
        <v>3.1232254400908577E-3</v>
      </c>
      <c r="BM29" s="29">
        <v>1892</v>
      </c>
      <c r="BN29" s="28">
        <f t="shared" si="32"/>
        <v>287</v>
      </c>
      <c r="BO29" s="27">
        <v>0.57410000000000005</v>
      </c>
      <c r="BP29" s="28">
        <f t="shared" si="33"/>
        <v>499.91290715903148</v>
      </c>
      <c r="BQ29" s="28">
        <f t="shared" si="34"/>
        <v>8.3318817859838579E-2</v>
      </c>
      <c r="BR29" s="35">
        <v>2001</v>
      </c>
      <c r="BS29" s="34">
        <f t="shared" si="35"/>
        <v>315</v>
      </c>
      <c r="BT29" s="33">
        <v>0.57089999999999996</v>
      </c>
      <c r="BU29" s="34">
        <f t="shared" si="61"/>
        <v>551.76037834997373</v>
      </c>
      <c r="BV29" s="34"/>
      <c r="BW29" s="29">
        <v>2731</v>
      </c>
      <c r="BX29" s="28">
        <f t="shared" si="37"/>
        <v>739</v>
      </c>
      <c r="BY29" s="27">
        <v>0.5595</v>
      </c>
      <c r="BZ29" s="28">
        <f t="shared" si="38"/>
        <v>1320.8221626452189</v>
      </c>
      <c r="CA29" s="28"/>
      <c r="CB29" s="35">
        <v>2383</v>
      </c>
      <c r="CC29" s="34">
        <f t="shared" si="39"/>
        <v>453</v>
      </c>
      <c r="CD29" s="33">
        <v>0.57410000000000005</v>
      </c>
      <c r="CE29" s="34">
        <f t="shared" si="40"/>
        <v>789.06113917435982</v>
      </c>
      <c r="CF29" s="34"/>
      <c r="CG29" s="7">
        <v>3026</v>
      </c>
      <c r="CH29" s="7">
        <f t="shared" si="41"/>
        <v>1419</v>
      </c>
      <c r="CI29" s="7"/>
      <c r="CJ29" s="7"/>
      <c r="CL29" s="32">
        <v>1607</v>
      </c>
      <c r="CM29" s="27">
        <v>0.60799999999999998</v>
      </c>
      <c r="CN29" s="28">
        <v>0.50280000000000002</v>
      </c>
      <c r="CO29" s="28">
        <f t="shared" si="42"/>
        <v>1.2092283214001591</v>
      </c>
      <c r="CP29" s="28"/>
      <c r="CQ29" s="55">
        <v>4226</v>
      </c>
      <c r="CR29" s="57">
        <f t="shared" si="43"/>
        <v>2173</v>
      </c>
      <c r="CS29">
        <v>0.53710000000000002</v>
      </c>
      <c r="CT29" s="71">
        <f t="shared" si="44"/>
        <v>4045.801526717557</v>
      </c>
      <c r="CU29" s="35">
        <v>1954</v>
      </c>
      <c r="CV29" s="34">
        <f t="shared" si="45"/>
        <v>327</v>
      </c>
      <c r="CW29" s="33">
        <v>0.59560000000000002</v>
      </c>
      <c r="CX29" s="34">
        <f t="shared" si="46"/>
        <v>549.0261920752182</v>
      </c>
      <c r="CY29" s="34"/>
      <c r="CZ29" s="29">
        <v>1678</v>
      </c>
      <c r="DA29" s="28">
        <f t="shared" si="47"/>
        <v>178</v>
      </c>
      <c r="DB29" s="27">
        <v>0.53800000000000003</v>
      </c>
      <c r="DC29" s="28">
        <f t="shared" si="48"/>
        <v>330.85501858736058</v>
      </c>
      <c r="DD29" s="28"/>
      <c r="DE29" s="55">
        <v>1725</v>
      </c>
      <c r="DF29" s="56">
        <f t="shared" si="49"/>
        <v>292</v>
      </c>
      <c r="DG29" s="56">
        <v>0.52960000000000007</v>
      </c>
      <c r="DH29" s="56">
        <f t="shared" si="50"/>
        <v>551.35951661631418</v>
      </c>
      <c r="DI29" s="56"/>
      <c r="DJ29" s="35">
        <v>1874</v>
      </c>
      <c r="DK29" s="34">
        <f t="shared" si="0"/>
        <v>234</v>
      </c>
      <c r="DL29" s="34">
        <v>0.51519999999999999</v>
      </c>
      <c r="DM29" s="34">
        <f t="shared" si="51"/>
        <v>454.19254658385091</v>
      </c>
      <c r="DN29" s="34"/>
      <c r="DO29" s="65">
        <v>2740</v>
      </c>
      <c r="DP29" s="64">
        <f t="shared" si="52"/>
        <v>735</v>
      </c>
      <c r="DQ29" s="64">
        <v>0.51900000000000002</v>
      </c>
      <c r="DR29" s="64">
        <f t="shared" si="53"/>
        <v>1416.1849710982658</v>
      </c>
      <c r="DS29" s="64"/>
      <c r="DT29" s="55">
        <v>2253</v>
      </c>
      <c r="DU29" s="56">
        <f t="shared" si="54"/>
        <v>398</v>
      </c>
      <c r="DV29" s="56">
        <v>0.51470000000000005</v>
      </c>
      <c r="DW29" s="56">
        <f t="shared" si="55"/>
        <v>773.26598018263064</v>
      </c>
      <c r="DX29" s="56"/>
      <c r="DY29" s="1">
        <v>2752</v>
      </c>
      <c r="DZ29">
        <f t="shared" si="56"/>
        <v>1167</v>
      </c>
      <c r="ED29" s="37">
        <v>1585</v>
      </c>
      <c r="EE29" s="34">
        <f t="shared" si="57"/>
        <v>144</v>
      </c>
      <c r="EF29" s="34">
        <v>0.54420000000000002</v>
      </c>
      <c r="EG29" s="34">
        <f t="shared" si="58"/>
        <v>264.60859977949281</v>
      </c>
      <c r="EH29" s="34"/>
      <c r="EI29" s="74">
        <v>6845</v>
      </c>
      <c r="EJ29" s="73">
        <f t="shared" si="59"/>
        <v>4366</v>
      </c>
      <c r="EK29" s="73">
        <v>0.56699999999999995</v>
      </c>
      <c r="EL29" s="73">
        <f t="shared" si="60"/>
        <v>7700.176366843034</v>
      </c>
      <c r="EM29" s="73"/>
    </row>
    <row r="30" spans="1:143" x14ac:dyDescent="0.2">
      <c r="A30">
        <v>5.9450247222222226</v>
      </c>
      <c r="B30" s="29">
        <v>1796</v>
      </c>
      <c r="C30" s="28">
        <f t="shared" si="1"/>
        <v>278</v>
      </c>
      <c r="D30" s="27">
        <v>0.52849999999999997</v>
      </c>
      <c r="E30" s="28">
        <v>0.42329999999999995</v>
      </c>
      <c r="F30" s="28">
        <f t="shared" si="2"/>
        <v>656.74462556106789</v>
      </c>
      <c r="G30" s="28">
        <f t="shared" si="3"/>
        <v>0.10945743759351131</v>
      </c>
      <c r="H30" s="55">
        <v>1752</v>
      </c>
      <c r="I30" s="56">
        <f t="shared" si="4"/>
        <v>152</v>
      </c>
      <c r="J30" s="57">
        <v>0.53490000000000004</v>
      </c>
      <c r="K30" s="56">
        <v>0.42930000000000001</v>
      </c>
      <c r="L30" s="56">
        <f t="shared" si="5"/>
        <v>151.57069999999999</v>
      </c>
      <c r="M30" s="56">
        <f t="shared" si="6"/>
        <v>2.5261783333333333E-2</v>
      </c>
      <c r="N30" s="29">
        <v>1791</v>
      </c>
      <c r="O30" s="28">
        <f t="shared" si="7"/>
        <v>150</v>
      </c>
      <c r="P30" s="27">
        <v>0.5071</v>
      </c>
      <c r="Q30" s="28">
        <v>0.40179999999999999</v>
      </c>
      <c r="R30" s="28">
        <f t="shared" si="8"/>
        <v>373.32005973120954</v>
      </c>
      <c r="S30" s="28">
        <f t="shared" si="9"/>
        <v>6.2220009955201591E-2</v>
      </c>
      <c r="T30" s="55">
        <v>1867</v>
      </c>
      <c r="U30" s="56">
        <f t="shared" si="10"/>
        <v>199</v>
      </c>
      <c r="V30" s="57">
        <v>0.5091</v>
      </c>
      <c r="W30" s="56">
        <v>0.40410000000000001</v>
      </c>
      <c r="X30" s="56">
        <f t="shared" si="11"/>
        <v>492.45236327641669</v>
      </c>
      <c r="Y30">
        <f t="shared" si="12"/>
        <v>8.2075393879402783E-2</v>
      </c>
      <c r="Z30" s="29">
        <v>2425</v>
      </c>
      <c r="AA30" s="28">
        <f t="shared" si="13"/>
        <v>542</v>
      </c>
      <c r="AB30" s="27">
        <v>0.49619999999999997</v>
      </c>
      <c r="AC30" s="28">
        <v>0.38679999999999998</v>
      </c>
      <c r="AD30" s="28">
        <f t="shared" si="14"/>
        <v>1401.2409513960704</v>
      </c>
      <c r="AE30" s="28">
        <f t="shared" si="15"/>
        <v>0.23354015856601174</v>
      </c>
      <c r="AF30" s="55">
        <v>1992</v>
      </c>
      <c r="AG30" s="56">
        <f t="shared" si="16"/>
        <v>274</v>
      </c>
      <c r="AH30" s="57">
        <v>0.52229999999999999</v>
      </c>
      <c r="AI30" s="56">
        <v>0.41399999999999998</v>
      </c>
      <c r="AJ30" s="56">
        <f t="shared" si="17"/>
        <v>661.83574879227058</v>
      </c>
      <c r="AK30" s="56">
        <f t="shared" si="18"/>
        <v>0.11030595813204509</v>
      </c>
      <c r="AL30" s="7">
        <v>2503</v>
      </c>
      <c r="AM30" s="7">
        <f t="shared" si="19"/>
        <v>793</v>
      </c>
      <c r="AN30" s="7">
        <v>0.57609999999999995</v>
      </c>
      <c r="AO30" s="7">
        <v>0.47099999999999997</v>
      </c>
      <c r="AP30" s="7">
        <v>-0.75289718496571933</v>
      </c>
      <c r="AQ30" s="32">
        <v>1710</v>
      </c>
      <c r="AR30" s="28"/>
      <c r="AS30" s="27">
        <f t="shared" si="20"/>
        <v>125</v>
      </c>
      <c r="AT30" s="28">
        <v>0.47099999999999997</v>
      </c>
      <c r="AU30" s="28">
        <f t="shared" si="21"/>
        <v>265.39278131634819</v>
      </c>
      <c r="AV30" s="55">
        <v>3692</v>
      </c>
      <c r="AW30" s="56">
        <f t="shared" si="22"/>
        <v>1203</v>
      </c>
      <c r="AX30" s="57">
        <v>0.64539999999999997</v>
      </c>
      <c r="AY30" s="56">
        <v>0.53759999999999997</v>
      </c>
      <c r="AZ30" s="55">
        <f t="shared" si="23"/>
        <v>2237.7232142857142</v>
      </c>
      <c r="BA30" s="55">
        <f t="shared" si="24"/>
        <v>0.37295386904761901</v>
      </c>
      <c r="BB30" s="82">
        <v>1758</v>
      </c>
      <c r="BC30">
        <f t="shared" si="25"/>
        <v>103</v>
      </c>
      <c r="BD30" s="8">
        <v>0.52710000000000001</v>
      </c>
      <c r="BE30">
        <f t="shared" si="26"/>
        <v>195.40884082716752</v>
      </c>
      <c r="BF30">
        <f t="shared" si="27"/>
        <v>3.2568140137861253E-2</v>
      </c>
      <c r="BG30">
        <f t="shared" si="28"/>
        <v>3.2568140137861253E-2</v>
      </c>
      <c r="BH30" s="65">
        <v>1696</v>
      </c>
      <c r="BI30" s="64">
        <f t="shared" si="29"/>
        <v>15</v>
      </c>
      <c r="BJ30" s="66">
        <v>0.59279999999999999</v>
      </c>
      <c r="BK30" s="64">
        <f t="shared" si="30"/>
        <v>25.303643724696357</v>
      </c>
      <c r="BL30" s="64">
        <f t="shared" si="31"/>
        <v>4.2172739541160593E-3</v>
      </c>
      <c r="BM30" s="29">
        <v>1845</v>
      </c>
      <c r="BN30" s="28">
        <f t="shared" si="32"/>
        <v>240</v>
      </c>
      <c r="BO30" s="27">
        <v>0.58309999999999995</v>
      </c>
      <c r="BP30" s="28">
        <f t="shared" si="33"/>
        <v>411.59320871205631</v>
      </c>
      <c r="BQ30" s="28">
        <f t="shared" si="34"/>
        <v>6.8598868118676048E-2</v>
      </c>
      <c r="BR30" s="35">
        <v>1971</v>
      </c>
      <c r="BS30" s="34">
        <f t="shared" si="35"/>
        <v>285</v>
      </c>
      <c r="BT30" s="33">
        <v>0.58220000000000005</v>
      </c>
      <c r="BU30" s="34">
        <f t="shared" si="61"/>
        <v>489.52250085881138</v>
      </c>
      <c r="BV30" s="34"/>
      <c r="BW30" s="29">
        <v>2667</v>
      </c>
      <c r="BX30" s="28">
        <f t="shared" si="37"/>
        <v>675</v>
      </c>
      <c r="BY30" s="27">
        <v>0.57489999999999997</v>
      </c>
      <c r="BZ30" s="28">
        <f t="shared" si="38"/>
        <v>1174.1172377804837</v>
      </c>
      <c r="CA30" s="28"/>
      <c r="CB30" s="35">
        <v>2321</v>
      </c>
      <c r="CC30" s="34">
        <f t="shared" si="39"/>
        <v>391</v>
      </c>
      <c r="CD30" s="33">
        <v>0.58930000000000005</v>
      </c>
      <c r="CE30" s="34">
        <f t="shared" si="40"/>
        <v>663.49906668929236</v>
      </c>
      <c r="CF30" s="34"/>
      <c r="CG30" s="7">
        <v>2901</v>
      </c>
      <c r="CH30" s="7">
        <f t="shared" si="41"/>
        <v>1285</v>
      </c>
      <c r="CI30" s="7"/>
      <c r="CJ30" s="7"/>
      <c r="CL30" s="32">
        <v>1616</v>
      </c>
      <c r="CM30" s="27">
        <v>0.60529999999999995</v>
      </c>
      <c r="CN30" s="28">
        <v>0.50009999999999999</v>
      </c>
      <c r="CO30" s="28">
        <f t="shared" si="42"/>
        <v>1.2103579284143171</v>
      </c>
      <c r="CP30" s="28"/>
      <c r="CQ30" s="55">
        <v>4009</v>
      </c>
      <c r="CR30" s="57">
        <f t="shared" si="43"/>
        <v>1956</v>
      </c>
      <c r="CS30">
        <v>0.52729999999999999</v>
      </c>
      <c r="CT30" s="71">
        <f t="shared" si="44"/>
        <v>3709.4633036222267</v>
      </c>
      <c r="CU30" s="35">
        <v>1918</v>
      </c>
      <c r="CV30" s="34">
        <f t="shared" si="45"/>
        <v>291</v>
      </c>
      <c r="CW30" s="33">
        <v>0.62380000000000002</v>
      </c>
      <c r="CX30" s="34">
        <f t="shared" si="46"/>
        <v>466.4956716896441</v>
      </c>
      <c r="CY30" s="34"/>
      <c r="CZ30" s="29">
        <v>1638</v>
      </c>
      <c r="DA30" s="28">
        <f t="shared" si="47"/>
        <v>138</v>
      </c>
      <c r="DB30" s="27">
        <v>0.53060000000000007</v>
      </c>
      <c r="DC30" s="28">
        <f t="shared" si="48"/>
        <v>260.08292499057666</v>
      </c>
      <c r="DD30" s="28"/>
      <c r="DE30" s="55">
        <v>1698</v>
      </c>
      <c r="DF30" s="56">
        <f t="shared" si="49"/>
        <v>265</v>
      </c>
      <c r="DG30" s="56">
        <v>0.53049999999999997</v>
      </c>
      <c r="DH30" s="56">
        <f t="shared" si="50"/>
        <v>499.52874646559854</v>
      </c>
      <c r="DI30" s="56"/>
      <c r="DJ30" s="35">
        <v>1857</v>
      </c>
      <c r="DK30" s="34">
        <f t="shared" si="0"/>
        <v>217</v>
      </c>
      <c r="DL30" s="34">
        <v>0.51160000000000005</v>
      </c>
      <c r="DM30" s="34">
        <f t="shared" si="51"/>
        <v>424.15949960906954</v>
      </c>
      <c r="DN30" s="34"/>
      <c r="DO30" s="65">
        <v>2656</v>
      </c>
      <c r="DP30" s="64">
        <f t="shared" si="52"/>
        <v>651</v>
      </c>
      <c r="DQ30" s="64">
        <v>0.52300000000000002</v>
      </c>
      <c r="DR30" s="64">
        <f t="shared" si="53"/>
        <v>1244.7418738049712</v>
      </c>
      <c r="DS30" s="64"/>
      <c r="DT30" s="55">
        <v>2174</v>
      </c>
      <c r="DU30" s="56">
        <f t="shared" si="54"/>
        <v>319</v>
      </c>
      <c r="DV30" s="56">
        <v>0.51280000000000003</v>
      </c>
      <c r="DW30" s="56">
        <f t="shared" si="55"/>
        <v>622.07488299531974</v>
      </c>
      <c r="DX30" s="56"/>
      <c r="DY30" s="1">
        <v>2602</v>
      </c>
      <c r="DZ30">
        <f t="shared" si="56"/>
        <v>1029</v>
      </c>
      <c r="ED30" s="37">
        <v>1573</v>
      </c>
      <c r="EE30" s="34">
        <f t="shared" si="57"/>
        <v>132</v>
      </c>
      <c r="EF30" s="34">
        <v>0.54139999999999999</v>
      </c>
      <c r="EG30" s="34">
        <f t="shared" si="58"/>
        <v>243.81233838197267</v>
      </c>
      <c r="EH30" s="34"/>
      <c r="EI30" s="74">
        <v>6529</v>
      </c>
      <c r="EJ30" s="73">
        <f t="shared" si="59"/>
        <v>4050</v>
      </c>
      <c r="EK30" s="73">
        <v>0.56089999999999995</v>
      </c>
      <c r="EL30" s="73">
        <f t="shared" si="60"/>
        <v>7220.5384203957929</v>
      </c>
      <c r="EM30" s="73"/>
    </row>
    <row r="31" spans="1:143" x14ac:dyDescent="0.2">
      <c r="A31">
        <v>6.1827869444444445</v>
      </c>
      <c r="B31" s="29">
        <v>1796</v>
      </c>
      <c r="C31" s="28">
        <f t="shared" si="1"/>
        <v>278</v>
      </c>
      <c r="D31" s="27">
        <v>0.53910000000000002</v>
      </c>
      <c r="E31" s="28">
        <v>0.43390000000000001</v>
      </c>
      <c r="F31" s="28">
        <f t="shared" si="2"/>
        <v>640.7006222631943</v>
      </c>
      <c r="G31" s="28">
        <f t="shared" si="3"/>
        <v>0.10678343704386571</v>
      </c>
      <c r="H31" s="55">
        <v>1766</v>
      </c>
      <c r="I31" s="56">
        <f t="shared" si="4"/>
        <v>166</v>
      </c>
      <c r="J31" s="57">
        <v>0.54079999999999995</v>
      </c>
      <c r="K31" s="56">
        <v>0.43519999999999992</v>
      </c>
      <c r="L31" s="56">
        <f t="shared" si="5"/>
        <v>165.56479999999999</v>
      </c>
      <c r="M31" s="56">
        <f t="shared" si="6"/>
        <v>2.7594133333333333E-2</v>
      </c>
      <c r="N31" s="29">
        <v>1842</v>
      </c>
      <c r="O31" s="28">
        <f t="shared" si="7"/>
        <v>201</v>
      </c>
      <c r="P31" s="27">
        <v>0.51949999999999996</v>
      </c>
      <c r="Q31" s="28">
        <v>0.41419999999999996</v>
      </c>
      <c r="R31" s="28">
        <f t="shared" si="8"/>
        <v>485.27281506518597</v>
      </c>
      <c r="S31" s="28">
        <f t="shared" si="9"/>
        <v>8.0878802510864323E-2</v>
      </c>
      <c r="T31" s="55">
        <v>1860</v>
      </c>
      <c r="U31" s="56">
        <f t="shared" si="10"/>
        <v>192</v>
      </c>
      <c r="V31" s="57">
        <v>0.51759999999999995</v>
      </c>
      <c r="W31" s="56">
        <v>0.41259999999999997</v>
      </c>
      <c r="X31" s="56">
        <f t="shared" si="11"/>
        <v>465.34173533688806</v>
      </c>
      <c r="Y31">
        <f t="shared" si="12"/>
        <v>7.7556955889481347E-2</v>
      </c>
      <c r="Z31" s="29">
        <v>2457</v>
      </c>
      <c r="AA31" s="28">
        <f t="shared" si="13"/>
        <v>574</v>
      </c>
      <c r="AB31" s="27">
        <v>0.5081</v>
      </c>
      <c r="AC31" s="28">
        <v>0.3987</v>
      </c>
      <c r="AD31" s="28">
        <f t="shared" si="14"/>
        <v>1439.6789566089792</v>
      </c>
      <c r="AE31" s="28">
        <f t="shared" si="15"/>
        <v>0.23994649276816321</v>
      </c>
      <c r="AF31" s="55">
        <v>2027</v>
      </c>
      <c r="AG31" s="56">
        <f t="shared" si="16"/>
        <v>309</v>
      </c>
      <c r="AH31" s="57">
        <v>0.51670000000000005</v>
      </c>
      <c r="AI31" s="56">
        <v>0.40840000000000004</v>
      </c>
      <c r="AJ31" s="56">
        <f t="shared" si="17"/>
        <v>756.61116552399596</v>
      </c>
      <c r="AK31" s="56">
        <f t="shared" si="18"/>
        <v>0.126101860920666</v>
      </c>
      <c r="AL31" s="7">
        <v>2523</v>
      </c>
      <c r="AM31" s="7">
        <f t="shared" si="19"/>
        <v>805</v>
      </c>
      <c r="AN31" s="7">
        <v>0.57340000000000002</v>
      </c>
      <c r="AO31" s="7">
        <v>0.46830000000000005</v>
      </c>
      <c r="AP31" s="7">
        <v>-0.75864616279264085</v>
      </c>
      <c r="AQ31" s="32">
        <v>1718</v>
      </c>
      <c r="AR31" s="28"/>
      <c r="AS31" s="27">
        <f t="shared" si="20"/>
        <v>133</v>
      </c>
      <c r="AT31" s="28">
        <v>0.46830000000000005</v>
      </c>
      <c r="AU31" s="28">
        <f t="shared" si="21"/>
        <v>284.00597907324362</v>
      </c>
      <c r="AV31" s="55">
        <v>3675</v>
      </c>
      <c r="AW31" s="56">
        <f t="shared" si="22"/>
        <v>1186</v>
      </c>
      <c r="AX31" s="57">
        <v>0.64180000000000004</v>
      </c>
      <c r="AY31" s="56">
        <v>0.53400000000000003</v>
      </c>
      <c r="AZ31" s="55">
        <f t="shared" si="23"/>
        <v>2220.9737827715353</v>
      </c>
      <c r="BA31" s="55">
        <f t="shared" si="24"/>
        <v>0.37016229712858922</v>
      </c>
      <c r="BB31" s="82">
        <v>1814</v>
      </c>
      <c r="BC31">
        <f t="shared" si="25"/>
        <v>159</v>
      </c>
      <c r="BD31" s="8">
        <v>0.54810000000000003</v>
      </c>
      <c r="BE31">
        <f t="shared" si="26"/>
        <v>290.09304871373837</v>
      </c>
      <c r="BF31">
        <f t="shared" si="27"/>
        <v>4.834884145228973E-2</v>
      </c>
      <c r="BG31">
        <f t="shared" si="28"/>
        <v>4.834884145228973E-2</v>
      </c>
      <c r="BH31" s="65">
        <v>1701</v>
      </c>
      <c r="BI31" s="64">
        <f t="shared" si="29"/>
        <v>-2</v>
      </c>
      <c r="BJ31" s="66">
        <v>0.59589999999999999</v>
      </c>
      <c r="BK31" s="64">
        <f t="shared" si="30"/>
        <v>-3.3562678301728477</v>
      </c>
      <c r="BL31" s="64">
        <f t="shared" si="31"/>
        <v>-5.5937797169547463E-4</v>
      </c>
      <c r="BM31" s="29">
        <v>1889</v>
      </c>
      <c r="BN31" s="28">
        <f t="shared" si="32"/>
        <v>284</v>
      </c>
      <c r="BO31" s="27">
        <v>0.58250000000000002</v>
      </c>
      <c r="BP31" s="28">
        <f t="shared" si="33"/>
        <v>487.55364806866953</v>
      </c>
      <c r="BQ31" s="28">
        <f t="shared" si="34"/>
        <v>8.1258941344778249E-2</v>
      </c>
      <c r="BR31" s="35">
        <v>1972</v>
      </c>
      <c r="BS31" s="34">
        <f t="shared" si="35"/>
        <v>286</v>
      </c>
      <c r="BT31" s="33">
        <v>0.58069999999999999</v>
      </c>
      <c r="BU31" s="34">
        <f t="shared" si="61"/>
        <v>492.50904081281215</v>
      </c>
      <c r="BV31" s="34"/>
      <c r="BW31" s="29">
        <v>2658</v>
      </c>
      <c r="BX31" s="28">
        <f t="shared" si="37"/>
        <v>666</v>
      </c>
      <c r="BY31" s="27">
        <v>0.57650000000000001</v>
      </c>
      <c r="BZ31" s="28">
        <f t="shared" si="38"/>
        <v>1155.2471812662618</v>
      </c>
      <c r="CA31" s="28"/>
      <c r="CB31" s="35">
        <v>2319</v>
      </c>
      <c r="CC31" s="34">
        <f t="shared" si="39"/>
        <v>389</v>
      </c>
      <c r="CD31" s="33">
        <v>0.58630000000000004</v>
      </c>
      <c r="CE31" s="34">
        <f t="shared" si="40"/>
        <v>663.48285860480973</v>
      </c>
      <c r="CF31" s="34"/>
      <c r="CG31" s="7">
        <v>2913</v>
      </c>
      <c r="CH31" s="7">
        <f t="shared" si="41"/>
        <v>1267</v>
      </c>
      <c r="CI31" s="7"/>
      <c r="CJ31" s="7"/>
      <c r="CL31" s="32">
        <v>1646</v>
      </c>
      <c r="CM31" s="27">
        <v>0.59809999999999997</v>
      </c>
      <c r="CN31" s="28">
        <v>0.49289999999999995</v>
      </c>
      <c r="CO31" s="28">
        <f t="shared" si="42"/>
        <v>1.2134307161696085</v>
      </c>
      <c r="CP31" s="28"/>
      <c r="CQ31" s="55">
        <v>4045</v>
      </c>
      <c r="CR31" s="57">
        <f t="shared" si="43"/>
        <v>1992</v>
      </c>
      <c r="CS31">
        <v>0.51300000000000001</v>
      </c>
      <c r="CT31" s="71">
        <f t="shared" si="44"/>
        <v>3883.0409356725145</v>
      </c>
      <c r="CU31" s="35">
        <v>1947</v>
      </c>
      <c r="CV31" s="34">
        <f t="shared" si="45"/>
        <v>320</v>
      </c>
      <c r="CW31" s="33">
        <v>0.53670000000000007</v>
      </c>
      <c r="CX31" s="34">
        <f t="shared" si="46"/>
        <v>596.23625861747712</v>
      </c>
      <c r="CY31" s="34"/>
      <c r="CZ31" s="29">
        <v>1670</v>
      </c>
      <c r="DA31" s="28">
        <f t="shared" si="47"/>
        <v>170</v>
      </c>
      <c r="DB31" s="27">
        <v>0.54430000000000001</v>
      </c>
      <c r="DC31" s="28">
        <f t="shared" si="48"/>
        <v>312.32776042623556</v>
      </c>
      <c r="DD31" s="28"/>
      <c r="DE31" s="55">
        <v>1719</v>
      </c>
      <c r="DF31" s="56">
        <f t="shared" si="49"/>
        <v>286</v>
      </c>
      <c r="DG31" s="56">
        <v>0.52010000000000001</v>
      </c>
      <c r="DH31" s="56">
        <f t="shared" si="50"/>
        <v>549.89425110555658</v>
      </c>
      <c r="DI31" s="56"/>
      <c r="DJ31" s="35">
        <v>1869</v>
      </c>
      <c r="DK31" s="34">
        <f t="shared" si="0"/>
        <v>229</v>
      </c>
      <c r="DL31" s="34">
        <v>0.52500000000000002</v>
      </c>
      <c r="DM31" s="34">
        <f t="shared" si="51"/>
        <v>436.19047619047615</v>
      </c>
      <c r="DN31" s="34"/>
      <c r="DO31" s="65">
        <v>2670</v>
      </c>
      <c r="DP31" s="64">
        <f t="shared" si="52"/>
        <v>665</v>
      </c>
      <c r="DQ31" s="64">
        <v>0.51869999999999994</v>
      </c>
      <c r="DR31" s="64">
        <f t="shared" si="53"/>
        <v>1282.0512820512822</v>
      </c>
      <c r="DS31" s="64"/>
      <c r="DT31" s="55">
        <v>2230</v>
      </c>
      <c r="DU31" s="56">
        <f t="shared" si="54"/>
        <v>375</v>
      </c>
      <c r="DV31" s="56">
        <v>0.51470000000000005</v>
      </c>
      <c r="DW31" s="56">
        <f t="shared" si="55"/>
        <v>728.57975519720219</v>
      </c>
      <c r="DX31" s="56"/>
      <c r="DY31" s="1">
        <v>2660</v>
      </c>
      <c r="DZ31">
        <f t="shared" si="56"/>
        <v>1058</v>
      </c>
      <c r="ED31" s="37">
        <v>1602</v>
      </c>
      <c r="EE31" s="34">
        <f t="shared" si="57"/>
        <v>161</v>
      </c>
      <c r="EF31" s="34">
        <v>0.54100000000000004</v>
      </c>
      <c r="EG31" s="34">
        <f t="shared" si="58"/>
        <v>297.59704251386319</v>
      </c>
      <c r="EH31" s="34"/>
      <c r="EI31" s="74">
        <v>6438</v>
      </c>
      <c r="EJ31" s="73">
        <f t="shared" si="59"/>
        <v>3959</v>
      </c>
      <c r="EK31" s="73">
        <v>0.55000000000000004</v>
      </c>
      <c r="EL31" s="73">
        <f t="shared" si="60"/>
        <v>7198.181818181818</v>
      </c>
      <c r="EM31" s="73"/>
    </row>
    <row r="32" spans="1:143" x14ac:dyDescent="0.2">
      <c r="A32">
        <v>6.4205563888888895</v>
      </c>
      <c r="B32" s="29">
        <v>1781</v>
      </c>
      <c r="C32" s="28">
        <f t="shared" si="1"/>
        <v>263</v>
      </c>
      <c r="D32" s="27">
        <v>0.53</v>
      </c>
      <c r="E32" s="28">
        <v>0.42480000000000001</v>
      </c>
      <c r="F32" s="28">
        <f t="shared" si="2"/>
        <v>619.11487758945384</v>
      </c>
      <c r="G32" s="28">
        <f t="shared" si="3"/>
        <v>0.10318581293157564</v>
      </c>
      <c r="H32" s="55">
        <v>1820</v>
      </c>
      <c r="I32" s="56">
        <f t="shared" si="4"/>
        <v>220</v>
      </c>
      <c r="J32" s="57">
        <v>0.54169999999999996</v>
      </c>
      <c r="K32" s="56">
        <v>0.43609999999999993</v>
      </c>
      <c r="L32" s="56">
        <f t="shared" si="5"/>
        <v>219.56389999999999</v>
      </c>
      <c r="M32" s="56">
        <f t="shared" si="6"/>
        <v>3.659398333333333E-2</v>
      </c>
      <c r="N32" s="29">
        <v>1851</v>
      </c>
      <c r="O32" s="28">
        <f t="shared" si="7"/>
        <v>210</v>
      </c>
      <c r="P32" s="27">
        <v>0.53049999999999997</v>
      </c>
      <c r="Q32" s="28">
        <v>0.42519999999999997</v>
      </c>
      <c r="R32" s="28">
        <f t="shared" si="8"/>
        <v>493.88523047977424</v>
      </c>
      <c r="S32" s="28">
        <f t="shared" si="9"/>
        <v>8.2314205079962371E-2</v>
      </c>
      <c r="T32" s="55">
        <v>1850</v>
      </c>
      <c r="U32" s="56">
        <f t="shared" si="10"/>
        <v>182</v>
      </c>
      <c r="V32" s="57">
        <v>0.53110000000000002</v>
      </c>
      <c r="W32" s="56">
        <v>0.42610000000000003</v>
      </c>
      <c r="X32" s="56">
        <f t="shared" si="11"/>
        <v>427.12978174137521</v>
      </c>
      <c r="Y32">
        <f t="shared" si="12"/>
        <v>7.1188296956895866E-2</v>
      </c>
      <c r="Z32" s="29">
        <v>2445</v>
      </c>
      <c r="AA32" s="28">
        <f t="shared" si="13"/>
        <v>562</v>
      </c>
      <c r="AB32" s="27">
        <v>0.51419999999999999</v>
      </c>
      <c r="AC32" s="28">
        <v>0.40479999999999999</v>
      </c>
      <c r="AD32" s="28">
        <f t="shared" si="14"/>
        <v>1388.3399209486167</v>
      </c>
      <c r="AE32" s="28">
        <f t="shared" si="15"/>
        <v>0.23138998682476947</v>
      </c>
      <c r="AF32" s="55">
        <v>1995</v>
      </c>
      <c r="AG32" s="56">
        <f t="shared" si="16"/>
        <v>277</v>
      </c>
      <c r="AH32" s="57">
        <v>0.54090000000000005</v>
      </c>
      <c r="AI32" s="56">
        <v>0.43260000000000004</v>
      </c>
      <c r="AJ32" s="56">
        <f t="shared" si="17"/>
        <v>640.31437817845574</v>
      </c>
      <c r="AK32" s="56">
        <f t="shared" si="18"/>
        <v>0.10671906302974263</v>
      </c>
      <c r="AL32" s="7">
        <v>2471</v>
      </c>
      <c r="AM32" s="7">
        <f t="shared" si="19"/>
        <v>729</v>
      </c>
      <c r="AN32" s="7">
        <v>0.58989999999999998</v>
      </c>
      <c r="AO32" s="7">
        <v>0.48480000000000001</v>
      </c>
      <c r="AP32" s="7">
        <v>-0.72401884422703233</v>
      </c>
      <c r="AQ32" s="32">
        <v>1742</v>
      </c>
      <c r="AR32" s="28"/>
      <c r="AS32" s="27">
        <f t="shared" si="20"/>
        <v>157</v>
      </c>
      <c r="AT32" s="28">
        <v>0.48480000000000001</v>
      </c>
      <c r="AU32" s="28">
        <f t="shared" si="21"/>
        <v>323.84488448844883</v>
      </c>
      <c r="AV32" s="55">
        <v>3590</v>
      </c>
      <c r="AW32" s="56">
        <f t="shared" si="22"/>
        <v>1101</v>
      </c>
      <c r="AX32" s="57">
        <v>0.64910000000000001</v>
      </c>
      <c r="AY32" s="56">
        <v>0.5413</v>
      </c>
      <c r="AZ32" s="55">
        <f t="shared" si="23"/>
        <v>2033.9922409015333</v>
      </c>
      <c r="BA32" s="55">
        <f t="shared" si="24"/>
        <v>0.33899870681692224</v>
      </c>
      <c r="BB32" s="82">
        <v>1784</v>
      </c>
      <c r="BC32">
        <f t="shared" si="25"/>
        <v>129</v>
      </c>
      <c r="BD32" s="8">
        <v>0.56510000000000005</v>
      </c>
      <c r="BE32">
        <f t="shared" si="26"/>
        <v>228.27818085294635</v>
      </c>
      <c r="BF32">
        <f t="shared" si="27"/>
        <v>3.8046363475491056E-2</v>
      </c>
      <c r="BG32">
        <f t="shared" si="28"/>
        <v>3.8046363475491056E-2</v>
      </c>
      <c r="BH32" s="65">
        <v>1701</v>
      </c>
      <c r="BI32" s="64">
        <f t="shared" si="29"/>
        <v>0</v>
      </c>
      <c r="BJ32" s="66">
        <v>0.59930000000000005</v>
      </c>
      <c r="BK32" s="64">
        <f t="shared" si="30"/>
        <v>0</v>
      </c>
      <c r="BL32" s="64">
        <f t="shared" si="31"/>
        <v>0</v>
      </c>
      <c r="BM32" s="29">
        <v>1800</v>
      </c>
      <c r="BN32" s="28">
        <f t="shared" si="32"/>
        <v>195</v>
      </c>
      <c r="BO32" s="27">
        <v>0.59130000000000005</v>
      </c>
      <c r="BP32" s="28">
        <f t="shared" si="33"/>
        <v>329.78183663115169</v>
      </c>
      <c r="BQ32" s="28">
        <f t="shared" si="34"/>
        <v>5.496363943852528E-2</v>
      </c>
      <c r="BR32" s="35">
        <v>1971</v>
      </c>
      <c r="BS32" s="34">
        <f t="shared" si="35"/>
        <v>285</v>
      </c>
      <c r="BT32" s="33">
        <v>0.58160000000000001</v>
      </c>
      <c r="BU32" s="34">
        <f t="shared" si="61"/>
        <v>490.02751031636865</v>
      </c>
      <c r="BV32" s="34"/>
      <c r="BW32" s="29">
        <v>2678</v>
      </c>
      <c r="BX32" s="28">
        <f t="shared" si="37"/>
        <v>686</v>
      </c>
      <c r="BY32" s="27">
        <v>0.58009999999999995</v>
      </c>
      <c r="BZ32" s="28">
        <f t="shared" si="38"/>
        <v>1182.5547319427685</v>
      </c>
      <c r="CA32" s="28"/>
      <c r="CB32" s="35">
        <v>2328</v>
      </c>
      <c r="CC32" s="34">
        <f t="shared" si="39"/>
        <v>398</v>
      </c>
      <c r="CD32" s="33">
        <v>0.59289999999999998</v>
      </c>
      <c r="CE32" s="34">
        <f t="shared" si="40"/>
        <v>671.27677517287907</v>
      </c>
      <c r="CF32" s="34"/>
      <c r="CG32" s="7">
        <v>2848</v>
      </c>
      <c r="CH32" s="7">
        <f t="shared" si="41"/>
        <v>1213</v>
      </c>
      <c r="CI32" s="7"/>
      <c r="CJ32" s="7"/>
      <c r="CL32" s="32">
        <v>1635</v>
      </c>
      <c r="CM32" s="27">
        <v>0.60229999999999995</v>
      </c>
      <c r="CN32" s="28">
        <v>0.49709999999999993</v>
      </c>
      <c r="CO32" s="28">
        <f t="shared" si="42"/>
        <v>1.211627439147053</v>
      </c>
      <c r="CP32" s="28"/>
      <c r="CQ32" s="55">
        <v>3919</v>
      </c>
      <c r="CR32" s="57">
        <f t="shared" si="43"/>
        <v>1866</v>
      </c>
      <c r="CS32">
        <v>0.53600000000000003</v>
      </c>
      <c r="CT32" s="71">
        <f t="shared" si="44"/>
        <v>3481.3432835820895</v>
      </c>
      <c r="CU32" s="35">
        <v>1927</v>
      </c>
      <c r="CV32" s="34">
        <f t="shared" si="45"/>
        <v>300</v>
      </c>
      <c r="CW32" s="33">
        <v>0.58220000000000005</v>
      </c>
      <c r="CX32" s="34">
        <f t="shared" si="46"/>
        <v>515.28684300927512</v>
      </c>
      <c r="CY32" s="34"/>
      <c r="CZ32" s="29">
        <v>1664</v>
      </c>
      <c r="DA32" s="28">
        <f t="shared" si="47"/>
        <v>164</v>
      </c>
      <c r="DB32" s="27">
        <v>0.53220000000000001</v>
      </c>
      <c r="DC32" s="28">
        <f t="shared" si="48"/>
        <v>308.15482901164972</v>
      </c>
      <c r="DD32" s="28"/>
      <c r="DE32" s="55">
        <v>1680</v>
      </c>
      <c r="DF32" s="56">
        <f t="shared" si="49"/>
        <v>247</v>
      </c>
      <c r="DG32" s="56">
        <v>0.52360000000000007</v>
      </c>
      <c r="DH32" s="56">
        <f t="shared" si="50"/>
        <v>471.73414820473636</v>
      </c>
      <c r="DI32" s="56"/>
      <c r="DJ32" s="35">
        <v>1851</v>
      </c>
      <c r="DK32" s="34">
        <f t="shared" si="0"/>
        <v>211</v>
      </c>
      <c r="DL32" s="34">
        <v>0.51229999999999998</v>
      </c>
      <c r="DM32" s="34">
        <f t="shared" si="51"/>
        <v>411.86804606675776</v>
      </c>
      <c r="DN32" s="34"/>
      <c r="DO32" s="65">
        <v>2626</v>
      </c>
      <c r="DP32" s="64">
        <f t="shared" si="52"/>
        <v>621</v>
      </c>
      <c r="DQ32" s="64">
        <v>0.52459999999999996</v>
      </c>
      <c r="DR32" s="64">
        <f t="shared" si="53"/>
        <v>1183.7590545177279</v>
      </c>
      <c r="DS32" s="64"/>
      <c r="DT32" s="55">
        <v>2250</v>
      </c>
      <c r="DU32" s="56">
        <f t="shared" si="54"/>
        <v>395</v>
      </c>
      <c r="DV32" s="56">
        <v>0.50819999999999999</v>
      </c>
      <c r="DW32" s="56">
        <f t="shared" si="55"/>
        <v>777.25304998032277</v>
      </c>
      <c r="DX32" s="56"/>
      <c r="DY32" s="1">
        <v>2620</v>
      </c>
      <c r="DZ32">
        <f t="shared" si="56"/>
        <v>1017</v>
      </c>
      <c r="ED32" s="37">
        <v>1603</v>
      </c>
      <c r="EE32" s="34">
        <f t="shared" si="57"/>
        <v>162</v>
      </c>
      <c r="EF32" s="34">
        <v>0.54659999999999997</v>
      </c>
      <c r="EG32" s="34">
        <f t="shared" si="58"/>
        <v>296.37760702524702</v>
      </c>
      <c r="EH32" s="34"/>
      <c r="EI32" s="74">
        <v>6312</v>
      </c>
      <c r="EJ32" s="73">
        <f t="shared" si="59"/>
        <v>3833</v>
      </c>
      <c r="EK32" s="73">
        <v>0.54879999999999995</v>
      </c>
      <c r="EL32" s="73">
        <f t="shared" si="60"/>
        <v>6984.3294460641409</v>
      </c>
      <c r="EM32" s="73"/>
    </row>
    <row r="33" spans="1:143" x14ac:dyDescent="0.2">
      <c r="A33">
        <v>6.658389722222223</v>
      </c>
      <c r="B33" s="29">
        <v>1761</v>
      </c>
      <c r="C33" s="28">
        <f t="shared" si="1"/>
        <v>243</v>
      </c>
      <c r="D33" s="27">
        <v>0.52890000000000004</v>
      </c>
      <c r="E33" s="28">
        <v>0.42370000000000002</v>
      </c>
      <c r="F33" s="28">
        <f t="shared" si="2"/>
        <v>573.51899929195179</v>
      </c>
      <c r="G33" s="28">
        <f t="shared" si="3"/>
        <v>9.5586499881991971E-2</v>
      </c>
      <c r="H33" s="55">
        <v>1734</v>
      </c>
      <c r="I33" s="56">
        <f t="shared" si="4"/>
        <v>134</v>
      </c>
      <c r="J33" s="57">
        <v>0.53910000000000002</v>
      </c>
      <c r="K33" s="56">
        <v>0.4335</v>
      </c>
      <c r="L33" s="56">
        <f t="shared" si="5"/>
        <v>133.56649999999999</v>
      </c>
      <c r="M33" s="56">
        <f t="shared" si="6"/>
        <v>2.2261083333333331E-2</v>
      </c>
      <c r="N33" s="29">
        <v>1818</v>
      </c>
      <c r="O33" s="28">
        <f t="shared" si="7"/>
        <v>177</v>
      </c>
      <c r="P33" s="27">
        <v>0.5262</v>
      </c>
      <c r="Q33" s="28">
        <v>0.4209</v>
      </c>
      <c r="R33" s="28">
        <f t="shared" si="8"/>
        <v>420.52744119743409</v>
      </c>
      <c r="S33" s="28">
        <f t="shared" si="9"/>
        <v>7.0087906866239016E-2</v>
      </c>
      <c r="T33" s="55">
        <v>1823</v>
      </c>
      <c r="U33" s="56">
        <f t="shared" si="10"/>
        <v>155</v>
      </c>
      <c r="V33" s="57">
        <v>0.53</v>
      </c>
      <c r="W33" s="56">
        <v>0.42500000000000004</v>
      </c>
      <c r="X33" s="56">
        <f t="shared" si="11"/>
        <v>364.70588235294116</v>
      </c>
      <c r="Y33">
        <f t="shared" si="12"/>
        <v>6.0784313725490195E-2</v>
      </c>
      <c r="Z33" s="29">
        <v>2369</v>
      </c>
      <c r="AA33" s="28">
        <f t="shared" si="13"/>
        <v>486</v>
      </c>
      <c r="AB33" s="27">
        <v>0.51600000000000001</v>
      </c>
      <c r="AC33" s="28">
        <v>0.40660000000000002</v>
      </c>
      <c r="AD33" s="28">
        <f t="shared" si="14"/>
        <v>1195.2779144121987</v>
      </c>
      <c r="AE33" s="28">
        <f t="shared" si="15"/>
        <v>0.19921298573536644</v>
      </c>
      <c r="AF33" s="55">
        <v>1947</v>
      </c>
      <c r="AG33" s="56">
        <f t="shared" si="16"/>
        <v>229</v>
      </c>
      <c r="AH33" s="57">
        <v>0.53500000000000003</v>
      </c>
      <c r="AI33" s="56">
        <v>0.42670000000000002</v>
      </c>
      <c r="AJ33" s="56">
        <f t="shared" si="17"/>
        <v>536.67682212327156</v>
      </c>
      <c r="AK33" s="56">
        <f t="shared" si="18"/>
        <v>8.9446137020545255E-2</v>
      </c>
      <c r="AL33" s="7">
        <v>2430</v>
      </c>
      <c r="AM33" s="7">
        <f t="shared" si="19"/>
        <v>721</v>
      </c>
      <c r="AN33" s="7">
        <v>0.59330000000000005</v>
      </c>
      <c r="AO33" s="7">
        <v>0.48820000000000008</v>
      </c>
      <c r="AP33" s="7">
        <v>-0.71703012102327723</v>
      </c>
      <c r="AQ33" s="32">
        <v>1709</v>
      </c>
      <c r="AR33" s="28"/>
      <c r="AS33" s="27">
        <f t="shared" si="20"/>
        <v>124</v>
      </c>
      <c r="AT33" s="28">
        <v>0.48820000000000008</v>
      </c>
      <c r="AU33" s="28">
        <f t="shared" si="21"/>
        <v>253.994264645637</v>
      </c>
      <c r="AV33" s="55">
        <v>3463</v>
      </c>
      <c r="AW33" s="56">
        <f t="shared" si="22"/>
        <v>974</v>
      </c>
      <c r="AX33" s="57">
        <v>0.65739999999999998</v>
      </c>
      <c r="AY33" s="56">
        <v>0.54959999999999998</v>
      </c>
      <c r="AZ33" s="55">
        <f t="shared" si="23"/>
        <v>1772.1979621542941</v>
      </c>
      <c r="BA33" s="55">
        <f t="shared" si="24"/>
        <v>0.29536632702571569</v>
      </c>
      <c r="BB33" s="82">
        <v>1779</v>
      </c>
      <c r="BC33">
        <f t="shared" si="25"/>
        <v>124</v>
      </c>
      <c r="BD33" s="8">
        <v>0.57750000000000001</v>
      </c>
      <c r="BE33">
        <f t="shared" si="26"/>
        <v>214.7186147186147</v>
      </c>
      <c r="BF33">
        <f t="shared" si="27"/>
        <v>3.5786435786435783E-2</v>
      </c>
      <c r="BG33">
        <f t="shared" si="28"/>
        <v>3.5786435786435783E-2</v>
      </c>
      <c r="BH33" s="65">
        <v>1682</v>
      </c>
      <c r="BI33" s="64">
        <f t="shared" si="29"/>
        <v>-20</v>
      </c>
      <c r="BJ33" s="66">
        <v>0.59540000000000004</v>
      </c>
      <c r="BK33" s="64">
        <f t="shared" si="30"/>
        <v>-33.59086328518643</v>
      </c>
      <c r="BL33" s="64">
        <f t="shared" si="31"/>
        <v>-5.5984772141977387E-3</v>
      </c>
      <c r="BM33" s="29">
        <v>1805</v>
      </c>
      <c r="BN33" s="28">
        <f t="shared" si="32"/>
        <v>200</v>
      </c>
      <c r="BO33" s="27">
        <v>0.58760000000000001</v>
      </c>
      <c r="BP33" s="28">
        <f t="shared" si="33"/>
        <v>340.36759700476512</v>
      </c>
      <c r="BQ33" s="28">
        <f t="shared" si="34"/>
        <v>5.6727932834127519E-2</v>
      </c>
      <c r="BR33" s="35">
        <v>1913</v>
      </c>
      <c r="BS33" s="34">
        <f t="shared" si="35"/>
        <v>227</v>
      </c>
      <c r="BT33" s="33">
        <v>0.58089999999999997</v>
      </c>
      <c r="BU33" s="34">
        <f t="shared" si="61"/>
        <v>390.77293854363921</v>
      </c>
      <c r="BV33" s="34"/>
      <c r="BW33" s="29">
        <v>2571</v>
      </c>
      <c r="BX33" s="28">
        <f t="shared" si="37"/>
        <v>579</v>
      </c>
      <c r="BY33" s="27">
        <v>0.58450000000000002</v>
      </c>
      <c r="BZ33" s="28">
        <f t="shared" si="38"/>
        <v>990.59024807527794</v>
      </c>
      <c r="CA33" s="28"/>
      <c r="CB33" s="35">
        <v>2230</v>
      </c>
      <c r="CC33" s="34">
        <f t="shared" si="39"/>
        <v>300</v>
      </c>
      <c r="CD33" s="33">
        <v>0.59599999999999997</v>
      </c>
      <c r="CE33" s="34">
        <f t="shared" si="40"/>
        <v>503.3557046979866</v>
      </c>
      <c r="CF33" s="34"/>
      <c r="CG33" s="7">
        <v>2740</v>
      </c>
      <c r="CH33" s="7">
        <f t="shared" si="41"/>
        <v>1126</v>
      </c>
      <c r="CI33" s="7"/>
      <c r="CJ33" s="7"/>
      <c r="CL33" s="32">
        <v>1614</v>
      </c>
      <c r="CM33" s="27">
        <v>0.60650000000000004</v>
      </c>
      <c r="CN33" s="28">
        <v>0.50130000000000008</v>
      </c>
      <c r="CO33" s="28">
        <f t="shared" si="42"/>
        <v>1.2098543786155993</v>
      </c>
      <c r="CP33" s="28"/>
      <c r="CQ33" s="55">
        <v>3734</v>
      </c>
      <c r="CR33" s="57">
        <f t="shared" si="43"/>
        <v>1681</v>
      </c>
      <c r="CS33">
        <v>0.52839999999999998</v>
      </c>
      <c r="CT33" s="71">
        <f t="shared" si="44"/>
        <v>3181.302043906132</v>
      </c>
      <c r="CU33" s="35">
        <v>1875</v>
      </c>
      <c r="CV33" s="34">
        <f t="shared" si="45"/>
        <v>248</v>
      </c>
      <c r="CW33" s="33">
        <v>0.622</v>
      </c>
      <c r="CX33" s="34">
        <f t="shared" si="46"/>
        <v>398.71382636655949</v>
      </c>
      <c r="CY33" s="34"/>
      <c r="CZ33" s="29">
        <v>1652</v>
      </c>
      <c r="DA33" s="28">
        <f t="shared" si="47"/>
        <v>152</v>
      </c>
      <c r="DB33" s="27">
        <v>0.5151</v>
      </c>
      <c r="DC33" s="28">
        <f t="shared" si="48"/>
        <v>295.08833236264803</v>
      </c>
      <c r="DD33" s="28"/>
      <c r="DE33" s="55">
        <v>1643</v>
      </c>
      <c r="DF33" s="56">
        <f t="shared" si="49"/>
        <v>210</v>
      </c>
      <c r="DG33" s="56">
        <v>0.52320000000000011</v>
      </c>
      <c r="DH33" s="56">
        <f t="shared" si="50"/>
        <v>401.37614678899075</v>
      </c>
      <c r="DI33" s="56"/>
      <c r="DJ33" s="35">
        <v>1818</v>
      </c>
      <c r="DK33" s="34">
        <f t="shared" si="0"/>
        <v>178</v>
      </c>
      <c r="DL33" s="34">
        <v>0.50239999999999996</v>
      </c>
      <c r="DM33" s="34">
        <f t="shared" si="51"/>
        <v>354.29936305732485</v>
      </c>
      <c r="DN33" s="34"/>
      <c r="DO33" s="65">
        <v>2505</v>
      </c>
      <c r="DP33" s="64">
        <f t="shared" si="52"/>
        <v>500</v>
      </c>
      <c r="DQ33" s="64">
        <v>0.52029999999999998</v>
      </c>
      <c r="DR33" s="64">
        <f t="shared" si="53"/>
        <v>960.98404766480883</v>
      </c>
      <c r="DS33" s="64"/>
      <c r="DT33" s="55">
        <v>2125</v>
      </c>
      <c r="DU33" s="56">
        <f t="shared" si="54"/>
        <v>270</v>
      </c>
      <c r="DV33" s="56">
        <v>0.50230000000000008</v>
      </c>
      <c r="DW33" s="56">
        <f t="shared" si="55"/>
        <v>537.52737407923541</v>
      </c>
      <c r="DX33" s="56"/>
      <c r="DY33" s="1">
        <v>2533</v>
      </c>
      <c r="DZ33">
        <f t="shared" si="56"/>
        <v>934</v>
      </c>
      <c r="ED33" s="37">
        <v>1599</v>
      </c>
      <c r="EE33" s="34">
        <f t="shared" si="57"/>
        <v>158</v>
      </c>
      <c r="EF33" s="34">
        <v>0.54279999999999995</v>
      </c>
      <c r="EG33" s="34">
        <f t="shared" si="58"/>
        <v>291.08327192336037</v>
      </c>
      <c r="EH33" s="34"/>
      <c r="EI33" s="74">
        <v>6024</v>
      </c>
      <c r="EJ33" s="73">
        <f t="shared" si="59"/>
        <v>3545</v>
      </c>
      <c r="EK33" s="73">
        <v>0.54259999999999997</v>
      </c>
      <c r="EL33" s="73">
        <f t="shared" si="60"/>
        <v>6533.3579063767047</v>
      </c>
      <c r="EM33" s="73"/>
    </row>
    <row r="34" spans="1:143" x14ac:dyDescent="0.2">
      <c r="A34">
        <v>6.8961552777777779</v>
      </c>
      <c r="B34" s="29">
        <v>1798</v>
      </c>
      <c r="C34" s="28">
        <f t="shared" si="1"/>
        <v>280</v>
      </c>
      <c r="D34" s="27">
        <v>0.52739999999999998</v>
      </c>
      <c r="E34" s="28">
        <v>0.42219999999999996</v>
      </c>
      <c r="F34" s="28">
        <f t="shared" si="2"/>
        <v>663.19279962103269</v>
      </c>
      <c r="G34" s="28">
        <f t="shared" si="3"/>
        <v>0.11053213327017211</v>
      </c>
      <c r="H34" s="55">
        <v>1786</v>
      </c>
      <c r="I34" s="56">
        <f t="shared" si="4"/>
        <v>186</v>
      </c>
      <c r="J34" s="57">
        <v>0.53900000000000003</v>
      </c>
      <c r="K34" s="56">
        <v>0.43340000000000001</v>
      </c>
      <c r="L34" s="56">
        <f t="shared" si="5"/>
        <v>185.56659999999999</v>
      </c>
      <c r="M34" s="56">
        <f t="shared" si="6"/>
        <v>3.0927766666666665E-2</v>
      </c>
      <c r="N34" s="29">
        <v>1845</v>
      </c>
      <c r="O34" s="28">
        <f t="shared" si="7"/>
        <v>204</v>
      </c>
      <c r="P34" s="27">
        <v>0.52959999999999996</v>
      </c>
      <c r="Q34" s="28">
        <v>0.42429999999999995</v>
      </c>
      <c r="R34" s="28">
        <f t="shared" si="8"/>
        <v>480.79189252887113</v>
      </c>
      <c r="S34" s="28">
        <f t="shared" si="9"/>
        <v>8.013198208814519E-2</v>
      </c>
      <c r="T34" s="55">
        <v>1882</v>
      </c>
      <c r="U34" s="56">
        <f t="shared" si="10"/>
        <v>214</v>
      </c>
      <c r="V34" s="57">
        <v>0.52839999999999998</v>
      </c>
      <c r="W34" s="56">
        <v>0.4234</v>
      </c>
      <c r="X34" s="56">
        <f t="shared" si="11"/>
        <v>505.43221539914975</v>
      </c>
      <c r="Y34">
        <f t="shared" si="12"/>
        <v>8.4238702566524964E-2</v>
      </c>
      <c r="Z34" s="29">
        <v>2366</v>
      </c>
      <c r="AA34" s="28">
        <f t="shared" si="13"/>
        <v>483</v>
      </c>
      <c r="AB34" s="27">
        <v>0.51359999999999995</v>
      </c>
      <c r="AC34" s="28">
        <v>0.40419999999999995</v>
      </c>
      <c r="AD34" s="28">
        <f t="shared" si="14"/>
        <v>1194.9529935675409</v>
      </c>
      <c r="AE34" s="28">
        <f t="shared" si="15"/>
        <v>0.19915883226125683</v>
      </c>
      <c r="AF34" s="55">
        <v>1948</v>
      </c>
      <c r="AG34" s="56">
        <f t="shared" si="16"/>
        <v>230</v>
      </c>
      <c r="AH34" s="57">
        <v>0.5131</v>
      </c>
      <c r="AI34" s="56">
        <v>0.40479999999999999</v>
      </c>
      <c r="AJ34" s="56">
        <f t="shared" si="17"/>
        <v>568.18181818181824</v>
      </c>
      <c r="AK34" s="56">
        <f t="shared" si="18"/>
        <v>9.469696969696971E-2</v>
      </c>
      <c r="AL34" s="7">
        <v>2431</v>
      </c>
      <c r="AM34" s="7">
        <f t="shared" si="19"/>
        <v>696</v>
      </c>
      <c r="AN34" s="7">
        <v>0.57730000000000004</v>
      </c>
      <c r="AO34" s="7">
        <v>0.47220000000000006</v>
      </c>
      <c r="AP34" s="7">
        <v>-0.7503526543307244</v>
      </c>
      <c r="AQ34" s="32">
        <v>1735</v>
      </c>
      <c r="AR34" s="28"/>
      <c r="AS34" s="27">
        <f t="shared" si="20"/>
        <v>150</v>
      </c>
      <c r="AT34" s="28">
        <v>0.47220000000000006</v>
      </c>
      <c r="AU34" s="28">
        <f t="shared" si="21"/>
        <v>317.66200762388814</v>
      </c>
      <c r="AV34" s="55">
        <v>3443</v>
      </c>
      <c r="AW34" s="56">
        <f t="shared" si="22"/>
        <v>954</v>
      </c>
      <c r="AX34" s="57">
        <v>0.64270000000000005</v>
      </c>
      <c r="AY34" s="56">
        <v>0.53490000000000004</v>
      </c>
      <c r="AZ34" s="55">
        <f t="shared" si="23"/>
        <v>1783.5109366236679</v>
      </c>
      <c r="BA34" s="55">
        <f t="shared" si="24"/>
        <v>0.2972518227706113</v>
      </c>
      <c r="BB34" s="82">
        <v>1812</v>
      </c>
      <c r="BC34">
        <f t="shared" si="25"/>
        <v>157</v>
      </c>
      <c r="BD34" s="8">
        <v>0.58919999999999995</v>
      </c>
      <c r="BE34">
        <f t="shared" si="26"/>
        <v>266.46300067888666</v>
      </c>
      <c r="BF34">
        <f t="shared" si="27"/>
        <v>4.4410500113147774E-2</v>
      </c>
      <c r="BG34">
        <f t="shared" si="28"/>
        <v>4.4410500113147774E-2</v>
      </c>
      <c r="BH34" s="65">
        <v>1725</v>
      </c>
      <c r="BI34" s="64">
        <f t="shared" si="29"/>
        <v>1723</v>
      </c>
      <c r="BJ34" s="66">
        <v>0.59119999999999995</v>
      </c>
      <c r="BK34" s="64">
        <f t="shared" si="30"/>
        <v>2914.4113667117731</v>
      </c>
      <c r="BL34" s="64">
        <f t="shared" si="31"/>
        <v>0.48573522778529554</v>
      </c>
      <c r="BM34" s="29">
        <v>1831</v>
      </c>
      <c r="BN34" s="28">
        <f t="shared" si="32"/>
        <v>226</v>
      </c>
      <c r="BO34" s="27">
        <v>0.57830000000000004</v>
      </c>
      <c r="BP34" s="28">
        <f t="shared" si="33"/>
        <v>390.80062251426591</v>
      </c>
      <c r="BQ34" s="28">
        <f t="shared" si="34"/>
        <v>6.5133437085710982E-2</v>
      </c>
      <c r="BR34" s="35">
        <v>1944</v>
      </c>
      <c r="BS34" s="34">
        <f t="shared" si="35"/>
        <v>258</v>
      </c>
      <c r="BT34" s="33">
        <v>0.57330000000000003</v>
      </c>
      <c r="BU34" s="34">
        <f t="shared" si="61"/>
        <v>450.02616431187857</v>
      </c>
      <c r="BV34" s="34"/>
      <c r="BW34" s="29">
        <v>2524</v>
      </c>
      <c r="BX34" s="28">
        <f t="shared" si="37"/>
        <v>532</v>
      </c>
      <c r="BY34" s="27">
        <v>0.57499999999999996</v>
      </c>
      <c r="BZ34" s="28">
        <f t="shared" si="38"/>
        <v>925.21739130434787</v>
      </c>
      <c r="CA34" s="28"/>
      <c r="CB34" s="35">
        <v>2253</v>
      </c>
      <c r="CC34" s="34">
        <f t="shared" si="39"/>
        <v>323</v>
      </c>
      <c r="CD34" s="33">
        <v>0.58099999999999996</v>
      </c>
      <c r="CE34" s="34">
        <f t="shared" si="40"/>
        <v>555.9380378657487</v>
      </c>
      <c r="CF34" s="34"/>
      <c r="CG34" s="7">
        <v>2827</v>
      </c>
      <c r="CH34" s="7">
        <f t="shared" si="41"/>
        <v>1199</v>
      </c>
      <c r="CI34" s="7"/>
      <c r="CJ34" s="7"/>
      <c r="CL34" s="32">
        <v>1628</v>
      </c>
      <c r="CM34" s="27">
        <v>0.59109999999999996</v>
      </c>
      <c r="CN34" s="28">
        <v>0.48589999999999994</v>
      </c>
      <c r="CO34" s="28">
        <f t="shared" si="42"/>
        <v>1.2165054537970776</v>
      </c>
      <c r="CP34" s="28"/>
      <c r="CQ34" s="55">
        <v>3760</v>
      </c>
      <c r="CR34" s="57">
        <f t="shared" si="43"/>
        <v>1707</v>
      </c>
      <c r="CS34">
        <v>0.51780000000000004</v>
      </c>
      <c r="CT34" s="71">
        <f t="shared" si="44"/>
        <v>3296.6396292004633</v>
      </c>
      <c r="CU34" s="35">
        <v>1910</v>
      </c>
      <c r="CV34" s="34">
        <f t="shared" si="45"/>
        <v>283</v>
      </c>
      <c r="CW34" s="33">
        <v>0.58720000000000006</v>
      </c>
      <c r="CX34" s="34">
        <f t="shared" si="46"/>
        <v>481.94822888283375</v>
      </c>
      <c r="CY34" s="34"/>
      <c r="CZ34" s="29">
        <v>1645</v>
      </c>
      <c r="DA34" s="28">
        <f t="shared" si="47"/>
        <v>145</v>
      </c>
      <c r="DB34" s="27">
        <v>0.50860000000000005</v>
      </c>
      <c r="DC34" s="28">
        <f t="shared" si="48"/>
        <v>285.09634290208413</v>
      </c>
      <c r="DD34" s="28"/>
      <c r="DE34" s="55">
        <v>1675</v>
      </c>
      <c r="DF34" s="56">
        <f t="shared" si="49"/>
        <v>242</v>
      </c>
      <c r="DG34" s="56">
        <v>0.5112000000000001</v>
      </c>
      <c r="DH34" s="56">
        <f t="shared" si="50"/>
        <v>473.39593114240995</v>
      </c>
      <c r="DI34" s="56"/>
      <c r="DJ34" s="35">
        <v>1844</v>
      </c>
      <c r="DK34" s="34">
        <f t="shared" si="0"/>
        <v>204</v>
      </c>
      <c r="DL34" s="34">
        <v>0.49919999999999998</v>
      </c>
      <c r="DM34" s="34">
        <f t="shared" si="51"/>
        <v>408.65384615384619</v>
      </c>
      <c r="DN34" s="34"/>
      <c r="DO34" s="65">
        <v>2550</v>
      </c>
      <c r="DP34" s="64">
        <f t="shared" si="52"/>
        <v>545</v>
      </c>
      <c r="DQ34" s="64">
        <v>0.51</v>
      </c>
      <c r="DR34" s="64">
        <f t="shared" si="53"/>
        <v>1068.627450980392</v>
      </c>
      <c r="DS34" s="64"/>
      <c r="DT34" s="55">
        <v>2151</v>
      </c>
      <c r="DU34" s="56">
        <f t="shared" si="54"/>
        <v>296</v>
      </c>
      <c r="DV34" s="56">
        <v>0.49820000000000003</v>
      </c>
      <c r="DW34" s="56">
        <f t="shared" si="55"/>
        <v>594.13890004014445</v>
      </c>
      <c r="DX34" s="56"/>
      <c r="DY34" s="1">
        <v>2551</v>
      </c>
      <c r="DZ34">
        <f t="shared" si="56"/>
        <v>966</v>
      </c>
      <c r="ED34" s="37">
        <v>1585</v>
      </c>
      <c r="EE34" s="34">
        <f t="shared" si="57"/>
        <v>144</v>
      </c>
      <c r="EF34" s="34">
        <v>0.54239999999999999</v>
      </c>
      <c r="EG34" s="34">
        <f t="shared" si="58"/>
        <v>265.48672566371681</v>
      </c>
      <c r="EH34" s="34"/>
      <c r="EI34" s="74">
        <v>5972</v>
      </c>
      <c r="EJ34" s="73">
        <f t="shared" si="59"/>
        <v>3493</v>
      </c>
      <c r="EK34" s="73">
        <v>0.53779999999999994</v>
      </c>
      <c r="EL34" s="73">
        <f t="shared" si="60"/>
        <v>6494.9795462997399</v>
      </c>
      <c r="EM34" s="73"/>
    </row>
    <row r="35" spans="1:143" x14ac:dyDescent="0.2">
      <c r="A35">
        <v>7.1339474999999997</v>
      </c>
      <c r="B35" s="29">
        <v>1746</v>
      </c>
      <c r="C35" s="28">
        <f t="shared" si="1"/>
        <v>228</v>
      </c>
      <c r="D35" s="27">
        <v>0.52249999999999996</v>
      </c>
      <c r="E35" s="28">
        <v>0.41729999999999995</v>
      </c>
      <c r="F35" s="28">
        <f t="shared" si="2"/>
        <v>546.36951833213527</v>
      </c>
      <c r="G35" s="28">
        <f t="shared" si="3"/>
        <v>9.1061586388689206E-2</v>
      </c>
      <c r="H35" s="55">
        <v>1782</v>
      </c>
      <c r="I35" s="56">
        <f t="shared" si="4"/>
        <v>182</v>
      </c>
      <c r="J35" s="57">
        <v>0.53779999999999994</v>
      </c>
      <c r="K35" s="56">
        <v>0.43219999999999992</v>
      </c>
      <c r="L35" s="56">
        <f t="shared" si="5"/>
        <v>181.56780000000001</v>
      </c>
      <c r="M35" s="56">
        <f t="shared" si="6"/>
        <v>3.0261300000000001E-2</v>
      </c>
      <c r="N35" s="29">
        <v>1828</v>
      </c>
      <c r="O35" s="28">
        <f t="shared" si="7"/>
        <v>187</v>
      </c>
      <c r="P35" s="27">
        <v>0.53190000000000004</v>
      </c>
      <c r="Q35" s="28">
        <v>0.42660000000000003</v>
      </c>
      <c r="R35" s="28">
        <f t="shared" si="8"/>
        <v>438.34974214721046</v>
      </c>
      <c r="S35" s="28">
        <f t="shared" si="9"/>
        <v>7.3058290357868413E-2</v>
      </c>
      <c r="T35" s="55">
        <v>1847</v>
      </c>
      <c r="U35" s="56">
        <f t="shared" si="10"/>
        <v>179</v>
      </c>
      <c r="V35" s="57">
        <v>0.53539999999999999</v>
      </c>
      <c r="W35" s="56">
        <v>0.4304</v>
      </c>
      <c r="X35" s="56">
        <f t="shared" si="11"/>
        <v>415.89219330855019</v>
      </c>
      <c r="Y35">
        <f t="shared" si="12"/>
        <v>6.9315365551425034E-2</v>
      </c>
      <c r="Z35" s="29">
        <v>2347</v>
      </c>
      <c r="AA35" s="28">
        <f t="shared" si="13"/>
        <v>464</v>
      </c>
      <c r="AB35" s="27">
        <v>0.51539999999999997</v>
      </c>
      <c r="AC35" s="28">
        <v>0.40599999999999997</v>
      </c>
      <c r="AD35" s="28">
        <f t="shared" si="14"/>
        <v>1142.8571428571429</v>
      </c>
      <c r="AE35" s="28">
        <f t="shared" si="15"/>
        <v>0.19047619047619049</v>
      </c>
      <c r="AF35" s="55">
        <v>1946</v>
      </c>
      <c r="AG35" s="56">
        <f t="shared" si="16"/>
        <v>228</v>
      </c>
      <c r="AH35" s="57">
        <v>0.51639999999999997</v>
      </c>
      <c r="AI35" s="56">
        <v>0.40809999999999996</v>
      </c>
      <c r="AJ35" s="56">
        <f t="shared" si="17"/>
        <v>558.68659642244552</v>
      </c>
      <c r="AK35" s="56">
        <f t="shared" si="18"/>
        <v>9.311443273707426E-2</v>
      </c>
      <c r="AL35" s="7">
        <v>2380</v>
      </c>
      <c r="AM35" s="7">
        <f t="shared" si="19"/>
        <v>643</v>
      </c>
      <c r="AN35" s="7">
        <v>0.58230000000000004</v>
      </c>
      <c r="AO35" s="7">
        <v>0.47720000000000007</v>
      </c>
      <c r="AP35" s="7">
        <v>-0.73981958875837583</v>
      </c>
      <c r="AQ35" s="32">
        <v>1737</v>
      </c>
      <c r="AR35" s="28"/>
      <c r="AS35" s="27">
        <f t="shared" si="20"/>
        <v>152</v>
      </c>
      <c r="AT35" s="28">
        <v>0.47720000000000007</v>
      </c>
      <c r="AU35" s="28">
        <f t="shared" si="21"/>
        <v>318.5247275775356</v>
      </c>
      <c r="AV35" s="55">
        <v>3330</v>
      </c>
      <c r="AW35" s="56">
        <f t="shared" si="22"/>
        <v>841</v>
      </c>
      <c r="AX35" s="57">
        <v>0.63990000000000002</v>
      </c>
      <c r="AY35" s="56">
        <v>0.53210000000000002</v>
      </c>
      <c r="AZ35" s="55">
        <f t="shared" si="23"/>
        <v>1580.5299755685021</v>
      </c>
      <c r="BA35" s="55">
        <f t="shared" si="24"/>
        <v>0.26342166259475036</v>
      </c>
      <c r="BB35" s="82">
        <v>1792</v>
      </c>
      <c r="BC35">
        <f t="shared" si="25"/>
        <v>137</v>
      </c>
      <c r="BD35" s="8">
        <v>0.60629999999999995</v>
      </c>
      <c r="BE35">
        <f t="shared" si="26"/>
        <v>225.96074550552532</v>
      </c>
      <c r="BF35">
        <f t="shared" si="27"/>
        <v>3.7660124250920884E-2</v>
      </c>
      <c r="BG35">
        <f t="shared" si="28"/>
        <v>3.7660124250920884E-2</v>
      </c>
      <c r="BH35" s="65">
        <v>1712</v>
      </c>
      <c r="BI35" s="64">
        <f t="shared" si="29"/>
        <v>1723</v>
      </c>
      <c r="BJ35" s="66">
        <v>0.59240000000000004</v>
      </c>
      <c r="BK35" s="64">
        <f t="shared" si="30"/>
        <v>2908.5077650236326</v>
      </c>
      <c r="BL35" s="64">
        <f t="shared" si="31"/>
        <v>0.48475129417060542</v>
      </c>
      <c r="BM35" s="29">
        <v>1847</v>
      </c>
      <c r="BN35" s="28">
        <f t="shared" si="32"/>
        <v>242</v>
      </c>
      <c r="BO35" s="27">
        <v>0.57999999999999996</v>
      </c>
      <c r="BP35" s="28">
        <f t="shared" si="33"/>
        <v>417.24137931034488</v>
      </c>
      <c r="BQ35" s="28">
        <f t="shared" si="34"/>
        <v>6.9540229885057481E-2</v>
      </c>
      <c r="BR35" s="35">
        <v>1924</v>
      </c>
      <c r="BS35" s="34">
        <f t="shared" si="35"/>
        <v>238</v>
      </c>
      <c r="BT35" s="33">
        <v>0.57330000000000003</v>
      </c>
      <c r="BU35" s="34">
        <f t="shared" si="61"/>
        <v>415.14041514041514</v>
      </c>
      <c r="BV35" s="34"/>
      <c r="BW35" s="29">
        <v>2590</v>
      </c>
      <c r="BX35" s="28">
        <f t="shared" si="37"/>
        <v>598</v>
      </c>
      <c r="BY35" s="27">
        <v>0.57620000000000005</v>
      </c>
      <c r="BZ35" s="28">
        <f t="shared" si="38"/>
        <v>1037.8340853870184</v>
      </c>
      <c r="CA35" s="28"/>
      <c r="CB35" s="35">
        <v>2230</v>
      </c>
      <c r="CC35" s="34">
        <f t="shared" si="39"/>
        <v>300</v>
      </c>
      <c r="CD35" s="33">
        <v>0.58220000000000005</v>
      </c>
      <c r="CE35" s="34">
        <f t="shared" si="40"/>
        <v>515.28684300927512</v>
      </c>
      <c r="CF35" s="34"/>
      <c r="CG35" s="7">
        <v>2740</v>
      </c>
      <c r="CH35" s="7">
        <f t="shared" si="41"/>
        <v>1121</v>
      </c>
      <c r="CI35" s="7"/>
      <c r="CJ35" s="7"/>
      <c r="CL35" s="32">
        <v>1619</v>
      </c>
      <c r="CM35" s="27">
        <v>0.58889999999999998</v>
      </c>
      <c r="CN35" s="28">
        <v>0.48369999999999996</v>
      </c>
      <c r="CO35" s="28">
        <f t="shared" si="42"/>
        <v>1.2174901798635518</v>
      </c>
      <c r="CP35" s="28"/>
      <c r="CQ35" s="55">
        <v>3733</v>
      </c>
      <c r="CR35" s="57">
        <f t="shared" si="43"/>
        <v>1680</v>
      </c>
      <c r="CS35">
        <v>0.52539999999999998</v>
      </c>
      <c r="CT35" s="71">
        <f t="shared" si="44"/>
        <v>3197.5637609440428</v>
      </c>
      <c r="CU35" s="35">
        <v>1882</v>
      </c>
      <c r="CV35" s="34">
        <f t="shared" si="45"/>
        <v>255</v>
      </c>
      <c r="CW35" s="33">
        <v>0.55940000000000001</v>
      </c>
      <c r="CX35" s="34">
        <f t="shared" si="46"/>
        <v>455.84554880228814</v>
      </c>
      <c r="CY35" s="34"/>
      <c r="CZ35" s="29">
        <v>1669</v>
      </c>
      <c r="DA35" s="28">
        <f t="shared" si="47"/>
        <v>169</v>
      </c>
      <c r="DB35" s="27">
        <v>0.51500000000000001</v>
      </c>
      <c r="DC35" s="28">
        <f t="shared" si="48"/>
        <v>328.15533980582524</v>
      </c>
      <c r="DD35" s="28"/>
      <c r="DE35" s="55">
        <v>1636</v>
      </c>
      <c r="DF35" s="56">
        <f t="shared" si="49"/>
        <v>203</v>
      </c>
      <c r="DG35" s="56">
        <v>0.50879999999999992</v>
      </c>
      <c r="DH35" s="56">
        <f t="shared" si="50"/>
        <v>398.97798742138372</v>
      </c>
      <c r="DI35" s="56"/>
      <c r="DJ35" s="35">
        <v>1821</v>
      </c>
      <c r="DK35" s="34">
        <f t="shared" si="0"/>
        <v>181</v>
      </c>
      <c r="DL35" s="34">
        <v>0.4919</v>
      </c>
      <c r="DM35" s="34">
        <f t="shared" si="51"/>
        <v>367.96096767635697</v>
      </c>
      <c r="DN35" s="34"/>
      <c r="DO35" s="65">
        <v>2540</v>
      </c>
      <c r="DP35" s="64">
        <f t="shared" si="52"/>
        <v>535</v>
      </c>
      <c r="DQ35" s="64">
        <v>0.50459999999999994</v>
      </c>
      <c r="DR35" s="64">
        <f t="shared" si="53"/>
        <v>1060.245739199366</v>
      </c>
      <c r="DS35" s="64"/>
      <c r="DT35" s="55">
        <v>2113</v>
      </c>
      <c r="DU35" s="56">
        <f t="shared" si="54"/>
        <v>258</v>
      </c>
      <c r="DV35" s="56">
        <v>0.49049999999999999</v>
      </c>
      <c r="DW35" s="56">
        <f t="shared" si="55"/>
        <v>525.9938837920489</v>
      </c>
      <c r="DX35" s="56"/>
      <c r="DY35" s="1">
        <v>2495</v>
      </c>
      <c r="DZ35">
        <f t="shared" si="56"/>
        <v>900</v>
      </c>
      <c r="ED35" s="37">
        <v>1595</v>
      </c>
      <c r="EE35" s="34">
        <f t="shared" si="57"/>
        <v>154</v>
      </c>
      <c r="EF35" s="34">
        <v>0.53739999999999999</v>
      </c>
      <c r="EG35" s="34">
        <f t="shared" si="58"/>
        <v>286.5649423148493</v>
      </c>
      <c r="EH35" s="34"/>
      <c r="EI35" s="74">
        <v>5807</v>
      </c>
      <c r="EJ35" s="73">
        <f t="shared" si="59"/>
        <v>3328</v>
      </c>
      <c r="EK35" s="73">
        <v>0.52359999999999995</v>
      </c>
      <c r="EL35" s="73">
        <f t="shared" si="60"/>
        <v>6355.996944232239</v>
      </c>
      <c r="EM35" s="73"/>
    </row>
    <row r="36" spans="1:143" x14ac:dyDescent="0.2">
      <c r="A36">
        <v>7.3717841666666661</v>
      </c>
      <c r="B36" s="29">
        <v>1787</v>
      </c>
      <c r="C36" s="28">
        <f t="shared" si="1"/>
        <v>269</v>
      </c>
      <c r="D36" s="27">
        <v>0.52180000000000004</v>
      </c>
      <c r="E36" s="28">
        <v>0.41660000000000003</v>
      </c>
      <c r="F36" s="28">
        <f t="shared" si="2"/>
        <v>645.70331253000472</v>
      </c>
      <c r="G36" s="28">
        <f t="shared" si="3"/>
        <v>0.10761721875500078</v>
      </c>
      <c r="H36" s="55">
        <v>1799</v>
      </c>
      <c r="I36" s="56">
        <f t="shared" si="4"/>
        <v>199</v>
      </c>
      <c r="J36" s="57">
        <v>0.54820000000000002</v>
      </c>
      <c r="K36" s="56">
        <v>0.44259999999999999</v>
      </c>
      <c r="L36" s="56">
        <f t="shared" si="5"/>
        <v>198.5574</v>
      </c>
      <c r="M36" s="56">
        <f t="shared" si="6"/>
        <v>3.3092900000000001E-2</v>
      </c>
      <c r="N36" s="29">
        <v>1844</v>
      </c>
      <c r="O36" s="28">
        <f t="shared" si="7"/>
        <v>203</v>
      </c>
      <c r="P36" s="27">
        <v>0.52980000000000005</v>
      </c>
      <c r="Q36" s="28">
        <v>0.42450000000000004</v>
      </c>
      <c r="R36" s="28">
        <f t="shared" si="8"/>
        <v>478.20965842167249</v>
      </c>
      <c r="S36" s="28">
        <f t="shared" si="9"/>
        <v>7.9701609736945414E-2</v>
      </c>
      <c r="T36" s="55">
        <v>1839</v>
      </c>
      <c r="U36" s="56">
        <f t="shared" si="10"/>
        <v>171</v>
      </c>
      <c r="V36" s="57">
        <v>0.53659999999999997</v>
      </c>
      <c r="W36" s="56">
        <v>0.43159999999999998</v>
      </c>
      <c r="X36" s="56">
        <f t="shared" si="11"/>
        <v>396.20018535681186</v>
      </c>
      <c r="Y36">
        <f t="shared" si="12"/>
        <v>6.6033364226135316E-2</v>
      </c>
      <c r="Z36" s="29">
        <v>2374</v>
      </c>
      <c r="AA36" s="28">
        <f t="shared" si="13"/>
        <v>491</v>
      </c>
      <c r="AB36" s="27">
        <v>0.51619999999999999</v>
      </c>
      <c r="AC36" s="28">
        <v>0.40679999999999999</v>
      </c>
      <c r="AD36" s="28">
        <f t="shared" si="14"/>
        <v>1206.9813176007867</v>
      </c>
      <c r="AE36" s="28">
        <f t="shared" si="15"/>
        <v>0.20116355293346447</v>
      </c>
      <c r="AF36" s="55">
        <v>1949</v>
      </c>
      <c r="AG36" s="56">
        <f t="shared" si="16"/>
        <v>231</v>
      </c>
      <c r="AH36" s="57">
        <v>0.51329999999999998</v>
      </c>
      <c r="AI36" s="56">
        <v>0.40499999999999997</v>
      </c>
      <c r="AJ36" s="56">
        <f t="shared" si="17"/>
        <v>570.37037037037044</v>
      </c>
      <c r="AK36" s="56">
        <f t="shared" si="18"/>
        <v>9.5061728395061745E-2</v>
      </c>
      <c r="AL36" s="7">
        <v>2350</v>
      </c>
      <c r="AM36" s="7">
        <f t="shared" si="19"/>
        <v>629</v>
      </c>
      <c r="AN36" s="7">
        <v>0.57950000000000002</v>
      </c>
      <c r="AO36" s="7">
        <v>0.47440000000000004</v>
      </c>
      <c r="AP36" s="7">
        <v>-0.7457044312986213</v>
      </c>
      <c r="AQ36" s="32">
        <v>1721</v>
      </c>
      <c r="AR36" s="28"/>
      <c r="AS36" s="27">
        <f t="shared" si="20"/>
        <v>136</v>
      </c>
      <c r="AT36" s="28">
        <v>0.47440000000000004</v>
      </c>
      <c r="AU36" s="28">
        <f t="shared" si="21"/>
        <v>286.67790893760537</v>
      </c>
      <c r="AV36" s="55">
        <v>3314</v>
      </c>
      <c r="AW36" s="56">
        <f t="shared" si="22"/>
        <v>825</v>
      </c>
      <c r="AX36" s="57">
        <v>0.63160000000000005</v>
      </c>
      <c r="AY36" s="56">
        <v>0.52380000000000004</v>
      </c>
      <c r="AZ36" s="55">
        <f t="shared" si="23"/>
        <v>1575.0286368843069</v>
      </c>
      <c r="BA36" s="55">
        <f t="shared" si="24"/>
        <v>0.26250477281405116</v>
      </c>
      <c r="BB36" s="82">
        <v>1806</v>
      </c>
      <c r="BC36">
        <f t="shared" si="25"/>
        <v>151</v>
      </c>
      <c r="BD36" s="8">
        <v>0.59609999999999996</v>
      </c>
      <c r="BE36">
        <f t="shared" si="26"/>
        <v>253.31320248280491</v>
      </c>
      <c r="BF36">
        <f t="shared" si="27"/>
        <v>4.2218867080467487E-2</v>
      </c>
      <c r="BG36">
        <f t="shared" si="28"/>
        <v>4.2218867080467487E-2</v>
      </c>
      <c r="BH36" s="65">
        <v>1708</v>
      </c>
      <c r="BI36" s="64">
        <f t="shared" si="29"/>
        <v>1723</v>
      </c>
      <c r="BJ36" s="66">
        <v>0.5776</v>
      </c>
      <c r="BK36" s="64">
        <f t="shared" si="30"/>
        <v>2983.0332409972298</v>
      </c>
      <c r="BL36" s="64">
        <f t="shared" si="31"/>
        <v>0.49717220683287161</v>
      </c>
      <c r="BM36" s="29">
        <v>1857</v>
      </c>
      <c r="BN36" s="28">
        <f t="shared" si="32"/>
        <v>252</v>
      </c>
      <c r="BO36" s="27">
        <v>0.56999999999999995</v>
      </c>
      <c r="BP36" s="28">
        <f t="shared" si="33"/>
        <v>442.1052631578948</v>
      </c>
      <c r="BQ36" s="28">
        <f t="shared" si="34"/>
        <v>7.3684210526315796E-2</v>
      </c>
      <c r="BR36" s="35">
        <v>1997</v>
      </c>
      <c r="BS36" s="34">
        <f t="shared" si="35"/>
        <v>311</v>
      </c>
      <c r="BT36" s="33">
        <v>0.57040000000000002</v>
      </c>
      <c r="BU36" s="34">
        <f t="shared" si="61"/>
        <v>545.23141654978963</v>
      </c>
      <c r="BV36" s="34"/>
      <c r="BW36" s="29">
        <v>2565</v>
      </c>
      <c r="BX36" s="28">
        <f t="shared" si="37"/>
        <v>573</v>
      </c>
      <c r="BY36" s="27">
        <v>0.57330000000000003</v>
      </c>
      <c r="BZ36" s="28">
        <f t="shared" si="38"/>
        <v>999.47671376242795</v>
      </c>
      <c r="CA36" s="28"/>
      <c r="CB36" s="35">
        <v>2256</v>
      </c>
      <c r="CC36" s="34">
        <f t="shared" si="39"/>
        <v>326</v>
      </c>
      <c r="CD36" s="33">
        <v>0.57909999999999995</v>
      </c>
      <c r="CE36" s="34">
        <f t="shared" si="40"/>
        <v>562.94249697806947</v>
      </c>
      <c r="CF36" s="34"/>
      <c r="CG36" s="7">
        <v>2748</v>
      </c>
      <c r="CH36" s="7">
        <f t="shared" si="41"/>
        <v>1091</v>
      </c>
      <c r="CI36" s="7"/>
      <c r="CJ36" s="7"/>
      <c r="CL36" s="32">
        <v>1657</v>
      </c>
      <c r="CM36" s="27">
        <v>0.59</v>
      </c>
      <c r="CN36" s="28">
        <v>0.48479999999999995</v>
      </c>
      <c r="CO36" s="28">
        <f t="shared" si="42"/>
        <v>1.216996699669967</v>
      </c>
      <c r="CP36" s="28"/>
      <c r="CQ36" s="55">
        <v>3749</v>
      </c>
      <c r="CR36" s="57">
        <f t="shared" si="43"/>
        <v>1696</v>
      </c>
      <c r="CS36">
        <v>0.52969999999999995</v>
      </c>
      <c r="CT36" s="71">
        <f t="shared" si="44"/>
        <v>3201.8123466112897</v>
      </c>
      <c r="CU36" s="35">
        <v>1893</v>
      </c>
      <c r="CV36" s="34">
        <f t="shared" si="45"/>
        <v>266</v>
      </c>
      <c r="CW36" s="33">
        <v>0.58579999999999999</v>
      </c>
      <c r="CX36" s="34">
        <f t="shared" si="46"/>
        <v>454.07989074769546</v>
      </c>
      <c r="CY36" s="34"/>
      <c r="CZ36" s="29">
        <v>1666</v>
      </c>
      <c r="DA36" s="28">
        <f t="shared" si="47"/>
        <v>166</v>
      </c>
      <c r="DB36" s="27">
        <v>0.49509999999999998</v>
      </c>
      <c r="DC36" s="28">
        <f t="shared" si="48"/>
        <v>335.2858008483135</v>
      </c>
      <c r="DD36" s="28"/>
      <c r="DE36" s="55">
        <v>1670</v>
      </c>
      <c r="DF36" s="56">
        <f t="shared" si="49"/>
        <v>237</v>
      </c>
      <c r="DG36" s="56">
        <v>0.5048999999999999</v>
      </c>
      <c r="DH36" s="56">
        <f t="shared" si="50"/>
        <v>469.39988116458716</v>
      </c>
      <c r="DI36" s="56"/>
      <c r="DJ36" s="35">
        <v>1842</v>
      </c>
      <c r="DK36" s="34">
        <f t="shared" si="0"/>
        <v>202</v>
      </c>
      <c r="DL36" s="34">
        <v>0.48329999999999995</v>
      </c>
      <c r="DM36" s="34">
        <f t="shared" si="51"/>
        <v>417.95985930064148</v>
      </c>
      <c r="DN36" s="34"/>
      <c r="DO36" s="65">
        <v>2510</v>
      </c>
      <c r="DP36" s="64">
        <f t="shared" si="52"/>
        <v>505</v>
      </c>
      <c r="DQ36" s="64">
        <v>0.50070000000000003</v>
      </c>
      <c r="DR36" s="64">
        <f t="shared" si="53"/>
        <v>1008.5879768324345</v>
      </c>
      <c r="DS36" s="64"/>
      <c r="DT36" s="55">
        <v>2136</v>
      </c>
      <c r="DU36" s="56">
        <f t="shared" si="54"/>
        <v>281</v>
      </c>
      <c r="DV36" s="56">
        <v>0.48230000000000001</v>
      </c>
      <c r="DW36" s="56">
        <f t="shared" si="55"/>
        <v>582.62492224756375</v>
      </c>
      <c r="DX36" s="56"/>
      <c r="DY36" s="1">
        <v>2489</v>
      </c>
      <c r="DZ36">
        <f t="shared" si="56"/>
        <v>871</v>
      </c>
      <c r="ED36" s="37">
        <v>1618</v>
      </c>
      <c r="EE36" s="34">
        <f t="shared" si="57"/>
        <v>177</v>
      </c>
      <c r="EF36" s="34">
        <v>0.54349999999999998</v>
      </c>
      <c r="EG36" s="34">
        <f t="shared" si="58"/>
        <v>325.66697332106719</v>
      </c>
      <c r="EH36" s="34"/>
      <c r="EI36" s="74">
        <v>5841</v>
      </c>
      <c r="EJ36" s="73">
        <f t="shared" si="59"/>
        <v>3362</v>
      </c>
      <c r="EK36" s="73">
        <v>0.52349999999999997</v>
      </c>
      <c r="EL36" s="73">
        <f t="shared" si="60"/>
        <v>6422.1585482330474</v>
      </c>
      <c r="EM36" s="73"/>
    </row>
    <row r="37" spans="1:143" x14ac:dyDescent="0.2">
      <c r="A37">
        <v>7.609548055555555</v>
      </c>
      <c r="B37" s="29">
        <v>1735</v>
      </c>
      <c r="C37" s="28">
        <f t="shared" si="1"/>
        <v>217</v>
      </c>
      <c r="D37" s="27">
        <v>0.51270000000000004</v>
      </c>
      <c r="E37" s="28">
        <v>0.40750000000000003</v>
      </c>
      <c r="F37" s="28">
        <f t="shared" si="2"/>
        <v>532.51533742331287</v>
      </c>
      <c r="G37" s="28">
        <f t="shared" si="3"/>
        <v>8.875255623721881E-2</v>
      </c>
      <c r="H37" s="55">
        <v>1769</v>
      </c>
      <c r="I37" s="56">
        <f t="shared" si="4"/>
        <v>169</v>
      </c>
      <c r="J37" s="57">
        <v>0.52869999999999995</v>
      </c>
      <c r="K37" s="56">
        <v>0.42309999999999992</v>
      </c>
      <c r="L37" s="56">
        <f t="shared" si="5"/>
        <v>168.57689999999999</v>
      </c>
      <c r="M37" s="56">
        <f t="shared" si="6"/>
        <v>2.809615E-2</v>
      </c>
      <c r="N37" s="29">
        <v>1817</v>
      </c>
      <c r="O37" s="28">
        <f t="shared" si="7"/>
        <v>176</v>
      </c>
      <c r="P37" s="27">
        <v>0.51739999999999997</v>
      </c>
      <c r="Q37" s="28">
        <v>0.41209999999999997</v>
      </c>
      <c r="R37" s="28">
        <f t="shared" si="8"/>
        <v>427.08080562970156</v>
      </c>
      <c r="S37" s="28">
        <f t="shared" si="9"/>
        <v>7.1180134271616929E-2</v>
      </c>
      <c r="T37" s="55">
        <v>1803</v>
      </c>
      <c r="U37" s="56">
        <f t="shared" si="10"/>
        <v>135</v>
      </c>
      <c r="V37" s="57">
        <v>0.5272</v>
      </c>
      <c r="W37" s="56">
        <v>0.42220000000000002</v>
      </c>
      <c r="X37" s="56">
        <f t="shared" si="11"/>
        <v>319.753671245855</v>
      </c>
      <c r="Y37">
        <f t="shared" si="12"/>
        <v>5.3292278540975832E-2</v>
      </c>
      <c r="Z37" s="29">
        <v>2251</v>
      </c>
      <c r="AA37" s="28">
        <f t="shared" si="13"/>
        <v>368</v>
      </c>
      <c r="AB37" s="27">
        <v>0.51470000000000005</v>
      </c>
      <c r="AC37" s="28">
        <v>0.40530000000000005</v>
      </c>
      <c r="AD37" s="28">
        <f t="shared" si="14"/>
        <v>907.96940537873172</v>
      </c>
      <c r="AE37" s="28">
        <f t="shared" si="15"/>
        <v>0.15132823422978861</v>
      </c>
      <c r="AF37" s="55">
        <v>1891</v>
      </c>
      <c r="AG37" s="56">
        <f t="shared" si="16"/>
        <v>173</v>
      </c>
      <c r="AH37" s="57">
        <v>0.51500000000000001</v>
      </c>
      <c r="AI37" s="56">
        <v>0.40670000000000001</v>
      </c>
      <c r="AJ37" s="56">
        <f t="shared" si="17"/>
        <v>425.37496926481435</v>
      </c>
      <c r="AK37" s="56">
        <f t="shared" si="18"/>
        <v>7.0895828210802397E-2</v>
      </c>
      <c r="AL37" s="7">
        <v>2316</v>
      </c>
      <c r="AM37" s="7">
        <f t="shared" si="19"/>
        <v>621</v>
      </c>
      <c r="AN37" s="7">
        <v>0.57550000000000001</v>
      </c>
      <c r="AO37" s="7">
        <v>0.47040000000000004</v>
      </c>
      <c r="AP37" s="7">
        <v>-0.75417188239771982</v>
      </c>
      <c r="AQ37" s="32">
        <v>1695</v>
      </c>
      <c r="AR37" s="28"/>
      <c r="AS37" s="27">
        <f t="shared" si="20"/>
        <v>110</v>
      </c>
      <c r="AT37" s="28">
        <v>0.47040000000000004</v>
      </c>
      <c r="AU37" s="28">
        <f t="shared" si="21"/>
        <v>233.84353741496597</v>
      </c>
      <c r="AV37" s="55">
        <v>3212</v>
      </c>
      <c r="AW37" s="56">
        <f t="shared" si="22"/>
        <v>723</v>
      </c>
      <c r="AX37" s="57">
        <v>0.62980000000000003</v>
      </c>
      <c r="AY37" s="56">
        <v>0.52200000000000002</v>
      </c>
      <c r="AZ37" s="55">
        <f t="shared" si="23"/>
        <v>1385.0574712643677</v>
      </c>
      <c r="BA37" s="55">
        <f t="shared" si="24"/>
        <v>0.23084291187739461</v>
      </c>
      <c r="BB37" s="82">
        <v>1794</v>
      </c>
      <c r="BC37">
        <f t="shared" si="25"/>
        <v>139</v>
      </c>
      <c r="BD37" s="8">
        <v>0.60589999999999999</v>
      </c>
      <c r="BE37">
        <f t="shared" si="26"/>
        <v>229.41079386037299</v>
      </c>
      <c r="BF37">
        <f t="shared" si="27"/>
        <v>3.8235132310062168E-2</v>
      </c>
      <c r="BG37">
        <f t="shared" si="28"/>
        <v>3.8235132310062168E-2</v>
      </c>
      <c r="BH37" s="65">
        <v>1725</v>
      </c>
      <c r="BI37" s="64">
        <f t="shared" si="29"/>
        <v>1723</v>
      </c>
      <c r="BJ37" s="66">
        <v>0.5827</v>
      </c>
      <c r="BK37" s="64">
        <f t="shared" si="30"/>
        <v>2956.9246610605801</v>
      </c>
      <c r="BL37" s="64">
        <f t="shared" si="31"/>
        <v>0.49282077684343001</v>
      </c>
      <c r="BM37" s="29">
        <v>1838</v>
      </c>
      <c r="BN37" s="28">
        <f t="shared" si="32"/>
        <v>233</v>
      </c>
      <c r="BO37" s="27">
        <v>0.57089999999999996</v>
      </c>
      <c r="BP37" s="28">
        <f t="shared" si="33"/>
        <v>408.12751795410759</v>
      </c>
      <c r="BQ37" s="28">
        <f t="shared" si="34"/>
        <v>6.8021252992351261E-2</v>
      </c>
      <c r="BR37" s="35">
        <v>1921</v>
      </c>
      <c r="BS37" s="34">
        <f t="shared" si="35"/>
        <v>235</v>
      </c>
      <c r="BT37" s="33">
        <v>0.56689999999999996</v>
      </c>
      <c r="BU37" s="34">
        <f t="shared" si="61"/>
        <v>414.5351913917799</v>
      </c>
      <c r="BV37" s="34"/>
      <c r="BW37" s="29">
        <v>2521</v>
      </c>
      <c r="BX37" s="28">
        <f t="shared" si="37"/>
        <v>529</v>
      </c>
      <c r="BY37" s="27">
        <v>0.56789999999999996</v>
      </c>
      <c r="BZ37" s="28">
        <f t="shared" si="38"/>
        <v>931.5020250044023</v>
      </c>
      <c r="CA37" s="28"/>
      <c r="CB37" s="35">
        <v>2249</v>
      </c>
      <c r="CC37" s="34">
        <f t="shared" si="39"/>
        <v>319</v>
      </c>
      <c r="CD37" s="33">
        <v>0.57640000000000002</v>
      </c>
      <c r="CE37" s="34">
        <f t="shared" si="40"/>
        <v>553.43511450381675</v>
      </c>
      <c r="CF37" s="34"/>
      <c r="CG37" s="7">
        <v>2654</v>
      </c>
      <c r="CH37" s="7">
        <f t="shared" si="41"/>
        <v>1025</v>
      </c>
      <c r="CI37" s="7"/>
      <c r="CJ37" s="7"/>
      <c r="CL37" s="32">
        <v>1629</v>
      </c>
      <c r="CM37" s="27">
        <v>0.58479999999999999</v>
      </c>
      <c r="CN37" s="28">
        <v>0.47959999999999997</v>
      </c>
      <c r="CO37" s="28">
        <f t="shared" si="42"/>
        <v>1.219349457881568</v>
      </c>
      <c r="CP37" s="28"/>
      <c r="CQ37" s="55">
        <v>3640</v>
      </c>
      <c r="CR37" s="57">
        <f t="shared" si="43"/>
        <v>1587</v>
      </c>
      <c r="CS37">
        <v>0.54679999999999995</v>
      </c>
      <c r="CT37" s="71">
        <f t="shared" si="44"/>
        <v>2902.3408924652526</v>
      </c>
      <c r="CU37" s="35">
        <v>1886</v>
      </c>
      <c r="CV37" s="34">
        <f t="shared" si="45"/>
        <v>259</v>
      </c>
      <c r="CW37" s="33">
        <v>0.56440000000000001</v>
      </c>
      <c r="CX37" s="34">
        <f t="shared" si="46"/>
        <v>458.89440113394755</v>
      </c>
      <c r="CY37" s="34"/>
      <c r="CZ37" s="29">
        <v>1666</v>
      </c>
      <c r="DA37" s="28">
        <f t="shared" si="47"/>
        <v>166</v>
      </c>
      <c r="DB37" s="27">
        <v>0.50409999999999999</v>
      </c>
      <c r="DC37" s="28">
        <f t="shared" si="48"/>
        <v>329.29974211465981</v>
      </c>
      <c r="DD37" s="28"/>
      <c r="DE37" s="55">
        <v>1685</v>
      </c>
      <c r="DF37" s="56">
        <f t="shared" si="49"/>
        <v>252</v>
      </c>
      <c r="DG37" s="56">
        <v>0.49469999999999997</v>
      </c>
      <c r="DH37" s="56">
        <f t="shared" si="50"/>
        <v>509.39963614311705</v>
      </c>
      <c r="DI37" s="56"/>
      <c r="DJ37" s="35">
        <v>1818</v>
      </c>
      <c r="DK37" s="34">
        <f t="shared" si="0"/>
        <v>178</v>
      </c>
      <c r="DL37" s="34">
        <v>0.4798</v>
      </c>
      <c r="DM37" s="34">
        <f t="shared" si="51"/>
        <v>370.98791162984577</v>
      </c>
      <c r="DN37" s="34"/>
      <c r="DO37" s="65">
        <v>2405</v>
      </c>
      <c r="DP37" s="64">
        <f t="shared" si="52"/>
        <v>400</v>
      </c>
      <c r="DQ37" s="64">
        <v>0.48980000000000001</v>
      </c>
      <c r="DR37" s="64">
        <f t="shared" si="53"/>
        <v>816.65986116782358</v>
      </c>
      <c r="DS37" s="64"/>
      <c r="DT37" s="55">
        <v>2114</v>
      </c>
      <c r="DU37" s="56">
        <f t="shared" si="54"/>
        <v>259</v>
      </c>
      <c r="DV37" s="56">
        <v>0.48920000000000002</v>
      </c>
      <c r="DW37" s="56">
        <f t="shared" si="55"/>
        <v>529.43581357318067</v>
      </c>
      <c r="DX37" s="56"/>
      <c r="DY37" s="1">
        <v>2430</v>
      </c>
      <c r="DZ37">
        <f t="shared" si="56"/>
        <v>847</v>
      </c>
      <c r="ED37" s="37">
        <v>1583</v>
      </c>
      <c r="EE37" s="34">
        <f t="shared" si="57"/>
        <v>142</v>
      </c>
      <c r="EF37" s="34">
        <v>0.54400000000000004</v>
      </c>
      <c r="EG37" s="34">
        <f t="shared" si="58"/>
        <v>261.02941176470586</v>
      </c>
      <c r="EH37" s="34"/>
      <c r="EI37" s="74">
        <v>5622</v>
      </c>
      <c r="EJ37" s="73">
        <f t="shared" si="59"/>
        <v>3143</v>
      </c>
      <c r="EK37" s="73">
        <v>0.52529999999999999</v>
      </c>
      <c r="EL37" s="73">
        <f t="shared" si="60"/>
        <v>5983.2476679992387</v>
      </c>
      <c r="EM37" s="73"/>
    </row>
    <row r="38" spans="1:143" x14ac:dyDescent="0.2">
      <c r="A38">
        <v>7.8473716666666666</v>
      </c>
      <c r="B38" s="29">
        <v>1793</v>
      </c>
      <c r="C38" s="28">
        <f t="shared" si="1"/>
        <v>275</v>
      </c>
      <c r="D38" s="27">
        <v>0.51980000000000004</v>
      </c>
      <c r="E38" s="28">
        <v>0.41460000000000002</v>
      </c>
      <c r="F38" s="28">
        <f t="shared" si="2"/>
        <v>663.28991799324649</v>
      </c>
      <c r="G38" s="28">
        <f t="shared" si="3"/>
        <v>0.11054831966554109</v>
      </c>
      <c r="H38" s="55">
        <v>1828</v>
      </c>
      <c r="I38" s="56">
        <f t="shared" si="4"/>
        <v>228</v>
      </c>
      <c r="J38" s="57">
        <v>0.54979999999999996</v>
      </c>
      <c r="K38" s="56">
        <v>0.44419999999999993</v>
      </c>
      <c r="L38" s="56">
        <f t="shared" si="5"/>
        <v>227.5558</v>
      </c>
      <c r="M38" s="56">
        <f t="shared" si="6"/>
        <v>3.7925966666666665E-2</v>
      </c>
      <c r="N38" s="29">
        <v>1849</v>
      </c>
      <c r="O38" s="28">
        <f t="shared" si="7"/>
        <v>208</v>
      </c>
      <c r="P38" s="27">
        <v>0.54339999999999999</v>
      </c>
      <c r="Q38" s="28">
        <v>0.43809999999999999</v>
      </c>
      <c r="R38" s="28">
        <f t="shared" si="8"/>
        <v>474.77744807121661</v>
      </c>
      <c r="S38" s="28">
        <f t="shared" si="9"/>
        <v>7.9129574678536096E-2</v>
      </c>
      <c r="T38" s="55">
        <v>1870</v>
      </c>
      <c r="U38" s="56">
        <f t="shared" si="10"/>
        <v>202</v>
      </c>
      <c r="V38" s="57">
        <v>0.53390000000000004</v>
      </c>
      <c r="W38" s="56">
        <v>0.42890000000000006</v>
      </c>
      <c r="X38" s="56">
        <f t="shared" si="11"/>
        <v>470.97225460480291</v>
      </c>
      <c r="Y38">
        <f t="shared" si="12"/>
        <v>7.8495375767467152E-2</v>
      </c>
      <c r="Z38" s="29">
        <v>2291</v>
      </c>
      <c r="AA38" s="28">
        <f t="shared" si="13"/>
        <v>408</v>
      </c>
      <c r="AB38" s="27">
        <v>0.51280000000000003</v>
      </c>
      <c r="AC38" s="28">
        <v>0.40340000000000004</v>
      </c>
      <c r="AD38" s="28">
        <f t="shared" si="14"/>
        <v>1011.4030738720871</v>
      </c>
      <c r="AE38" s="28">
        <f t="shared" si="15"/>
        <v>0.16856717897868118</v>
      </c>
      <c r="AF38" s="55">
        <v>1919</v>
      </c>
      <c r="AG38" s="56">
        <f t="shared" si="16"/>
        <v>201</v>
      </c>
      <c r="AH38" s="57">
        <v>0.50600000000000001</v>
      </c>
      <c r="AI38" s="56">
        <v>0.3977</v>
      </c>
      <c r="AJ38" s="56">
        <f t="shared" si="17"/>
        <v>505.40608498868494</v>
      </c>
      <c r="AK38" s="56">
        <f t="shared" si="18"/>
        <v>8.4234347498114162E-2</v>
      </c>
      <c r="AL38" s="7">
        <v>2331</v>
      </c>
      <c r="AM38" s="7">
        <f t="shared" si="19"/>
        <v>594</v>
      </c>
      <c r="AN38" s="7">
        <v>0.57040000000000002</v>
      </c>
      <c r="AO38" s="7">
        <v>0.46530000000000005</v>
      </c>
      <c r="AP38" s="7">
        <v>-0.76507292013153416</v>
      </c>
      <c r="AQ38" s="32">
        <v>1737</v>
      </c>
      <c r="AR38" s="28"/>
      <c r="AS38" s="27">
        <f t="shared" si="20"/>
        <v>152</v>
      </c>
      <c r="AT38" s="28">
        <v>0.46530000000000005</v>
      </c>
      <c r="AU38" s="28">
        <f t="shared" si="21"/>
        <v>326.67096496883727</v>
      </c>
      <c r="AV38" s="55">
        <v>3251</v>
      </c>
      <c r="AW38" s="56">
        <f t="shared" si="22"/>
        <v>762</v>
      </c>
      <c r="AX38" s="57">
        <v>0.61899999999999999</v>
      </c>
      <c r="AY38" s="56">
        <v>0.51119999999999999</v>
      </c>
      <c r="AZ38" s="55">
        <f t="shared" si="23"/>
        <v>1490.6103286384978</v>
      </c>
      <c r="BA38" s="55">
        <f t="shared" si="24"/>
        <v>0.24843505477308298</v>
      </c>
      <c r="BB38" s="82">
        <v>1818</v>
      </c>
      <c r="BC38">
        <f t="shared" si="25"/>
        <v>163</v>
      </c>
      <c r="BD38" s="8">
        <v>0.60940000000000005</v>
      </c>
      <c r="BE38">
        <f t="shared" si="26"/>
        <v>267.47620610436491</v>
      </c>
      <c r="BF38">
        <f t="shared" si="27"/>
        <v>4.4579367684060817E-2</v>
      </c>
      <c r="BG38">
        <f t="shared" si="28"/>
        <v>4.4579367684060817E-2</v>
      </c>
      <c r="BH38" s="65">
        <v>1723</v>
      </c>
      <c r="BI38" s="64">
        <f t="shared" si="29"/>
        <v>1723</v>
      </c>
      <c r="BJ38" s="66">
        <v>0.58130000000000004</v>
      </c>
      <c r="BK38" s="64">
        <f t="shared" si="30"/>
        <v>2964.0461035609837</v>
      </c>
      <c r="BL38" s="64">
        <f t="shared" si="31"/>
        <v>0.49400768392683064</v>
      </c>
      <c r="BM38" s="29">
        <v>1832</v>
      </c>
      <c r="BN38" s="28">
        <f t="shared" si="32"/>
        <v>227</v>
      </c>
      <c r="BO38" s="27">
        <v>0.56679999999999997</v>
      </c>
      <c r="BP38" s="28">
        <f t="shared" si="33"/>
        <v>400.49400141143263</v>
      </c>
      <c r="BQ38" s="28">
        <f t="shared" si="34"/>
        <v>6.6749000235238776E-2</v>
      </c>
      <c r="BR38" s="35">
        <v>1946</v>
      </c>
      <c r="BS38" s="34">
        <f t="shared" si="35"/>
        <v>260</v>
      </c>
      <c r="BT38" s="33">
        <v>0.56189999999999996</v>
      </c>
      <c r="BU38" s="34">
        <f t="shared" si="61"/>
        <v>462.71578572699775</v>
      </c>
      <c r="BV38" s="34"/>
      <c r="BW38" s="29">
        <v>2484</v>
      </c>
      <c r="BX38" s="28">
        <f t="shared" si="37"/>
        <v>492</v>
      </c>
      <c r="BY38" s="27">
        <v>0.56369999999999998</v>
      </c>
      <c r="BZ38" s="28">
        <f t="shared" si="38"/>
        <v>872.80468334220336</v>
      </c>
      <c r="CA38" s="28"/>
      <c r="CB38" s="35">
        <v>2214</v>
      </c>
      <c r="CC38" s="34">
        <f t="shared" si="39"/>
        <v>284</v>
      </c>
      <c r="CD38" s="33">
        <v>0.56899999999999995</v>
      </c>
      <c r="CE38" s="34">
        <f t="shared" si="40"/>
        <v>499.12126537785593</v>
      </c>
      <c r="CF38" s="34"/>
      <c r="CG38" s="7">
        <v>2656</v>
      </c>
      <c r="CH38" s="7">
        <f t="shared" si="41"/>
        <v>1006</v>
      </c>
      <c r="CI38" s="7"/>
      <c r="CJ38" s="7"/>
      <c r="CL38" s="32">
        <v>1650</v>
      </c>
      <c r="CM38" s="27">
        <v>0.57889999999999997</v>
      </c>
      <c r="CN38" s="28">
        <v>0.47369999999999995</v>
      </c>
      <c r="CO38" s="28">
        <f t="shared" si="42"/>
        <v>1.2220814861726832</v>
      </c>
      <c r="CP38" s="28"/>
      <c r="CQ38" s="55">
        <v>3567</v>
      </c>
      <c r="CR38" s="57">
        <f t="shared" si="43"/>
        <v>1514</v>
      </c>
      <c r="CS38">
        <v>0.51929999999999998</v>
      </c>
      <c r="CT38" s="71">
        <f t="shared" si="44"/>
        <v>2915.4631234353938</v>
      </c>
      <c r="CU38" s="35">
        <v>1889</v>
      </c>
      <c r="CV38" s="34">
        <f t="shared" si="45"/>
        <v>262</v>
      </c>
      <c r="CW38" s="33">
        <v>0.56000000000000005</v>
      </c>
      <c r="CX38" s="34">
        <f t="shared" si="46"/>
        <v>467.85714285714283</v>
      </c>
      <c r="CY38" s="34"/>
      <c r="CZ38" s="29">
        <v>1690</v>
      </c>
      <c r="DA38" s="28">
        <f t="shared" si="47"/>
        <v>190</v>
      </c>
      <c r="DB38" s="27">
        <v>0.50080000000000002</v>
      </c>
      <c r="DC38" s="28">
        <f t="shared" si="48"/>
        <v>379.39297124600637</v>
      </c>
      <c r="DD38" s="28"/>
      <c r="DE38" s="55">
        <v>1660</v>
      </c>
      <c r="DF38" s="56">
        <f t="shared" si="49"/>
        <v>227</v>
      </c>
      <c r="DG38" s="56">
        <v>0.4924</v>
      </c>
      <c r="DH38" s="56">
        <f t="shared" si="50"/>
        <v>461.00731112916327</v>
      </c>
      <c r="DI38" s="56"/>
      <c r="DJ38" s="35">
        <v>1836</v>
      </c>
      <c r="DK38" s="34">
        <f t="shared" si="0"/>
        <v>196</v>
      </c>
      <c r="DL38" s="34">
        <v>0.47699999999999998</v>
      </c>
      <c r="DM38" s="34">
        <f t="shared" si="51"/>
        <v>410.9014675052411</v>
      </c>
      <c r="DN38" s="34"/>
      <c r="DO38" s="65">
        <v>2470</v>
      </c>
      <c r="DP38" s="64">
        <f t="shared" si="52"/>
        <v>465</v>
      </c>
      <c r="DQ38" s="64">
        <v>0.49039999999999995</v>
      </c>
      <c r="DR38" s="64">
        <f t="shared" si="53"/>
        <v>948.20554649265921</v>
      </c>
      <c r="DS38" s="64"/>
      <c r="DT38" s="55">
        <v>2103</v>
      </c>
      <c r="DU38" s="56">
        <f t="shared" si="54"/>
        <v>248</v>
      </c>
      <c r="DV38" s="56">
        <v>0.48120000000000002</v>
      </c>
      <c r="DW38" s="56">
        <f t="shared" si="55"/>
        <v>515.37822111388198</v>
      </c>
      <c r="DX38" s="56"/>
      <c r="DY38" s="1">
        <v>2434</v>
      </c>
      <c r="DZ38">
        <f t="shared" si="56"/>
        <v>833</v>
      </c>
      <c r="ED38" s="37">
        <v>1601</v>
      </c>
      <c r="EE38" s="34">
        <f t="shared" si="57"/>
        <v>160</v>
      </c>
      <c r="EF38" s="34">
        <v>0.54489999999999994</v>
      </c>
      <c r="EG38" s="34">
        <f t="shared" si="58"/>
        <v>293.6318590567077</v>
      </c>
      <c r="EH38" s="34"/>
      <c r="EI38" s="74">
        <v>5633</v>
      </c>
      <c r="EJ38" s="73">
        <f t="shared" si="59"/>
        <v>3154</v>
      </c>
      <c r="EK38" s="73">
        <v>0.51500000000000001</v>
      </c>
      <c r="EL38" s="73">
        <f t="shared" si="60"/>
        <v>6124.2718446601939</v>
      </c>
      <c r="EM38" s="73"/>
    </row>
    <row r="39" spans="1:143" x14ac:dyDescent="0.2">
      <c r="A39">
        <v>8.085210833333333</v>
      </c>
      <c r="B39" s="29">
        <v>1777</v>
      </c>
      <c r="C39" s="28">
        <f t="shared" si="1"/>
        <v>259</v>
      </c>
      <c r="D39" s="27">
        <v>0.50480000000000003</v>
      </c>
      <c r="E39" s="28">
        <v>0.39960000000000001</v>
      </c>
      <c r="F39" s="28">
        <f t="shared" si="2"/>
        <v>648.14814814814815</v>
      </c>
      <c r="G39" s="28">
        <f t="shared" si="3"/>
        <v>0.10802469135802469</v>
      </c>
      <c r="H39" s="55">
        <v>1795</v>
      </c>
      <c r="I39" s="56">
        <f t="shared" si="4"/>
        <v>195</v>
      </c>
      <c r="J39" s="57">
        <v>0.53710000000000002</v>
      </c>
      <c r="K39" s="56">
        <v>0.43149999999999999</v>
      </c>
      <c r="L39" s="56">
        <f t="shared" si="5"/>
        <v>194.5685</v>
      </c>
      <c r="M39" s="56">
        <f t="shared" si="6"/>
        <v>3.2428083333333337E-2</v>
      </c>
      <c r="N39" s="29">
        <v>1836</v>
      </c>
      <c r="O39" s="28">
        <f t="shared" si="7"/>
        <v>195</v>
      </c>
      <c r="P39" s="27">
        <v>0.51559999999999995</v>
      </c>
      <c r="Q39" s="28">
        <v>0.41029999999999994</v>
      </c>
      <c r="R39" s="28">
        <f t="shared" si="8"/>
        <v>475.26200341213752</v>
      </c>
      <c r="S39" s="28">
        <f t="shared" si="9"/>
        <v>7.9210333902022922E-2</v>
      </c>
      <c r="T39" s="55">
        <v>1817</v>
      </c>
      <c r="U39" s="56">
        <f t="shared" si="10"/>
        <v>149</v>
      </c>
      <c r="V39" s="57">
        <v>0.52590000000000003</v>
      </c>
      <c r="W39" s="56">
        <v>0.42090000000000005</v>
      </c>
      <c r="X39" s="56">
        <f t="shared" si="11"/>
        <v>354.00332620574954</v>
      </c>
      <c r="Y39">
        <f t="shared" si="12"/>
        <v>5.9000554367624927E-2</v>
      </c>
      <c r="Z39" s="29">
        <v>2281</v>
      </c>
      <c r="AA39" s="28">
        <f t="shared" si="13"/>
        <v>398</v>
      </c>
      <c r="AB39" s="27">
        <v>0.50680000000000003</v>
      </c>
      <c r="AC39" s="28">
        <v>0.39740000000000003</v>
      </c>
      <c r="AD39" s="28">
        <f t="shared" si="14"/>
        <v>1001.5098137896325</v>
      </c>
      <c r="AE39" s="28">
        <f t="shared" si="15"/>
        <v>0.16691830229827209</v>
      </c>
      <c r="AF39" s="55">
        <v>1914</v>
      </c>
      <c r="AG39" s="56">
        <f t="shared" si="16"/>
        <v>196</v>
      </c>
      <c r="AH39" s="57">
        <v>0.50949999999999995</v>
      </c>
      <c r="AI39" s="56">
        <v>0.40119999999999995</v>
      </c>
      <c r="AJ39" s="56">
        <f t="shared" si="17"/>
        <v>488.53439680957138</v>
      </c>
      <c r="AK39" s="56">
        <f t="shared" si="18"/>
        <v>8.1422399468261894E-2</v>
      </c>
      <c r="AL39" s="7">
        <v>2284</v>
      </c>
      <c r="AM39" s="7">
        <f t="shared" si="19"/>
        <v>548</v>
      </c>
      <c r="AN39" s="7">
        <v>0.58289999999999997</v>
      </c>
      <c r="AO39" s="7">
        <v>0.4778</v>
      </c>
      <c r="AP39" s="7">
        <v>-0.73856304409042783</v>
      </c>
      <c r="AQ39" s="32">
        <v>1736</v>
      </c>
      <c r="AR39" s="28"/>
      <c r="AS39" s="27">
        <f t="shared" si="20"/>
        <v>151</v>
      </c>
      <c r="AT39" s="28">
        <v>0.4778</v>
      </c>
      <c r="AU39" s="28">
        <f t="shared" si="21"/>
        <v>316.03181247383844</v>
      </c>
      <c r="AV39" s="55">
        <v>3183</v>
      </c>
      <c r="AW39" s="56">
        <f t="shared" si="22"/>
        <v>694</v>
      </c>
      <c r="AX39" s="57">
        <v>0.621</v>
      </c>
      <c r="AY39" s="56">
        <v>0.51319999999999999</v>
      </c>
      <c r="AZ39" s="55">
        <f t="shared" si="23"/>
        <v>1352.2992985190958</v>
      </c>
      <c r="BA39" s="55">
        <f t="shared" si="24"/>
        <v>0.22538321641984929</v>
      </c>
      <c r="BB39" s="82">
        <v>1826</v>
      </c>
      <c r="BC39">
        <f t="shared" si="25"/>
        <v>171</v>
      </c>
      <c r="BD39" s="8">
        <v>0.59560000000000002</v>
      </c>
      <c r="BE39">
        <f t="shared" si="26"/>
        <v>287.10543989254535</v>
      </c>
      <c r="BF39">
        <f t="shared" si="27"/>
        <v>4.785090664875756E-2</v>
      </c>
      <c r="BG39">
        <f t="shared" si="28"/>
        <v>4.785090664875756E-2</v>
      </c>
      <c r="BH39" s="65">
        <v>1743</v>
      </c>
      <c r="BI39" s="64">
        <f t="shared" si="29"/>
        <v>1723</v>
      </c>
      <c r="BJ39" s="66">
        <v>0.57020000000000004</v>
      </c>
      <c r="BK39" s="64">
        <f t="shared" si="30"/>
        <v>3021.746755524377</v>
      </c>
      <c r="BL39" s="64">
        <f t="shared" si="31"/>
        <v>0.50362445925406285</v>
      </c>
      <c r="BM39" s="29">
        <v>1811</v>
      </c>
      <c r="BN39" s="28">
        <f t="shared" si="32"/>
        <v>206</v>
      </c>
      <c r="BO39" s="27">
        <v>0.56120000000000003</v>
      </c>
      <c r="BP39" s="28">
        <f t="shared" si="33"/>
        <v>367.07056307911614</v>
      </c>
      <c r="BQ39" s="28">
        <f t="shared" si="34"/>
        <v>6.1178427179852689E-2</v>
      </c>
      <c r="BR39" s="35">
        <v>1931</v>
      </c>
      <c r="BS39" s="34">
        <f t="shared" si="35"/>
        <v>245</v>
      </c>
      <c r="BT39" s="33">
        <v>0.55710000000000004</v>
      </c>
      <c r="BU39" s="34">
        <f t="shared" si="61"/>
        <v>439.77741877580326</v>
      </c>
      <c r="BV39" s="34"/>
      <c r="BW39" s="29">
        <v>2501</v>
      </c>
      <c r="BX39" s="28">
        <f t="shared" si="37"/>
        <v>509</v>
      </c>
      <c r="BY39" s="27">
        <v>0.55989999999999995</v>
      </c>
      <c r="BZ39" s="28">
        <f t="shared" si="38"/>
        <v>909.09090909090912</v>
      </c>
      <c r="CA39" s="28"/>
      <c r="CB39" s="35">
        <v>2192</v>
      </c>
      <c r="CC39" s="34">
        <f t="shared" si="39"/>
        <v>262</v>
      </c>
      <c r="CD39" s="33">
        <v>0.56810000000000005</v>
      </c>
      <c r="CE39" s="34">
        <f t="shared" si="40"/>
        <v>461.18641084316135</v>
      </c>
      <c r="CF39" s="34"/>
      <c r="CG39" s="7">
        <v>2653</v>
      </c>
      <c r="CH39" s="7">
        <f t="shared" si="41"/>
        <v>1032</v>
      </c>
      <c r="CI39" s="7"/>
      <c r="CJ39" s="7"/>
      <c r="CL39" s="32">
        <v>1621</v>
      </c>
      <c r="CM39" s="27">
        <v>0.59330000000000005</v>
      </c>
      <c r="CN39" s="28">
        <v>0.48810000000000003</v>
      </c>
      <c r="CO39" s="28">
        <f t="shared" si="42"/>
        <v>1.2155296045892234</v>
      </c>
      <c r="CP39" s="28"/>
      <c r="CQ39" s="55">
        <v>3589</v>
      </c>
      <c r="CR39" s="57">
        <f t="shared" si="43"/>
        <v>1536</v>
      </c>
      <c r="CS39">
        <v>0.54979999999999996</v>
      </c>
      <c r="CT39" s="71">
        <f t="shared" si="44"/>
        <v>2793.7431793379415</v>
      </c>
      <c r="CU39" s="35">
        <v>1862</v>
      </c>
      <c r="CV39" s="34">
        <f t="shared" si="45"/>
        <v>235</v>
      </c>
      <c r="CW39" s="33">
        <v>0.4824</v>
      </c>
      <c r="CX39" s="34">
        <f t="shared" si="46"/>
        <v>487.1475953565506</v>
      </c>
      <c r="CY39" s="34"/>
      <c r="CZ39" s="29">
        <v>1645</v>
      </c>
      <c r="DA39" s="28">
        <f t="shared" si="47"/>
        <v>145</v>
      </c>
      <c r="DB39" s="27">
        <v>0.49370000000000003</v>
      </c>
      <c r="DC39" s="28">
        <f t="shared" si="48"/>
        <v>293.70062791168726</v>
      </c>
      <c r="DD39" s="28"/>
      <c r="DE39" s="55">
        <v>1655</v>
      </c>
      <c r="DF39" s="56">
        <f t="shared" si="49"/>
        <v>222</v>
      </c>
      <c r="DG39">
        <v>0.48010000000000003</v>
      </c>
      <c r="DH39" s="56">
        <f t="shared" si="50"/>
        <v>462.40366590293684</v>
      </c>
      <c r="DI39" s="56"/>
      <c r="DJ39" s="35">
        <v>1822</v>
      </c>
      <c r="DK39" s="34">
        <f t="shared" si="0"/>
        <v>182</v>
      </c>
      <c r="DL39" s="34">
        <v>0.47519999999999996</v>
      </c>
      <c r="DM39" s="34">
        <f t="shared" si="51"/>
        <v>382.99663299663302</v>
      </c>
      <c r="DN39" s="34"/>
      <c r="DO39" s="65">
        <v>2415</v>
      </c>
      <c r="DP39" s="64">
        <f t="shared" si="52"/>
        <v>410</v>
      </c>
      <c r="DQ39" s="64">
        <v>0.48749999999999993</v>
      </c>
      <c r="DR39" s="64">
        <f t="shared" si="53"/>
        <v>841.02564102564111</v>
      </c>
      <c r="DS39" s="64"/>
      <c r="DT39" s="55">
        <v>2107</v>
      </c>
      <c r="DU39" s="56">
        <f t="shared" si="54"/>
        <v>252</v>
      </c>
      <c r="DV39" s="56">
        <v>0.47849999999999998</v>
      </c>
      <c r="DW39" s="56">
        <f t="shared" si="55"/>
        <v>526.64576802507838</v>
      </c>
      <c r="DX39" s="56"/>
      <c r="DY39" s="1">
        <v>2438</v>
      </c>
      <c r="DZ39">
        <f t="shared" si="56"/>
        <v>855</v>
      </c>
      <c r="ED39" s="37">
        <v>1583</v>
      </c>
      <c r="EE39" s="34">
        <f t="shared" si="57"/>
        <v>142</v>
      </c>
      <c r="EF39" s="34">
        <v>0.56489999999999996</v>
      </c>
      <c r="EG39" s="34">
        <f t="shared" si="58"/>
        <v>251.37192423437779</v>
      </c>
      <c r="EH39" s="34"/>
      <c r="EI39" s="74">
        <v>5521</v>
      </c>
      <c r="EJ39" s="73">
        <f t="shared" si="59"/>
        <v>3042</v>
      </c>
      <c r="EK39" s="73">
        <v>0.51619999999999999</v>
      </c>
      <c r="EL39" s="73">
        <f t="shared" si="60"/>
        <v>5893.0647036032542</v>
      </c>
      <c r="EM39" s="73"/>
    </row>
    <row r="40" spans="1:143" x14ac:dyDescent="0.2">
      <c r="AL40" s="7"/>
      <c r="AM40" s="7"/>
      <c r="AN40" s="7"/>
      <c r="AO40" s="7"/>
      <c r="AP40" s="7"/>
      <c r="AQ40" s="10"/>
      <c r="BB40" s="15"/>
      <c r="BN40">
        <f t="shared" ref="BN40" si="62">BM40-CL40</f>
        <v>0</v>
      </c>
      <c r="BS40">
        <f t="shared" ref="BS40" si="63">BR40-CL40</f>
        <v>0</v>
      </c>
      <c r="CG40" s="7"/>
      <c r="CH40" s="7"/>
      <c r="CI40" s="7"/>
      <c r="CJ40" s="7"/>
      <c r="CL40" s="10"/>
      <c r="CT40" s="15"/>
    </row>
    <row r="41" spans="1:143" x14ac:dyDescent="0.2">
      <c r="F41" s="6" t="s">
        <v>267</v>
      </c>
      <c r="G41" s="6"/>
      <c r="L41" s="6" t="s">
        <v>267</v>
      </c>
      <c r="M41" s="6"/>
      <c r="R41" s="6" t="s">
        <v>267</v>
      </c>
      <c r="S41" s="6"/>
      <c r="X41" s="6" t="s">
        <v>267</v>
      </c>
      <c r="Y41" s="6"/>
      <c r="AT41" s="76"/>
      <c r="BB41" s="15"/>
      <c r="CG41" s="7"/>
      <c r="CH41" s="7"/>
      <c r="CI41" s="7"/>
      <c r="CJ41" s="7"/>
      <c r="CL41" s="10"/>
      <c r="CT41" s="15"/>
    </row>
    <row r="54" spans="112:119" x14ac:dyDescent="0.2">
      <c r="DH54" s="22">
        <v>0</v>
      </c>
      <c r="DI54" s="28">
        <v>0</v>
      </c>
      <c r="DJ54" s="34">
        <v>0</v>
      </c>
      <c r="DK54" s="39">
        <v>0</v>
      </c>
      <c r="DL54" s="43">
        <v>0</v>
      </c>
      <c r="DM54" s="28">
        <v>0</v>
      </c>
      <c r="DN54" s="22">
        <v>0</v>
      </c>
      <c r="DO54" s="47">
        <v>0</v>
      </c>
    </row>
    <row r="55" spans="112:119" x14ac:dyDescent="0.2">
      <c r="DH55" s="22">
        <v>3.5000000000000031E-3</v>
      </c>
      <c r="DI55" s="28">
        <v>2.7000000000000079E-3</v>
      </c>
      <c r="DJ55" s="34">
        <v>2.4000000000000132E-3</v>
      </c>
      <c r="DK55" s="39">
        <v>2.6000000000000051E-3</v>
      </c>
      <c r="DL55" s="43">
        <v>2.7999999999999969E-3</v>
      </c>
      <c r="DM55" s="28">
        <v>1.9999999999999879E-3</v>
      </c>
      <c r="DN55" s="22">
        <v>2.8999999999999998E-3</v>
      </c>
      <c r="DO55" s="47">
        <v>2.1000000000000046E-3</v>
      </c>
    </row>
    <row r="56" spans="112:119" x14ac:dyDescent="0.2">
      <c r="DH56" s="22">
        <v>9.5999999999999974E-3</v>
      </c>
      <c r="DI56" s="28">
        <v>7.9000000000000042E-3</v>
      </c>
      <c r="DJ56" s="34">
        <v>7.6000000000000095E-3</v>
      </c>
      <c r="DK56" s="39">
        <v>7.6000000000000095E-3</v>
      </c>
      <c r="DL56" s="43">
        <v>7.8000000000000014E-3</v>
      </c>
      <c r="DM56" s="28">
        <v>6.9000000000000034E-3</v>
      </c>
      <c r="DN56" s="22">
        <v>7.8000000000000014E-3</v>
      </c>
      <c r="DO56" s="47">
        <v>6.6000000000000086E-3</v>
      </c>
    </row>
    <row r="57" spans="112:119" x14ac:dyDescent="0.2">
      <c r="DH57" s="22">
        <v>1.4699999999999991E-2</v>
      </c>
      <c r="DI57" s="28">
        <v>1.4800000000000008E-2</v>
      </c>
      <c r="DJ57" s="34">
        <v>1.390000000000001E-2</v>
      </c>
      <c r="DK57" s="39">
        <v>1.440000000000001E-2</v>
      </c>
      <c r="DL57" s="43">
        <v>1.4799999999999994E-2</v>
      </c>
      <c r="DM57" s="28">
        <v>1.4599999999999988E-2</v>
      </c>
      <c r="DN57" s="22">
        <v>1.6799999999999995E-2</v>
      </c>
      <c r="DO57" s="47">
        <v>1.4200000000000004E-2</v>
      </c>
    </row>
    <row r="58" spans="112:119" x14ac:dyDescent="0.2">
      <c r="DH58" s="22">
        <v>2.1399999999999988E-2</v>
      </c>
      <c r="DI58" s="28">
        <v>1.9799999999999998E-2</v>
      </c>
      <c r="DJ58" s="34">
        <v>1.9900000000000001E-2</v>
      </c>
      <c r="DK58" s="39">
        <v>2.0600000000000007E-2</v>
      </c>
      <c r="DL58" s="43">
        <v>2.0099999999999993E-2</v>
      </c>
      <c r="DM58" s="28">
        <v>2.0399999999999988E-2</v>
      </c>
      <c r="DN58" s="22">
        <v>2.6099999999999984E-2</v>
      </c>
      <c r="DO58" s="47">
        <v>2.2200000000000011E-2</v>
      </c>
    </row>
    <row r="59" spans="112:119" x14ac:dyDescent="0.2">
      <c r="DH59" s="22">
        <v>2.7699999999999989E-2</v>
      </c>
      <c r="DI59" s="28">
        <v>2.4099999999999996E-2</v>
      </c>
      <c r="DJ59" s="34">
        <v>2.6300000000000018E-2</v>
      </c>
      <c r="DK59" s="39">
        <v>2.5600000000000012E-2</v>
      </c>
      <c r="DL59" s="43">
        <v>2.5199999999999986E-2</v>
      </c>
      <c r="DM59" s="28">
        <v>2.7300000000000005E-2</v>
      </c>
      <c r="DN59" s="22">
        <v>3.6399999999999988E-2</v>
      </c>
      <c r="DO59" s="47">
        <v>2.9100000000000001E-2</v>
      </c>
    </row>
    <row r="60" spans="112:119" x14ac:dyDescent="0.2">
      <c r="DH60" s="25">
        <v>4.4499999999999998E-2</v>
      </c>
      <c r="DI60" s="31">
        <v>3.7199999999999997E-2</v>
      </c>
      <c r="DJ60" s="34">
        <v>3.9400000000000018E-2</v>
      </c>
      <c r="DK60" s="39">
        <v>4.0300000000000002E-2</v>
      </c>
      <c r="DL60" s="43">
        <v>3.8699999999999998E-2</v>
      </c>
      <c r="DM60" s="28">
        <v>4.8899999999999985E-2</v>
      </c>
      <c r="DN60" s="22">
        <v>6.2700000000000006E-2</v>
      </c>
      <c r="DO60" s="47">
        <v>5.1299999999999998E-2</v>
      </c>
    </row>
    <row r="61" spans="112:119" x14ac:dyDescent="0.2">
      <c r="DH61" s="25">
        <v>6.2100000000000002E-2</v>
      </c>
      <c r="DI61" s="31">
        <v>5.8399999999999994E-2</v>
      </c>
      <c r="DJ61" s="34">
        <v>6.1100000000000015E-2</v>
      </c>
      <c r="DK61" s="39">
        <v>6.3299999999999995E-2</v>
      </c>
      <c r="DL61" s="43">
        <v>6.0800000000000007E-2</v>
      </c>
      <c r="DM61" s="28">
        <v>8.2099999999999992E-2</v>
      </c>
      <c r="DN61" s="22">
        <v>0.1018</v>
      </c>
      <c r="DO61" s="47">
        <v>8.4400000000000017E-2</v>
      </c>
    </row>
    <row r="62" spans="112:119" x14ac:dyDescent="0.2">
      <c r="DH62" s="26">
        <v>8.5300000000000001E-2</v>
      </c>
      <c r="DI62" s="32">
        <v>7.8E-2</v>
      </c>
      <c r="DJ62" s="37">
        <v>8.1100000000000005E-2</v>
      </c>
      <c r="DK62" s="41">
        <v>8.2600000000000007E-2</v>
      </c>
      <c r="DL62" s="45">
        <v>7.9299999999999995E-2</v>
      </c>
      <c r="DM62" s="32">
        <v>0.1082</v>
      </c>
      <c r="DN62" s="26">
        <v>0.1439</v>
      </c>
      <c r="DO62" s="49">
        <v>0.12100000000000001</v>
      </c>
    </row>
    <row r="63" spans="112:119" x14ac:dyDescent="0.2">
      <c r="DH63" s="25">
        <v>0.1386</v>
      </c>
      <c r="DI63" s="31">
        <v>0.12100000000000001</v>
      </c>
      <c r="DJ63" s="34">
        <v>0.12670000000000001</v>
      </c>
      <c r="DK63" s="39">
        <v>0.12840000000000001</v>
      </c>
      <c r="DL63" s="43">
        <v>0.12480000000000001</v>
      </c>
      <c r="DM63" s="28">
        <v>0.1724</v>
      </c>
      <c r="DN63" s="22">
        <v>0.2137</v>
      </c>
      <c r="DO63" s="47">
        <v>0.1905</v>
      </c>
    </row>
    <row r="64" spans="112:119" x14ac:dyDescent="0.2">
      <c r="DH64" s="22">
        <v>0.19119999999999998</v>
      </c>
      <c r="DI64" s="28">
        <v>0.18490000000000001</v>
      </c>
      <c r="DJ64" s="34">
        <v>0.18820000000000003</v>
      </c>
      <c r="DK64" s="39">
        <v>0.19069999999999998</v>
      </c>
      <c r="DL64" s="43">
        <v>0.18390000000000001</v>
      </c>
      <c r="DM64" s="28">
        <v>0.20779999999999998</v>
      </c>
      <c r="DN64" s="22">
        <v>0.24609999999999999</v>
      </c>
      <c r="DO64" s="47">
        <v>0.24390000000000001</v>
      </c>
    </row>
    <row r="65" spans="112:119" x14ac:dyDescent="0.2">
      <c r="DH65" s="22">
        <v>0.25939999999999996</v>
      </c>
      <c r="DI65" s="28">
        <v>0.24099999999999999</v>
      </c>
      <c r="DJ65" s="34">
        <v>0.23680000000000001</v>
      </c>
      <c r="DK65" s="39">
        <v>0.2359</v>
      </c>
      <c r="DL65" s="43">
        <v>0.22869999999999996</v>
      </c>
      <c r="DM65" s="28">
        <v>0.2722</v>
      </c>
      <c r="DN65" s="22">
        <v>0.3221</v>
      </c>
      <c r="DO65" s="47">
        <v>0.3276</v>
      </c>
    </row>
    <row r="66" spans="112:119" x14ac:dyDescent="0.2">
      <c r="DH66" s="26">
        <v>0.31140000000000001</v>
      </c>
      <c r="DI66" s="32">
        <v>0.28129999999999999</v>
      </c>
      <c r="DJ66" s="37">
        <v>0.28420000000000001</v>
      </c>
      <c r="DK66" s="41">
        <v>0.28089999999999998</v>
      </c>
      <c r="DL66" s="45">
        <v>0.27459999999999996</v>
      </c>
      <c r="DM66" s="32">
        <v>0.33179999999999998</v>
      </c>
      <c r="DN66" s="26">
        <v>0.39389999999999997</v>
      </c>
      <c r="DO66" s="49">
        <v>0.41259999999999997</v>
      </c>
    </row>
    <row r="67" spans="112:119" x14ac:dyDescent="0.2">
      <c r="DH67" s="26">
        <v>0.32319999999999999</v>
      </c>
      <c r="DI67" s="32">
        <v>0.31420000000000003</v>
      </c>
      <c r="DJ67" s="37">
        <v>0.30759999999999998</v>
      </c>
      <c r="DK67" s="41">
        <v>0.30809999999999998</v>
      </c>
      <c r="DL67" s="45">
        <v>0.30179999999999996</v>
      </c>
      <c r="DM67" s="32">
        <v>0.3669</v>
      </c>
      <c r="DN67" s="26">
        <v>0.43399999999999994</v>
      </c>
      <c r="DO67" s="49">
        <v>0.47570000000000001</v>
      </c>
    </row>
    <row r="68" spans="112:119" x14ac:dyDescent="0.2">
      <c r="DH68" s="25">
        <v>0.40699999999999997</v>
      </c>
      <c r="DI68" s="28">
        <v>0.36410000000000003</v>
      </c>
      <c r="DJ68" s="34">
        <v>0.36459999999999998</v>
      </c>
      <c r="DK68" s="39">
        <v>0.35670000000000002</v>
      </c>
      <c r="DL68" s="43">
        <v>0.35069999999999996</v>
      </c>
      <c r="DM68" s="28">
        <v>0.39979999999999999</v>
      </c>
      <c r="DN68" s="22">
        <v>0.46330000000000005</v>
      </c>
      <c r="DO68" s="47">
        <v>0.49229999999999996</v>
      </c>
    </row>
    <row r="69" spans="112:119" x14ac:dyDescent="0.2">
      <c r="DH69" s="25">
        <v>0.48099999999999993</v>
      </c>
      <c r="DI69" s="28">
        <v>0.42300000000000004</v>
      </c>
      <c r="DJ69" s="34">
        <v>0.41560000000000002</v>
      </c>
      <c r="DK69" s="39">
        <v>0.4083</v>
      </c>
      <c r="DL69" s="43">
        <v>0.40700000000000003</v>
      </c>
      <c r="DM69" s="28">
        <v>0.44139999999999996</v>
      </c>
      <c r="DN69" s="22">
        <v>0.49980000000000002</v>
      </c>
      <c r="DO69" s="47">
        <v>0.54649999999999999</v>
      </c>
    </row>
    <row r="70" spans="112:119" x14ac:dyDescent="0.2">
      <c r="DH70" s="25">
        <v>0.46329999999999999</v>
      </c>
      <c r="DI70" s="28">
        <v>0.44879999999999998</v>
      </c>
      <c r="DJ70" s="34">
        <v>0.44260000000000005</v>
      </c>
      <c r="DK70" s="39">
        <v>0.43540000000000001</v>
      </c>
      <c r="DL70" s="43">
        <v>0.43389999999999995</v>
      </c>
      <c r="DM70" s="28">
        <v>0.46869999999999995</v>
      </c>
      <c r="DN70" s="22">
        <v>0.51639999999999997</v>
      </c>
      <c r="DO70" s="47">
        <v>0.56459999999999999</v>
      </c>
    </row>
    <row r="71" spans="112:119" x14ac:dyDescent="0.2">
      <c r="DH71" s="25">
        <v>0.53939999999999999</v>
      </c>
      <c r="DI71" s="28">
        <v>0.46879999999999999</v>
      </c>
      <c r="DJ71" s="34">
        <v>0.46710000000000002</v>
      </c>
      <c r="DK71" s="39">
        <v>0.45450000000000002</v>
      </c>
      <c r="DL71" s="43">
        <v>0.45279999999999998</v>
      </c>
      <c r="DM71" s="28">
        <v>0.47869999999999996</v>
      </c>
      <c r="DN71" s="22">
        <v>0.52049999999999996</v>
      </c>
      <c r="DO71" s="47">
        <v>0.57030000000000003</v>
      </c>
    </row>
    <row r="72" spans="112:119" x14ac:dyDescent="0.2">
      <c r="DH72" s="25">
        <v>0.57390000000000008</v>
      </c>
      <c r="DI72" s="28">
        <v>0.49819999999999998</v>
      </c>
      <c r="DJ72" s="34">
        <v>0.49379999999999996</v>
      </c>
      <c r="DK72" s="39">
        <v>0.48199999999999998</v>
      </c>
      <c r="DL72" s="43">
        <v>0.48649999999999993</v>
      </c>
      <c r="DM72" s="28">
        <v>0.49859999999999999</v>
      </c>
      <c r="DN72" s="22">
        <v>0.53059999999999996</v>
      </c>
      <c r="DO72" s="47">
        <v>0.58099999999999996</v>
      </c>
    </row>
    <row r="73" spans="112:119" x14ac:dyDescent="0.2">
      <c r="DH73" s="25">
        <v>0.51950000000000007</v>
      </c>
      <c r="DI73" s="28">
        <v>0.51200000000000001</v>
      </c>
      <c r="DJ73" s="34">
        <v>0.50639999999999996</v>
      </c>
      <c r="DK73" s="39">
        <v>0.49690000000000001</v>
      </c>
      <c r="DL73" s="43">
        <v>0.49690000000000001</v>
      </c>
      <c r="DM73" s="28">
        <v>0.51060000000000005</v>
      </c>
      <c r="DN73" s="22">
        <v>0.54410000000000003</v>
      </c>
      <c r="DO73" s="47">
        <v>0.57950000000000002</v>
      </c>
    </row>
    <row r="74" spans="112:119" x14ac:dyDescent="0.2">
      <c r="DH74" s="25">
        <v>0.61030000000000006</v>
      </c>
      <c r="DI74" s="28">
        <v>0.51819999999999999</v>
      </c>
      <c r="DJ74" s="34">
        <v>0.51869999999999994</v>
      </c>
      <c r="DK74" s="39">
        <v>0.50890000000000002</v>
      </c>
      <c r="DL74" s="43">
        <v>0.51119999999999999</v>
      </c>
      <c r="DM74" s="28">
        <v>0.51960000000000006</v>
      </c>
      <c r="DN74" s="22">
        <v>0.54589999999999994</v>
      </c>
      <c r="DO74" s="47">
        <v>0.5786</v>
      </c>
    </row>
    <row r="75" spans="112:119" x14ac:dyDescent="0.2">
      <c r="DH75" s="22">
        <v>0.61099999999999999</v>
      </c>
      <c r="DI75" s="28">
        <v>0.52280000000000004</v>
      </c>
      <c r="DJ75" s="34">
        <v>0.52520000000000011</v>
      </c>
      <c r="DK75" s="39">
        <v>0.50860000000000005</v>
      </c>
      <c r="DL75" s="43">
        <v>0.51080000000000003</v>
      </c>
      <c r="DM75" s="28">
        <v>0.51230000000000009</v>
      </c>
      <c r="DN75" s="22">
        <v>0.53979999999999995</v>
      </c>
      <c r="DO75" s="47">
        <v>0.56720000000000004</v>
      </c>
    </row>
    <row r="76" spans="112:119" x14ac:dyDescent="0.2">
      <c r="DH76" s="22">
        <v>0.59560000000000002</v>
      </c>
      <c r="DI76" s="28">
        <v>0.53800000000000003</v>
      </c>
      <c r="DJ76" s="34">
        <v>0.52960000000000007</v>
      </c>
      <c r="DK76" s="39">
        <v>0.51519999999999999</v>
      </c>
      <c r="DL76" s="43">
        <v>0.51900000000000002</v>
      </c>
      <c r="DM76" s="28">
        <v>0.51470000000000005</v>
      </c>
      <c r="DN76" s="22">
        <v>0.54420000000000002</v>
      </c>
      <c r="DO76" s="47">
        <v>0.56699999999999995</v>
      </c>
    </row>
    <row r="77" spans="112:119" x14ac:dyDescent="0.2">
      <c r="DH77" s="22">
        <v>0.62380000000000002</v>
      </c>
      <c r="DI77" s="28">
        <v>0.53060000000000007</v>
      </c>
      <c r="DJ77" s="34">
        <v>0.53049999999999997</v>
      </c>
      <c r="DK77" s="39">
        <v>0.51160000000000005</v>
      </c>
      <c r="DL77" s="43">
        <v>0.52300000000000002</v>
      </c>
      <c r="DM77" s="28">
        <v>0.51280000000000003</v>
      </c>
      <c r="DN77" s="22">
        <v>0.54139999999999999</v>
      </c>
      <c r="DO77" s="47">
        <v>0.56089999999999995</v>
      </c>
    </row>
    <row r="78" spans="112:119" x14ac:dyDescent="0.2">
      <c r="DH78" s="22">
        <v>0.53670000000000007</v>
      </c>
      <c r="DI78" s="28">
        <v>0.54430000000000001</v>
      </c>
      <c r="DJ78" s="34">
        <v>0.52010000000000001</v>
      </c>
      <c r="DK78" s="39">
        <v>0.52500000000000002</v>
      </c>
      <c r="DL78" s="43">
        <v>0.51869999999999994</v>
      </c>
      <c r="DM78" s="28">
        <v>0.51470000000000005</v>
      </c>
      <c r="DN78" s="22">
        <v>0.54100000000000004</v>
      </c>
      <c r="DO78" s="47">
        <v>0.55000000000000004</v>
      </c>
    </row>
    <row r="79" spans="112:119" x14ac:dyDescent="0.2">
      <c r="DH79" s="22">
        <v>0.58220000000000005</v>
      </c>
      <c r="DI79" s="28">
        <v>0.53220000000000001</v>
      </c>
      <c r="DJ79" s="34">
        <v>0.52360000000000007</v>
      </c>
      <c r="DK79" s="39">
        <v>0.51229999999999998</v>
      </c>
      <c r="DL79" s="43">
        <v>0.52459999999999996</v>
      </c>
      <c r="DM79" s="28">
        <v>0.50819999999999999</v>
      </c>
      <c r="DN79" s="22">
        <v>0.54659999999999997</v>
      </c>
      <c r="DO79" s="47">
        <v>0.54879999999999995</v>
      </c>
    </row>
    <row r="80" spans="112:119" x14ac:dyDescent="0.2">
      <c r="DH80" s="22">
        <v>0.622</v>
      </c>
      <c r="DI80" s="28">
        <v>0.5151</v>
      </c>
      <c r="DJ80" s="34">
        <v>0.52320000000000011</v>
      </c>
      <c r="DK80" s="39">
        <v>0.50239999999999996</v>
      </c>
      <c r="DL80" s="43">
        <v>0.52029999999999998</v>
      </c>
      <c r="DM80" s="28">
        <v>0.50230000000000008</v>
      </c>
      <c r="DN80" s="22">
        <v>0.54279999999999995</v>
      </c>
      <c r="DO80" s="47">
        <v>0.54259999999999997</v>
      </c>
    </row>
    <row r="81" spans="112:119" x14ac:dyDescent="0.2">
      <c r="DH81" s="22">
        <v>0.58720000000000006</v>
      </c>
      <c r="DI81" s="28">
        <v>0.50860000000000005</v>
      </c>
      <c r="DJ81" s="34">
        <v>0.5112000000000001</v>
      </c>
      <c r="DK81" s="39">
        <v>0.49919999999999998</v>
      </c>
      <c r="DL81" s="43">
        <v>0.51</v>
      </c>
      <c r="DM81" s="28">
        <v>0.49820000000000003</v>
      </c>
      <c r="DN81" s="22">
        <v>0.54239999999999999</v>
      </c>
      <c r="DO81" s="47">
        <v>0.53779999999999994</v>
      </c>
    </row>
    <row r="82" spans="112:119" x14ac:dyDescent="0.2">
      <c r="DH82" s="22">
        <v>0.55940000000000001</v>
      </c>
      <c r="DI82" s="28">
        <v>0.51500000000000001</v>
      </c>
      <c r="DJ82" s="34">
        <v>0.50879999999999992</v>
      </c>
      <c r="DK82" s="39">
        <v>0.4919</v>
      </c>
      <c r="DL82" s="43">
        <v>0.50459999999999994</v>
      </c>
      <c r="DM82" s="28">
        <v>0.49049999999999999</v>
      </c>
      <c r="DN82" s="22">
        <v>0.53739999999999999</v>
      </c>
      <c r="DO82" s="47">
        <v>0.52359999999999995</v>
      </c>
    </row>
    <row r="83" spans="112:119" x14ac:dyDescent="0.2">
      <c r="DH83" s="22">
        <v>0.58579999999999999</v>
      </c>
      <c r="DI83" s="28">
        <v>0.49509999999999998</v>
      </c>
      <c r="DJ83" s="34">
        <v>0.5048999999999999</v>
      </c>
      <c r="DK83" s="39">
        <v>0.48329999999999995</v>
      </c>
      <c r="DL83" s="43">
        <v>0.50070000000000003</v>
      </c>
      <c r="DM83" s="28">
        <v>0.48230000000000001</v>
      </c>
      <c r="DN83" s="22">
        <v>0.54349999999999998</v>
      </c>
      <c r="DO83" s="47">
        <v>0.52349999999999997</v>
      </c>
    </row>
    <row r="84" spans="112:119" x14ac:dyDescent="0.2">
      <c r="DH84" s="22">
        <v>0.56440000000000001</v>
      </c>
      <c r="DI84" s="28">
        <v>0.50409999999999999</v>
      </c>
      <c r="DJ84" s="34">
        <v>0.49469999999999997</v>
      </c>
      <c r="DK84" s="39">
        <v>0.4798</v>
      </c>
      <c r="DL84" s="43">
        <v>0.48980000000000001</v>
      </c>
      <c r="DM84" s="28">
        <v>0.48920000000000002</v>
      </c>
      <c r="DN84" s="22">
        <v>0.54400000000000004</v>
      </c>
      <c r="DO84" s="47">
        <v>0.52529999999999999</v>
      </c>
    </row>
    <row r="85" spans="112:119" x14ac:dyDescent="0.2">
      <c r="DH85" s="22">
        <v>0.56000000000000005</v>
      </c>
      <c r="DI85" s="28">
        <v>0.50080000000000002</v>
      </c>
      <c r="DJ85" s="34">
        <v>0.4924</v>
      </c>
      <c r="DK85" s="39">
        <v>0.47699999999999998</v>
      </c>
      <c r="DL85" s="43">
        <v>0.49039999999999995</v>
      </c>
      <c r="DM85" s="28">
        <v>0.48120000000000002</v>
      </c>
      <c r="DN85" s="22">
        <v>0.54489999999999994</v>
      </c>
      <c r="DO85" s="47">
        <v>0.51500000000000001</v>
      </c>
    </row>
    <row r="86" spans="112:119" x14ac:dyDescent="0.2">
      <c r="DH86" s="22">
        <v>0.4824</v>
      </c>
      <c r="DI86" s="28">
        <v>0.49370000000000003</v>
      </c>
      <c r="DJ86" s="34">
        <v>0.48010000000000003</v>
      </c>
      <c r="DK86" s="39">
        <v>0.47519999999999996</v>
      </c>
      <c r="DL86" s="43">
        <v>0.48749999999999993</v>
      </c>
      <c r="DM86" s="28">
        <v>0.47849999999999998</v>
      </c>
      <c r="DN86" s="22">
        <v>0.56489999999999996</v>
      </c>
      <c r="DO86" s="47">
        <v>0.51619999999999999</v>
      </c>
    </row>
  </sheetData>
  <mergeCells count="27">
    <mergeCell ref="AF3:AJ3"/>
    <mergeCell ref="B3:F3"/>
    <mergeCell ref="H3:L3"/>
    <mergeCell ref="N3:R3"/>
    <mergeCell ref="T3:X3"/>
    <mergeCell ref="Z3:AD3"/>
    <mergeCell ref="CQ3:CT3"/>
    <mergeCell ref="AL3:AP3"/>
    <mergeCell ref="AQ3:AU3"/>
    <mergeCell ref="AV3:AY3"/>
    <mergeCell ref="BB3:BE3"/>
    <mergeCell ref="BH3:BL3"/>
    <mergeCell ref="BM3:BQ3"/>
    <mergeCell ref="BR3:BV3"/>
    <mergeCell ref="BW3:CA3"/>
    <mergeCell ref="CB3:CF3"/>
    <mergeCell ref="CG3:CK3"/>
    <mergeCell ref="CL3:CP3"/>
    <mergeCell ref="DY3:EC3"/>
    <mergeCell ref="ED3:EH3"/>
    <mergeCell ref="EI3:EM3"/>
    <mergeCell ref="CU3:CY3"/>
    <mergeCell ref="CZ3:DD3"/>
    <mergeCell ref="DE3:DI3"/>
    <mergeCell ref="DJ3:DN3"/>
    <mergeCell ref="DO3:DS3"/>
    <mergeCell ref="DT3:DX3"/>
  </mergeCells>
  <conditionalFormatting sqref="BD5:BD39">
    <cfRule type="expression" dxfId="6" priority="2">
      <formula>XEZ5=MIN(INDEX($A$2:$AD$100,0,COLUMN(XEZ5)-COLUMN($A$2)+1))</formula>
    </cfRule>
  </conditionalFormatting>
  <conditionalFormatting sqref="BJ5:BJ39 BO5:BO39">
    <cfRule type="expression" dxfId="5" priority="36">
      <formula>#REF!=MIN(INDEX($A$2:$AD$100,0,COLUMN(#REF!)-COLUMN($A$2)+1))</formula>
    </cfRule>
  </conditionalFormatting>
  <conditionalFormatting sqref="BT5:BT39">
    <cfRule type="expression" dxfId="4" priority="40">
      <formula>B5=MIN(INDEX($A$2:$AD$100,0,COLUMN(B5)-COLUMN($A$2)+1))</formula>
    </cfRule>
  </conditionalFormatting>
  <conditionalFormatting sqref="BY5:BY39">
    <cfRule type="expression" dxfId="3" priority="34">
      <formula>H5=MIN(INDEX($A$2:$AD$100,0,COLUMN(H5)-COLUMN($A$2)+1))</formula>
    </cfRule>
  </conditionalFormatting>
  <conditionalFormatting sqref="CD5:CD39">
    <cfRule type="expression" dxfId="2" priority="38">
      <formula>N5=MIN(INDEX($A$2:$AD$100,0,COLUMN(N5)-COLUMN($A$2)+1))</formula>
    </cfRule>
  </conditionalFormatting>
  <conditionalFormatting sqref="CM5:CM39">
    <cfRule type="expression" dxfId="1" priority="35">
      <formula>AF5=MIN(INDEX($A$2:$AD$100,0,COLUMN(AF5)-COLUMN($A$2)+1))</formula>
    </cfRule>
  </conditionalFormatting>
  <conditionalFormatting sqref="CR5:CR39">
    <cfRule type="expression" dxfId="0" priority="1">
      <formula>AL5=MIN(INDEX($A$2:$AD$100,0,COLUMN(AL5)-COLUMN($A$2)+1))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0F743-101B-5941-95E7-132F6D3DDF67}">
  <dimension ref="A1:EA99"/>
  <sheetViews>
    <sheetView topLeftCell="A36" zoomScale="150" workbookViewId="0">
      <selection activeCell="F19" sqref="F19"/>
    </sheetView>
  </sheetViews>
  <sheetFormatPr baseColWidth="10" defaultRowHeight="15" x14ac:dyDescent="0.2"/>
  <sheetData>
    <row r="1" spans="1:131" x14ac:dyDescent="0.2">
      <c r="B1" t="s">
        <v>134</v>
      </c>
      <c r="H1" t="s">
        <v>135</v>
      </c>
      <c r="M1" t="s">
        <v>136</v>
      </c>
      <c r="R1" t="s">
        <v>137</v>
      </c>
      <c r="W1" t="s">
        <v>138</v>
      </c>
      <c r="AB1" t="s">
        <v>139</v>
      </c>
      <c r="AG1" t="s">
        <v>140</v>
      </c>
      <c r="AL1" t="s">
        <v>141</v>
      </c>
      <c r="AQ1" t="s">
        <v>142</v>
      </c>
      <c r="AR1" t="s">
        <v>143</v>
      </c>
      <c r="AS1" t="s">
        <v>144</v>
      </c>
      <c r="AT1" t="s">
        <v>145</v>
      </c>
      <c r="AU1" t="s">
        <v>146</v>
      </c>
      <c r="AZ1" t="s">
        <v>147</v>
      </c>
      <c r="BE1" t="s">
        <v>148</v>
      </c>
      <c r="BJ1" t="s">
        <v>149</v>
      </c>
      <c r="BO1" t="s">
        <v>150</v>
      </c>
      <c r="BT1" t="s">
        <v>151</v>
      </c>
      <c r="BY1" t="s">
        <v>152</v>
      </c>
      <c r="CD1" t="s">
        <v>153</v>
      </c>
      <c r="CI1" t="s">
        <v>154</v>
      </c>
      <c r="CJ1" t="s">
        <v>155</v>
      </c>
      <c r="CK1" t="s">
        <v>156</v>
      </c>
      <c r="CL1" t="s">
        <v>157</v>
      </c>
      <c r="CM1" t="s">
        <v>158</v>
      </c>
      <c r="CR1" t="s">
        <v>159</v>
      </c>
      <c r="CW1" t="s">
        <v>160</v>
      </c>
      <c r="DB1" t="s">
        <v>161</v>
      </c>
      <c r="DG1" t="s">
        <v>162</v>
      </c>
      <c r="DL1" t="s">
        <v>163</v>
      </c>
      <c r="DQ1" t="s">
        <v>164</v>
      </c>
      <c r="DR1" t="s">
        <v>256</v>
      </c>
      <c r="DV1" t="s">
        <v>165</v>
      </c>
      <c r="EA1" t="s">
        <v>166</v>
      </c>
    </row>
    <row r="2" spans="1:131" x14ac:dyDescent="0.2">
      <c r="AT2" t="s">
        <v>263</v>
      </c>
    </row>
    <row r="4" spans="1:131" x14ac:dyDescent="0.2">
      <c r="B4" t="s">
        <v>221</v>
      </c>
      <c r="H4" t="s">
        <v>223</v>
      </c>
      <c r="M4" t="s">
        <v>224</v>
      </c>
      <c r="R4" t="s">
        <v>225</v>
      </c>
      <c r="W4" t="s">
        <v>226</v>
      </c>
      <c r="AB4" t="s">
        <v>227</v>
      </c>
      <c r="AG4" t="s">
        <v>228</v>
      </c>
      <c r="AL4" t="s">
        <v>262</v>
      </c>
      <c r="AQ4" t="s">
        <v>261</v>
      </c>
      <c r="AV4" t="s">
        <v>235</v>
      </c>
      <c r="AZ4" t="s">
        <v>281</v>
      </c>
      <c r="BE4" t="s">
        <v>249</v>
      </c>
      <c r="BJ4" t="s">
        <v>251</v>
      </c>
      <c r="BO4" t="s">
        <v>293</v>
      </c>
      <c r="BT4" t="s">
        <v>294</v>
      </c>
      <c r="BY4" t="s">
        <v>295</v>
      </c>
      <c r="CD4" t="s">
        <v>296</v>
      </c>
      <c r="CI4" t="s">
        <v>297</v>
      </c>
      <c r="CM4" t="s">
        <v>244</v>
      </c>
      <c r="CR4" t="s">
        <v>247</v>
      </c>
      <c r="CW4" t="s">
        <v>298</v>
      </c>
      <c r="DB4" t="s">
        <v>252</v>
      </c>
      <c r="DG4" t="s">
        <v>299</v>
      </c>
      <c r="DL4" t="s">
        <v>300</v>
      </c>
      <c r="DQ4" t="s">
        <v>301</v>
      </c>
      <c r="DV4" t="s">
        <v>302</v>
      </c>
      <c r="EA4" t="s">
        <v>260</v>
      </c>
    </row>
    <row r="5" spans="1:131" x14ac:dyDescent="0.2">
      <c r="A5" s="6" t="s">
        <v>234</v>
      </c>
      <c r="B5" t="s">
        <v>31</v>
      </c>
      <c r="C5" t="s">
        <v>258</v>
      </c>
      <c r="D5" t="s">
        <v>259</v>
      </c>
      <c r="E5" t="s">
        <v>219</v>
      </c>
      <c r="F5" t="s">
        <v>265</v>
      </c>
      <c r="G5" s="6" t="s">
        <v>53</v>
      </c>
      <c r="H5" t="s">
        <v>31</v>
      </c>
      <c r="I5" t="s">
        <v>258</v>
      </c>
      <c r="J5" t="s">
        <v>264</v>
      </c>
      <c r="K5" t="s">
        <v>257</v>
      </c>
      <c r="L5" t="s">
        <v>265</v>
      </c>
      <c r="M5" t="s">
        <v>31</v>
      </c>
      <c r="N5" t="s">
        <v>258</v>
      </c>
      <c r="O5" t="s">
        <v>264</v>
      </c>
      <c r="P5" t="s">
        <v>266</v>
      </c>
      <c r="Q5" t="s">
        <v>265</v>
      </c>
      <c r="R5" t="s">
        <v>31</v>
      </c>
      <c r="S5" t="s">
        <v>258</v>
      </c>
      <c r="T5" t="s">
        <v>264</v>
      </c>
      <c r="U5" t="s">
        <v>266</v>
      </c>
      <c r="V5" t="s">
        <v>265</v>
      </c>
      <c r="W5" t="s">
        <v>31</v>
      </c>
      <c r="X5" t="s">
        <v>258</v>
      </c>
      <c r="Y5" t="s">
        <v>264</v>
      </c>
      <c r="Z5" t="s">
        <v>266</v>
      </c>
      <c r="AA5" t="s">
        <v>265</v>
      </c>
      <c r="AB5" t="s">
        <v>31</v>
      </c>
      <c r="AC5" t="s">
        <v>258</v>
      </c>
      <c r="AD5" t="s">
        <v>264</v>
      </c>
      <c r="AE5" t="s">
        <v>266</v>
      </c>
      <c r="AF5" t="s">
        <v>265</v>
      </c>
      <c r="AG5" t="s">
        <v>31</v>
      </c>
      <c r="AH5" t="s">
        <v>258</v>
      </c>
      <c r="AI5" t="s">
        <v>264</v>
      </c>
      <c r="AJ5" t="s">
        <v>266</v>
      </c>
      <c r="AK5" t="s">
        <v>265</v>
      </c>
      <c r="AL5" t="s">
        <v>31</v>
      </c>
      <c r="AM5" t="s">
        <v>258</v>
      </c>
      <c r="AN5" t="s">
        <v>219</v>
      </c>
      <c r="AO5" t="s">
        <v>266</v>
      </c>
      <c r="AP5" t="s">
        <v>265</v>
      </c>
      <c r="AQ5" t="s">
        <v>31</v>
      </c>
      <c r="AR5" t="s">
        <v>258</v>
      </c>
      <c r="AS5" t="s">
        <v>264</v>
      </c>
      <c r="AT5" t="s">
        <v>266</v>
      </c>
      <c r="AU5" t="s">
        <v>265</v>
      </c>
      <c r="AV5" t="s">
        <v>31</v>
      </c>
      <c r="AW5" t="s">
        <v>303</v>
      </c>
      <c r="AX5" t="s">
        <v>257</v>
      </c>
      <c r="AY5" t="s">
        <v>265</v>
      </c>
      <c r="AZ5" t="s">
        <v>292</v>
      </c>
      <c r="BA5" t="s">
        <v>258</v>
      </c>
      <c r="BB5" t="s">
        <v>257</v>
      </c>
      <c r="BF5" t="s">
        <v>258</v>
      </c>
      <c r="BG5" t="s">
        <v>257</v>
      </c>
      <c r="BK5" t="s">
        <v>258</v>
      </c>
      <c r="BL5" t="s">
        <v>257</v>
      </c>
      <c r="BP5" t="s">
        <v>258</v>
      </c>
      <c r="BQ5" t="s">
        <v>257</v>
      </c>
      <c r="BU5" t="s">
        <v>258</v>
      </c>
      <c r="BV5" t="s">
        <v>257</v>
      </c>
      <c r="BZ5" t="s">
        <v>258</v>
      </c>
      <c r="CA5" t="s">
        <v>257</v>
      </c>
      <c r="CN5" t="s">
        <v>258</v>
      </c>
      <c r="CO5" t="s">
        <v>257</v>
      </c>
      <c r="CS5" t="s">
        <v>258</v>
      </c>
      <c r="CT5" t="s">
        <v>264</v>
      </c>
      <c r="CX5" t="s">
        <v>258</v>
      </c>
      <c r="CY5" t="s">
        <v>257</v>
      </c>
      <c r="DC5" t="s">
        <v>258</v>
      </c>
      <c r="DD5" t="s">
        <v>257</v>
      </c>
      <c r="DH5" t="s">
        <v>258</v>
      </c>
      <c r="DI5" t="s">
        <v>257</v>
      </c>
      <c r="DM5" t="s">
        <v>258</v>
      </c>
      <c r="DN5" t="s">
        <v>257</v>
      </c>
    </row>
    <row r="6" spans="1:131" x14ac:dyDescent="0.2">
      <c r="A6">
        <v>0</v>
      </c>
      <c r="B6">
        <v>1644</v>
      </c>
      <c r="C6">
        <f t="shared" ref="C6:C40" si="0">B6-$G$99</f>
        <v>41.88571428571413</v>
      </c>
      <c r="D6">
        <v>0.1104</v>
      </c>
      <c r="E6">
        <v>5.1999999999999963E-3</v>
      </c>
      <c r="F6">
        <f>C6/E6</f>
        <v>8054.9450549450303</v>
      </c>
      <c r="G6">
        <f>F6/6000</f>
        <v>1.3424908424908384</v>
      </c>
      <c r="H6">
        <v>1804</v>
      </c>
      <c r="I6">
        <v>-27</v>
      </c>
      <c r="J6">
        <v>0.1072</v>
      </c>
      <c r="L6">
        <v>-27</v>
      </c>
      <c r="M6">
        <v>1807</v>
      </c>
      <c r="N6">
        <v>-24</v>
      </c>
      <c r="O6">
        <v>0.1067</v>
      </c>
      <c r="P6">
        <v>1.3999999999999985E-3</v>
      </c>
      <c r="Q6">
        <v>-17142.857142857163</v>
      </c>
      <c r="R6">
        <v>1813</v>
      </c>
      <c r="S6">
        <v>3644</v>
      </c>
      <c r="T6">
        <v>0.1051</v>
      </c>
      <c r="U6">
        <v>1.0000000000000286E-4</v>
      </c>
      <c r="V6">
        <v>36439999.999998957</v>
      </c>
      <c r="W6">
        <v>2017</v>
      </c>
      <c r="X6">
        <v>186</v>
      </c>
      <c r="Y6">
        <v>0.10979999999999999</v>
      </c>
      <c r="Z6">
        <v>3.9999999999999758E-4</v>
      </c>
      <c r="AA6">
        <v>465000.00000000279</v>
      </c>
      <c r="AB6">
        <v>1843</v>
      </c>
      <c r="AC6">
        <v>12</v>
      </c>
      <c r="AD6">
        <v>0.10920000000000001</v>
      </c>
      <c r="AE6">
        <v>9.000000000000119E-4</v>
      </c>
      <c r="AF6">
        <v>13333.333333333157</v>
      </c>
      <c r="AG6">
        <v>2198</v>
      </c>
      <c r="AH6">
        <v>367</v>
      </c>
      <c r="AI6">
        <v>0.10390000000000001</v>
      </c>
      <c r="AJ6">
        <v>-1.1999999999999927E-3</v>
      </c>
      <c r="AK6" t="e">
        <v>#NUM!</v>
      </c>
      <c r="AL6">
        <v>1831</v>
      </c>
      <c r="AN6">
        <v>0.10390000000000001</v>
      </c>
      <c r="AO6">
        <v>-1.1999999999999927E-3</v>
      </c>
      <c r="AP6">
        <v>-1525833.3333333426</v>
      </c>
      <c r="AQ6">
        <v>2695</v>
      </c>
      <c r="AR6">
        <v>2694.8960999999999</v>
      </c>
      <c r="AS6">
        <v>0.1085</v>
      </c>
      <c r="AT6">
        <v>6.999999999999923E-4</v>
      </c>
      <c r="AU6">
        <v>3849851.5714286137</v>
      </c>
      <c r="AV6">
        <v>1795</v>
      </c>
      <c r="AW6">
        <v>120</v>
      </c>
      <c r="AX6">
        <v>0.1028</v>
      </c>
      <c r="AY6">
        <v>1167.3151750972763</v>
      </c>
      <c r="AZ6">
        <v>1723</v>
      </c>
      <c r="BA6">
        <v>48</v>
      </c>
      <c r="BB6">
        <v>0.1108</v>
      </c>
      <c r="BE6">
        <v>1779</v>
      </c>
      <c r="BF6">
        <v>104</v>
      </c>
      <c r="BG6">
        <v>0.1031</v>
      </c>
      <c r="BJ6">
        <v>1883</v>
      </c>
      <c r="BK6">
        <v>208</v>
      </c>
      <c r="BL6">
        <v>0.10390000000000001</v>
      </c>
      <c r="BO6">
        <v>2115</v>
      </c>
      <c r="BP6">
        <v>440</v>
      </c>
      <c r="BQ6">
        <v>0.105</v>
      </c>
      <c r="BT6">
        <v>2021</v>
      </c>
      <c r="BU6">
        <v>346</v>
      </c>
      <c r="BV6">
        <v>0.10730000000000001</v>
      </c>
      <c r="BY6">
        <v>2354</v>
      </c>
      <c r="BZ6">
        <v>679</v>
      </c>
      <c r="CD6">
        <v>1675</v>
      </c>
      <c r="CE6">
        <v>0.108</v>
      </c>
      <c r="CI6">
        <v>2190</v>
      </c>
      <c r="CJ6">
        <v>0.1043</v>
      </c>
      <c r="CM6">
        <v>1822</v>
      </c>
      <c r="CN6">
        <v>176</v>
      </c>
      <c r="CO6">
        <v>0.1047</v>
      </c>
      <c r="CR6">
        <v>1668</v>
      </c>
      <c r="CS6">
        <v>22</v>
      </c>
      <c r="CT6">
        <v>0.1038</v>
      </c>
      <c r="CW6">
        <v>1600</v>
      </c>
      <c r="CX6">
        <v>-46</v>
      </c>
      <c r="DB6">
        <v>1793</v>
      </c>
      <c r="DC6">
        <v>147</v>
      </c>
      <c r="DG6">
        <v>2049</v>
      </c>
      <c r="DH6">
        <v>403</v>
      </c>
      <c r="DL6">
        <v>1980</v>
      </c>
      <c r="DM6">
        <v>334</v>
      </c>
      <c r="DQ6">
        <v>2064</v>
      </c>
      <c r="DR6">
        <v>418</v>
      </c>
      <c r="DV6">
        <v>1646</v>
      </c>
      <c r="EA6">
        <v>2555</v>
      </c>
    </row>
    <row r="7" spans="1:131" x14ac:dyDescent="0.2">
      <c r="A7">
        <v>0.23793277777777777</v>
      </c>
      <c r="B7">
        <v>1591</v>
      </c>
      <c r="C7">
        <f t="shared" si="0"/>
        <v>-11.11428571428587</v>
      </c>
      <c r="D7">
        <v>0.10539999999999999</v>
      </c>
      <c r="E7">
        <v>1.9999999999999185E-4</v>
      </c>
      <c r="F7">
        <f t="shared" ref="F7:F40" si="1">C7/E7</f>
        <v>-55571.428571431614</v>
      </c>
      <c r="G7">
        <f t="shared" ref="G7:G40" si="2">F7/6000</f>
        <v>-9.261904761905269</v>
      </c>
      <c r="H7">
        <v>1785</v>
      </c>
      <c r="I7">
        <v>-10</v>
      </c>
      <c r="J7">
        <v>0.1056</v>
      </c>
      <c r="K7">
        <v>0</v>
      </c>
      <c r="L7">
        <v>-10</v>
      </c>
      <c r="M7">
        <v>1791</v>
      </c>
      <c r="N7">
        <v>-4</v>
      </c>
      <c r="O7">
        <v>0.1053</v>
      </c>
      <c r="P7">
        <v>0</v>
      </c>
      <c r="Q7" t="e">
        <v>#DIV/0!</v>
      </c>
      <c r="R7">
        <v>1834</v>
      </c>
      <c r="S7">
        <v>3629</v>
      </c>
      <c r="T7">
        <v>0.105</v>
      </c>
      <c r="U7">
        <v>0</v>
      </c>
      <c r="V7" t="e">
        <v>#DIV/0!</v>
      </c>
      <c r="W7">
        <v>1968</v>
      </c>
      <c r="X7">
        <v>173</v>
      </c>
      <c r="Y7">
        <v>0.1094</v>
      </c>
      <c r="Z7">
        <v>0</v>
      </c>
      <c r="AA7" t="e">
        <v>#DIV/0!</v>
      </c>
      <c r="AB7">
        <v>1809</v>
      </c>
      <c r="AC7">
        <v>14</v>
      </c>
      <c r="AD7">
        <v>0.10829999999999999</v>
      </c>
      <c r="AE7">
        <v>0</v>
      </c>
      <c r="AF7" t="e">
        <v>#DIV/0!</v>
      </c>
      <c r="AG7">
        <v>2154</v>
      </c>
      <c r="AH7">
        <v>359</v>
      </c>
      <c r="AI7">
        <v>0.1051</v>
      </c>
      <c r="AJ7">
        <v>0</v>
      </c>
      <c r="AK7" t="e">
        <v>#NUM!</v>
      </c>
      <c r="AL7">
        <v>1795</v>
      </c>
      <c r="AN7">
        <v>0.1051</v>
      </c>
      <c r="AO7">
        <v>0</v>
      </c>
      <c r="AP7" t="e">
        <v>#DIV/0!</v>
      </c>
      <c r="AQ7">
        <v>2704</v>
      </c>
      <c r="AR7">
        <v>2703.8948999999998</v>
      </c>
      <c r="AS7">
        <v>0.1081</v>
      </c>
      <c r="AT7">
        <v>2.9999999999999472E-4</v>
      </c>
      <c r="AU7">
        <v>9012983.0000001583</v>
      </c>
      <c r="AV7">
        <v>1824</v>
      </c>
      <c r="AW7">
        <v>227</v>
      </c>
      <c r="AX7">
        <v>0.1013</v>
      </c>
      <c r="AY7">
        <v>2240.8687068114509</v>
      </c>
      <c r="AZ7">
        <v>1710</v>
      </c>
      <c r="BA7">
        <v>113</v>
      </c>
      <c r="BB7">
        <v>0.1047</v>
      </c>
      <c r="BE7">
        <v>1785</v>
      </c>
      <c r="BF7">
        <v>188</v>
      </c>
      <c r="BG7">
        <v>0.1047</v>
      </c>
      <c r="BJ7">
        <v>1904</v>
      </c>
      <c r="BK7">
        <v>307</v>
      </c>
      <c r="BL7">
        <v>0.105</v>
      </c>
      <c r="BO7">
        <v>2090</v>
      </c>
      <c r="BP7">
        <v>493</v>
      </c>
      <c r="BQ7">
        <v>0.10539999999999999</v>
      </c>
      <c r="BT7">
        <v>2067</v>
      </c>
      <c r="BU7">
        <v>470</v>
      </c>
      <c r="BV7">
        <v>0.1069</v>
      </c>
      <c r="BY7">
        <v>2332</v>
      </c>
      <c r="BZ7">
        <v>735</v>
      </c>
      <c r="CD7">
        <v>1597</v>
      </c>
      <c r="CE7">
        <v>0.106</v>
      </c>
      <c r="CI7">
        <v>2212</v>
      </c>
      <c r="CJ7">
        <v>0.1053</v>
      </c>
      <c r="CM7">
        <v>1841</v>
      </c>
      <c r="CN7">
        <v>232</v>
      </c>
      <c r="CO7">
        <v>0.1071</v>
      </c>
      <c r="CR7">
        <v>1684</v>
      </c>
      <c r="CS7">
        <v>75</v>
      </c>
      <c r="CT7">
        <v>0.106</v>
      </c>
      <c r="CW7">
        <v>1624</v>
      </c>
      <c r="CX7">
        <v>15</v>
      </c>
      <c r="DB7">
        <v>1813</v>
      </c>
      <c r="DC7">
        <v>204</v>
      </c>
      <c r="DG7">
        <v>2021</v>
      </c>
      <c r="DH7">
        <v>412</v>
      </c>
      <c r="DL7">
        <v>1945</v>
      </c>
      <c r="DM7">
        <v>336</v>
      </c>
      <c r="DQ7">
        <v>2034</v>
      </c>
      <c r="DR7">
        <v>425</v>
      </c>
      <c r="DV7">
        <v>1609</v>
      </c>
      <c r="EA7">
        <v>2633</v>
      </c>
    </row>
    <row r="8" spans="1:131" x14ac:dyDescent="0.2">
      <c r="A8">
        <v>0.4757197222222222</v>
      </c>
      <c r="B8">
        <v>1563</v>
      </c>
      <c r="C8">
        <f t="shared" si="0"/>
        <v>-39.11428571428587</v>
      </c>
      <c r="D8">
        <v>0.1052</v>
      </c>
      <c r="E8">
        <v>0</v>
      </c>
      <c r="F8" t="e">
        <f t="shared" si="1"/>
        <v>#DIV/0!</v>
      </c>
      <c r="G8" t="e">
        <f t="shared" si="2"/>
        <v>#DIV/0!</v>
      </c>
      <c r="H8">
        <v>1749</v>
      </c>
      <c r="I8">
        <v>-7</v>
      </c>
      <c r="J8">
        <v>0.106</v>
      </c>
      <c r="K8">
        <v>3.9999999999999758E-4</v>
      </c>
      <c r="L8">
        <v>-7.0004</v>
      </c>
      <c r="M8">
        <v>1749</v>
      </c>
      <c r="N8">
        <v>-7</v>
      </c>
      <c r="O8">
        <v>0.1057</v>
      </c>
      <c r="P8">
        <v>3.9999999999999758E-4</v>
      </c>
      <c r="Q8">
        <v>-17500.000000000106</v>
      </c>
      <c r="R8">
        <v>1775</v>
      </c>
      <c r="S8">
        <v>3531</v>
      </c>
      <c r="T8">
        <v>0.1051</v>
      </c>
      <c r="U8">
        <v>1.0000000000000286E-4</v>
      </c>
      <c r="V8">
        <v>35309999.999998987</v>
      </c>
      <c r="W8">
        <v>1902</v>
      </c>
      <c r="X8">
        <v>146</v>
      </c>
      <c r="Y8">
        <v>0.11020000000000001</v>
      </c>
      <c r="Z8">
        <v>8.0000000000000904E-4</v>
      </c>
      <c r="AA8">
        <v>182499.99999999793</v>
      </c>
      <c r="AB8">
        <v>1745</v>
      </c>
      <c r="AC8">
        <v>-11</v>
      </c>
      <c r="AD8">
        <v>0.1089</v>
      </c>
      <c r="AE8">
        <v>6.0000000000000331E-4</v>
      </c>
      <c r="AF8">
        <v>-18333.333333333234</v>
      </c>
      <c r="AG8">
        <v>2124</v>
      </c>
      <c r="AH8">
        <v>368</v>
      </c>
      <c r="AI8">
        <v>0.1057</v>
      </c>
      <c r="AJ8">
        <v>6.0000000000000331E-4</v>
      </c>
      <c r="AK8">
        <v>-7.418580902748122</v>
      </c>
      <c r="AL8">
        <v>1756</v>
      </c>
      <c r="AN8">
        <v>0.1057</v>
      </c>
      <c r="AO8">
        <v>6.0000000000000331E-4</v>
      </c>
      <c r="AP8">
        <v>2926666.6666666507</v>
      </c>
      <c r="AQ8">
        <v>2572</v>
      </c>
      <c r="AR8">
        <v>2571.8942999999999</v>
      </c>
      <c r="AS8">
        <v>0.10780000000000001</v>
      </c>
      <c r="AT8">
        <v>0</v>
      </c>
      <c r="AU8" t="e">
        <v>#DIV/0!</v>
      </c>
      <c r="AV8">
        <v>1711</v>
      </c>
      <c r="AW8">
        <v>153</v>
      </c>
      <c r="AX8">
        <v>0.1008</v>
      </c>
      <c r="AY8">
        <v>1517.8571428571429</v>
      </c>
      <c r="AZ8">
        <v>1632</v>
      </c>
      <c r="BA8">
        <v>74</v>
      </c>
      <c r="BB8">
        <v>0.1048</v>
      </c>
      <c r="BC8">
        <v>0.1048</v>
      </c>
      <c r="BE8">
        <v>1703</v>
      </c>
      <c r="BF8">
        <v>145</v>
      </c>
      <c r="BG8">
        <v>0.1046</v>
      </c>
      <c r="BH8">
        <v>0.1046</v>
      </c>
      <c r="BJ8">
        <v>1820</v>
      </c>
      <c r="BK8">
        <v>262</v>
      </c>
      <c r="BL8">
        <v>0.1055</v>
      </c>
      <c r="BM8">
        <v>0.1055</v>
      </c>
      <c r="BO8">
        <v>1992</v>
      </c>
      <c r="BP8">
        <v>434</v>
      </c>
      <c r="BQ8">
        <v>0.1061</v>
      </c>
      <c r="BR8">
        <v>0.1061</v>
      </c>
      <c r="BT8">
        <v>1945</v>
      </c>
      <c r="BU8">
        <v>387</v>
      </c>
      <c r="BV8">
        <v>0.1071</v>
      </c>
      <c r="BW8">
        <v>0.1071</v>
      </c>
      <c r="BY8">
        <v>2220</v>
      </c>
      <c r="BZ8">
        <v>662</v>
      </c>
      <c r="CD8">
        <v>1558</v>
      </c>
      <c r="CE8">
        <v>0.1052</v>
      </c>
      <c r="CF8">
        <v>0.1052</v>
      </c>
      <c r="CI8">
        <v>2096</v>
      </c>
      <c r="CJ8">
        <v>0.10580000000000001</v>
      </c>
      <c r="CK8">
        <v>0.10580000000000001</v>
      </c>
      <c r="CM8">
        <v>1754</v>
      </c>
      <c r="CN8">
        <v>198</v>
      </c>
      <c r="CO8">
        <v>0.1072</v>
      </c>
      <c r="CP8">
        <v>0.1072</v>
      </c>
      <c r="CR8">
        <v>1640</v>
      </c>
      <c r="CS8">
        <v>84</v>
      </c>
      <c r="CT8">
        <v>0.106</v>
      </c>
      <c r="CU8">
        <v>0.106</v>
      </c>
      <c r="CW8">
        <v>1585</v>
      </c>
      <c r="CX8">
        <v>29</v>
      </c>
      <c r="CY8">
        <v>29</v>
      </c>
      <c r="DB8">
        <v>1754</v>
      </c>
      <c r="DC8">
        <v>198</v>
      </c>
      <c r="DG8">
        <v>1970</v>
      </c>
      <c r="DH8">
        <v>414</v>
      </c>
      <c r="DL8">
        <v>1890</v>
      </c>
      <c r="DM8">
        <v>334</v>
      </c>
      <c r="DQ8">
        <v>1998</v>
      </c>
      <c r="DR8">
        <v>442</v>
      </c>
      <c r="DV8">
        <v>1556</v>
      </c>
      <c r="EA8">
        <v>2583</v>
      </c>
    </row>
    <row r="9" spans="1:131" x14ac:dyDescent="0.2">
      <c r="A9">
        <v>0.7135488888888889</v>
      </c>
      <c r="B9">
        <v>1525</v>
      </c>
      <c r="C9">
        <f t="shared" si="0"/>
        <v>-77.11428571428587</v>
      </c>
      <c r="D9">
        <v>0.1077</v>
      </c>
      <c r="E9">
        <v>2.5000000000000022E-3</v>
      </c>
      <c r="F9">
        <f t="shared" si="1"/>
        <v>-30845.714285714319</v>
      </c>
      <c r="G9">
        <f t="shared" si="2"/>
        <v>-5.1409523809523865</v>
      </c>
      <c r="H9">
        <v>1713</v>
      </c>
      <c r="I9">
        <v>52</v>
      </c>
      <c r="J9">
        <v>0.1077</v>
      </c>
      <c r="K9">
        <v>2.1000000000000046E-3</v>
      </c>
      <c r="L9">
        <v>51.997900000000001</v>
      </c>
      <c r="M9">
        <v>1745</v>
      </c>
      <c r="N9">
        <v>84</v>
      </c>
      <c r="O9">
        <v>0.10780000000000001</v>
      </c>
      <c r="P9">
        <v>2.5000000000000022E-3</v>
      </c>
      <c r="Q9">
        <v>33599.999999999971</v>
      </c>
      <c r="R9">
        <v>1731</v>
      </c>
      <c r="S9">
        <v>3392</v>
      </c>
      <c r="T9">
        <v>0.1077</v>
      </c>
      <c r="U9">
        <v>2.7000000000000079E-3</v>
      </c>
      <c r="V9">
        <v>1256296.2962962927</v>
      </c>
      <c r="W9">
        <v>1883</v>
      </c>
      <c r="X9">
        <v>222</v>
      </c>
      <c r="Y9">
        <v>0.1115</v>
      </c>
      <c r="Z9">
        <v>2.1000000000000046E-3</v>
      </c>
      <c r="AA9">
        <v>105714.28571428548</v>
      </c>
      <c r="AB9">
        <v>1703</v>
      </c>
      <c r="AC9">
        <v>42</v>
      </c>
      <c r="AD9">
        <v>0.1125</v>
      </c>
      <c r="AE9">
        <v>4.2000000000000093E-3</v>
      </c>
      <c r="AF9">
        <v>9999.9999999999782</v>
      </c>
      <c r="AG9">
        <v>2027</v>
      </c>
      <c r="AH9">
        <v>366</v>
      </c>
      <c r="AI9">
        <v>0.1086</v>
      </c>
      <c r="AJ9">
        <v>3.5000000000000031E-3</v>
      </c>
      <c r="AK9">
        <v>-5.6549923104867679</v>
      </c>
      <c r="AL9">
        <v>1661</v>
      </c>
      <c r="AN9">
        <v>0.1086</v>
      </c>
      <c r="AO9">
        <v>3.5000000000000031E-3</v>
      </c>
      <c r="AP9">
        <v>474571.42857142817</v>
      </c>
      <c r="AQ9">
        <v>2489</v>
      </c>
      <c r="AR9">
        <v>2488.8914</v>
      </c>
      <c r="AS9">
        <v>0.10879999999999999</v>
      </c>
      <c r="AT9">
        <v>9.9999999999998701E-4</v>
      </c>
      <c r="AU9">
        <v>2488891.4000000325</v>
      </c>
      <c r="AV9">
        <v>1690</v>
      </c>
      <c r="AW9">
        <v>142</v>
      </c>
      <c r="AX9">
        <v>0.1009</v>
      </c>
      <c r="AY9">
        <v>1407.3339940535184</v>
      </c>
      <c r="AZ9">
        <v>1589</v>
      </c>
      <c r="BA9">
        <v>41</v>
      </c>
      <c r="BB9">
        <v>0.1066</v>
      </c>
      <c r="BC9">
        <v>0.1066</v>
      </c>
      <c r="BE9">
        <v>1686</v>
      </c>
      <c r="BF9">
        <v>138</v>
      </c>
      <c r="BG9">
        <v>0.10639999999999999</v>
      </c>
      <c r="BH9">
        <v>0.10639999999999999</v>
      </c>
      <c r="BJ9">
        <v>1769</v>
      </c>
      <c r="BK9">
        <v>221</v>
      </c>
      <c r="BL9">
        <v>0.10780000000000001</v>
      </c>
      <c r="BM9">
        <v>0.10780000000000001</v>
      </c>
      <c r="BO9">
        <v>1988</v>
      </c>
      <c r="BP9">
        <v>440</v>
      </c>
      <c r="BQ9">
        <v>0.1084</v>
      </c>
      <c r="BR9">
        <v>0.1084</v>
      </c>
      <c r="BT9">
        <v>1937</v>
      </c>
      <c r="BU9">
        <v>389</v>
      </c>
      <c r="BV9">
        <v>0.10979999999999999</v>
      </c>
      <c r="BW9">
        <v>0.10979999999999999</v>
      </c>
      <c r="BY9">
        <v>2196</v>
      </c>
      <c r="BZ9">
        <v>648</v>
      </c>
      <c r="CD9">
        <v>1548</v>
      </c>
      <c r="CE9">
        <v>0.10730000000000001</v>
      </c>
      <c r="CF9">
        <v>0.10730000000000001</v>
      </c>
      <c r="CI9">
        <v>2053</v>
      </c>
      <c r="CJ9">
        <v>0.1075</v>
      </c>
      <c r="CK9">
        <v>0.1075</v>
      </c>
      <c r="CM9">
        <v>1728</v>
      </c>
      <c r="CN9">
        <v>206</v>
      </c>
      <c r="CO9">
        <v>0.11070000000000001</v>
      </c>
      <c r="CP9">
        <v>0.11070000000000001</v>
      </c>
      <c r="CR9">
        <v>1563</v>
      </c>
      <c r="CS9">
        <v>41</v>
      </c>
      <c r="CT9">
        <v>0.1087</v>
      </c>
      <c r="CU9">
        <v>0.1087</v>
      </c>
      <c r="CW9">
        <v>1546</v>
      </c>
      <c r="CX9">
        <v>24</v>
      </c>
      <c r="CY9">
        <v>24</v>
      </c>
      <c r="DB9">
        <v>1696</v>
      </c>
      <c r="DC9">
        <v>174</v>
      </c>
      <c r="DG9">
        <v>1910</v>
      </c>
      <c r="DH9">
        <v>388</v>
      </c>
      <c r="DL9">
        <v>1847</v>
      </c>
      <c r="DM9">
        <v>325</v>
      </c>
      <c r="DQ9">
        <v>1940</v>
      </c>
      <c r="DR9">
        <v>418</v>
      </c>
      <c r="DV9">
        <v>1522</v>
      </c>
      <c r="EA9">
        <v>2479</v>
      </c>
    </row>
    <row r="10" spans="1:131" x14ac:dyDescent="0.2">
      <c r="A10">
        <v>0.95137944444444444</v>
      </c>
      <c r="B10">
        <v>1518</v>
      </c>
      <c r="C10">
        <f t="shared" si="0"/>
        <v>-84.11428571428587</v>
      </c>
      <c r="D10">
        <v>0.1119</v>
      </c>
      <c r="E10">
        <v>6.6999999999999976E-3</v>
      </c>
      <c r="F10">
        <f t="shared" si="1"/>
        <v>-12554.371002132224</v>
      </c>
      <c r="G10">
        <f t="shared" si="2"/>
        <v>-2.0923951670220373</v>
      </c>
      <c r="H10">
        <v>1695</v>
      </c>
      <c r="I10">
        <v>54</v>
      </c>
      <c r="J10">
        <v>0.1124</v>
      </c>
      <c r="K10">
        <v>6.8000000000000005E-3</v>
      </c>
      <c r="L10">
        <v>53.993200000000002</v>
      </c>
      <c r="M10">
        <v>1699</v>
      </c>
      <c r="N10">
        <v>58</v>
      </c>
      <c r="O10">
        <v>0.1125</v>
      </c>
      <c r="P10">
        <v>7.1999999999999981E-3</v>
      </c>
      <c r="Q10">
        <v>8055.5555555555575</v>
      </c>
      <c r="R10">
        <v>1725</v>
      </c>
      <c r="S10">
        <v>3366</v>
      </c>
      <c r="T10">
        <v>0.11260000000000001</v>
      </c>
      <c r="U10">
        <v>7.6000000000000095E-3</v>
      </c>
      <c r="V10">
        <v>442894.7368421047</v>
      </c>
      <c r="W10">
        <v>1900</v>
      </c>
      <c r="X10">
        <v>259</v>
      </c>
      <c r="Y10">
        <v>0.1158</v>
      </c>
      <c r="Z10">
        <v>6.4000000000000029E-3</v>
      </c>
      <c r="AA10">
        <v>40468.749999999978</v>
      </c>
      <c r="AB10">
        <v>1679</v>
      </c>
      <c r="AC10">
        <v>38</v>
      </c>
      <c r="AD10">
        <v>0.11899999999999999</v>
      </c>
      <c r="AE10">
        <v>1.0700000000000001E-2</v>
      </c>
      <c r="AF10">
        <v>3551.4018691588781</v>
      </c>
      <c r="AG10">
        <v>2063</v>
      </c>
      <c r="AH10">
        <v>422</v>
      </c>
      <c r="AI10">
        <v>0.1135</v>
      </c>
      <c r="AJ10">
        <v>8.4000000000000047E-3</v>
      </c>
      <c r="AK10">
        <v>-4.7795235731328685</v>
      </c>
      <c r="AL10">
        <v>1641</v>
      </c>
      <c r="AN10">
        <v>0.1135</v>
      </c>
      <c r="AO10">
        <v>8.4000000000000047E-3</v>
      </c>
      <c r="AP10">
        <v>195357.14285714275</v>
      </c>
      <c r="AQ10">
        <v>2516</v>
      </c>
      <c r="AR10">
        <v>2515.8865000000001</v>
      </c>
      <c r="AS10">
        <v>0.1113</v>
      </c>
      <c r="AT10">
        <v>3.4999999999999892E-3</v>
      </c>
      <c r="AU10">
        <v>718824.71428571653</v>
      </c>
      <c r="AV10">
        <v>1698</v>
      </c>
      <c r="AW10">
        <v>178</v>
      </c>
      <c r="AX10">
        <v>0.1014</v>
      </c>
      <c r="AY10">
        <v>1755.4240631163707</v>
      </c>
      <c r="AZ10">
        <v>1583</v>
      </c>
      <c r="BA10">
        <v>63</v>
      </c>
      <c r="BB10">
        <v>0.11070000000000001</v>
      </c>
      <c r="BC10">
        <v>0.11070000000000001</v>
      </c>
      <c r="BE10">
        <v>1688</v>
      </c>
      <c r="BF10">
        <v>168</v>
      </c>
      <c r="BG10">
        <v>0.111</v>
      </c>
      <c r="BH10">
        <v>0.111</v>
      </c>
      <c r="BJ10">
        <v>1759</v>
      </c>
      <c r="BK10">
        <v>239</v>
      </c>
      <c r="BL10">
        <v>0.1124</v>
      </c>
      <c r="BM10">
        <v>0.1124</v>
      </c>
      <c r="BO10">
        <v>2035</v>
      </c>
      <c r="BP10">
        <v>515</v>
      </c>
      <c r="BQ10">
        <v>0.11269999999999999</v>
      </c>
      <c r="BR10">
        <v>0.11269999999999999</v>
      </c>
      <c r="BT10">
        <v>1960</v>
      </c>
      <c r="BU10">
        <v>440</v>
      </c>
      <c r="BV10">
        <v>0.1154</v>
      </c>
      <c r="BW10">
        <v>0.1154</v>
      </c>
      <c r="BY10">
        <v>2235</v>
      </c>
      <c r="BZ10">
        <v>715</v>
      </c>
      <c r="CD10">
        <v>1520</v>
      </c>
      <c r="CE10">
        <v>0.1116</v>
      </c>
      <c r="CF10">
        <v>0.1116</v>
      </c>
      <c r="CI10">
        <v>2094</v>
      </c>
      <c r="CJ10">
        <v>0.1114</v>
      </c>
      <c r="CK10">
        <v>0.1114</v>
      </c>
      <c r="CM10">
        <v>1692</v>
      </c>
      <c r="CN10">
        <v>180</v>
      </c>
      <c r="CO10">
        <v>0.1168</v>
      </c>
      <c r="CP10">
        <v>0.1168</v>
      </c>
      <c r="CR10">
        <v>1544</v>
      </c>
      <c r="CS10">
        <v>32</v>
      </c>
      <c r="CT10">
        <v>0.1139</v>
      </c>
      <c r="CU10">
        <v>0.1139</v>
      </c>
      <c r="CW10">
        <v>1508</v>
      </c>
      <c r="CX10">
        <v>-4</v>
      </c>
      <c r="CY10">
        <v>-4</v>
      </c>
      <c r="DB10">
        <v>1692</v>
      </c>
      <c r="DC10">
        <v>180</v>
      </c>
      <c r="DG10">
        <v>1953</v>
      </c>
      <c r="DH10">
        <v>441</v>
      </c>
      <c r="DL10">
        <v>1861</v>
      </c>
      <c r="DM10">
        <v>349</v>
      </c>
      <c r="DQ10">
        <v>1949</v>
      </c>
      <c r="DR10">
        <v>437</v>
      </c>
      <c r="DV10">
        <v>1512</v>
      </c>
      <c r="EA10">
        <v>2502</v>
      </c>
    </row>
    <row r="11" spans="1:131" x14ac:dyDescent="0.2">
      <c r="A11">
        <v>1.1891449999999999</v>
      </c>
      <c r="B11">
        <v>1524</v>
      </c>
      <c r="C11">
        <f t="shared" si="0"/>
        <v>-78.11428571428587</v>
      </c>
      <c r="D11">
        <v>0.11609999999999999</v>
      </c>
      <c r="E11">
        <v>1.0899999999999993E-2</v>
      </c>
      <c r="F11">
        <f t="shared" si="1"/>
        <v>-7166.4482306684331</v>
      </c>
      <c r="G11">
        <f t="shared" si="2"/>
        <v>-1.1944080384447389</v>
      </c>
      <c r="H11">
        <v>1652</v>
      </c>
      <c r="I11">
        <v>34</v>
      </c>
      <c r="J11">
        <v>0.1173</v>
      </c>
      <c r="K11">
        <v>1.1700000000000002E-2</v>
      </c>
      <c r="L11">
        <v>33.988300000000002</v>
      </c>
      <c r="M11">
        <v>1666</v>
      </c>
      <c r="N11">
        <v>48</v>
      </c>
      <c r="O11">
        <v>0.11890000000000001</v>
      </c>
      <c r="P11">
        <v>1.3600000000000001E-2</v>
      </c>
      <c r="Q11">
        <v>3529.411764705882</v>
      </c>
      <c r="R11">
        <v>1712</v>
      </c>
      <c r="S11">
        <v>3330</v>
      </c>
      <c r="T11">
        <v>0.1196</v>
      </c>
      <c r="U11">
        <v>1.4600000000000002E-2</v>
      </c>
      <c r="V11">
        <v>228082.19178082189</v>
      </c>
      <c r="W11">
        <v>1944</v>
      </c>
      <c r="X11">
        <v>326</v>
      </c>
      <c r="Y11">
        <v>0.1216</v>
      </c>
      <c r="Z11">
        <v>1.2200000000000003E-2</v>
      </c>
      <c r="AA11">
        <v>26721.311475409831</v>
      </c>
      <c r="AB11">
        <v>1723</v>
      </c>
      <c r="AC11">
        <v>105</v>
      </c>
      <c r="AD11">
        <v>0.12790000000000001</v>
      </c>
      <c r="AE11">
        <v>1.960000000000002E-2</v>
      </c>
      <c r="AF11">
        <v>5357.1428571428514</v>
      </c>
      <c r="AG11">
        <v>2099</v>
      </c>
      <c r="AH11">
        <v>481</v>
      </c>
      <c r="AI11">
        <v>0.12139999999999999</v>
      </c>
      <c r="AJ11">
        <v>1.6299999999999995E-2</v>
      </c>
      <c r="AK11">
        <v>-4.1165901711694204</v>
      </c>
      <c r="AL11">
        <v>1618</v>
      </c>
      <c r="AN11">
        <v>0.12139999999999999</v>
      </c>
      <c r="AO11">
        <v>1.6299999999999995E-2</v>
      </c>
      <c r="AP11">
        <v>99263.803680981626</v>
      </c>
      <c r="AQ11">
        <v>2587</v>
      </c>
      <c r="AR11">
        <v>2586.8786</v>
      </c>
      <c r="AS11">
        <v>0.1154</v>
      </c>
      <c r="AT11">
        <v>7.5999999999999956E-3</v>
      </c>
      <c r="AU11">
        <v>340378.76315789495</v>
      </c>
      <c r="AV11">
        <v>1655</v>
      </c>
      <c r="AW11">
        <v>164</v>
      </c>
      <c r="AX11">
        <v>0.1023</v>
      </c>
      <c r="AY11">
        <v>1603.1280547409579</v>
      </c>
      <c r="AZ11">
        <v>1581</v>
      </c>
      <c r="BA11">
        <v>90</v>
      </c>
      <c r="BB11">
        <v>0.11559999999999999</v>
      </c>
      <c r="BC11">
        <v>0.11559999999999999</v>
      </c>
      <c r="BE11">
        <v>1672</v>
      </c>
      <c r="BF11">
        <v>181</v>
      </c>
      <c r="BG11">
        <v>0.11609999999999999</v>
      </c>
      <c r="BH11">
        <v>0.11609999999999999</v>
      </c>
      <c r="BJ11">
        <v>1733</v>
      </c>
      <c r="BK11">
        <v>242</v>
      </c>
      <c r="BL11">
        <v>0.1192</v>
      </c>
      <c r="BM11">
        <v>0.1192</v>
      </c>
      <c r="BO11">
        <v>2088</v>
      </c>
      <c r="BP11">
        <v>597</v>
      </c>
      <c r="BQ11">
        <v>0.1188</v>
      </c>
      <c r="BR11">
        <v>0.1188</v>
      </c>
      <c r="BT11">
        <v>1933</v>
      </c>
      <c r="BU11">
        <v>442</v>
      </c>
      <c r="BV11">
        <v>0.1231</v>
      </c>
      <c r="BW11">
        <v>0.1231</v>
      </c>
      <c r="BY11">
        <v>2275</v>
      </c>
      <c r="BZ11">
        <v>784</v>
      </c>
      <c r="CD11">
        <v>1491</v>
      </c>
      <c r="CE11">
        <v>0.12</v>
      </c>
      <c r="CF11">
        <v>0.12</v>
      </c>
      <c r="CI11">
        <v>2166</v>
      </c>
      <c r="CJ11">
        <v>0.1181</v>
      </c>
      <c r="CK11">
        <v>0.1181</v>
      </c>
      <c r="CM11">
        <v>1674</v>
      </c>
      <c r="CN11">
        <v>212</v>
      </c>
      <c r="CO11">
        <v>0.12189999999999999</v>
      </c>
      <c r="CP11">
        <v>0.12189999999999999</v>
      </c>
      <c r="CR11">
        <v>1512</v>
      </c>
      <c r="CS11">
        <v>50</v>
      </c>
      <c r="CT11">
        <v>0.1208</v>
      </c>
      <c r="CU11">
        <v>0.1208</v>
      </c>
      <c r="CW11">
        <v>1484</v>
      </c>
      <c r="CX11">
        <v>22</v>
      </c>
      <c r="CY11">
        <v>22</v>
      </c>
      <c r="DB11">
        <v>1645</v>
      </c>
      <c r="DC11">
        <v>183</v>
      </c>
      <c r="DG11">
        <v>2005</v>
      </c>
      <c r="DH11">
        <v>543</v>
      </c>
      <c r="DL11">
        <v>1864</v>
      </c>
      <c r="DM11">
        <v>402</v>
      </c>
      <c r="DQ11">
        <v>2041</v>
      </c>
      <c r="DR11">
        <v>579</v>
      </c>
      <c r="DV11">
        <v>1462</v>
      </c>
      <c r="EA11">
        <v>2651</v>
      </c>
    </row>
    <row r="12" spans="1:131" x14ac:dyDescent="0.2">
      <c r="A12">
        <v>1.4269777777777777</v>
      </c>
      <c r="B12">
        <v>1486</v>
      </c>
      <c r="C12">
        <f t="shared" si="0"/>
        <v>-116.11428571428587</v>
      </c>
      <c r="D12">
        <v>0.1187</v>
      </c>
      <c r="E12">
        <v>1.3499999999999998E-2</v>
      </c>
      <c r="F12">
        <f t="shared" si="1"/>
        <v>-8601.0582010582129</v>
      </c>
      <c r="G12">
        <f t="shared" si="2"/>
        <v>-1.4335097001763688</v>
      </c>
      <c r="H12">
        <v>1612</v>
      </c>
      <c r="I12">
        <v>27</v>
      </c>
      <c r="J12">
        <v>0.1187</v>
      </c>
      <c r="K12">
        <v>1.3100000000000001E-2</v>
      </c>
      <c r="L12">
        <v>26.986899999999999</v>
      </c>
      <c r="M12">
        <v>1641</v>
      </c>
      <c r="N12">
        <v>56</v>
      </c>
      <c r="O12">
        <v>0.1205</v>
      </c>
      <c r="P12">
        <v>1.5199999999999991E-2</v>
      </c>
      <c r="Q12">
        <v>3684.2105263157914</v>
      </c>
      <c r="R12">
        <v>1668</v>
      </c>
      <c r="S12">
        <v>3253</v>
      </c>
      <c r="T12">
        <v>0.1225</v>
      </c>
      <c r="U12">
        <v>1.7500000000000002E-2</v>
      </c>
      <c r="V12">
        <v>185885.71428571426</v>
      </c>
      <c r="W12">
        <v>1886</v>
      </c>
      <c r="X12">
        <v>301</v>
      </c>
      <c r="Y12">
        <v>0.1237</v>
      </c>
      <c r="Z12">
        <v>1.4300000000000007E-2</v>
      </c>
      <c r="AA12">
        <v>21048.951048951039</v>
      </c>
      <c r="AB12">
        <v>1671</v>
      </c>
      <c r="AC12">
        <v>86</v>
      </c>
      <c r="AD12">
        <v>0.13339999999999999</v>
      </c>
      <c r="AE12">
        <v>2.5099999999999997E-2</v>
      </c>
      <c r="AF12">
        <v>3426.2948207171316</v>
      </c>
      <c r="AG12">
        <v>2070</v>
      </c>
      <c r="AH12">
        <v>485</v>
      </c>
      <c r="AI12">
        <v>0.12989999999999999</v>
      </c>
      <c r="AJ12">
        <v>2.4799999999999989E-2</v>
      </c>
      <c r="AK12">
        <v>-3.6969116258112011</v>
      </c>
      <c r="AL12">
        <v>1585</v>
      </c>
      <c r="AN12">
        <v>0.12989999999999999</v>
      </c>
      <c r="AO12">
        <v>2.4799999999999989E-2</v>
      </c>
      <c r="AP12">
        <v>63911.290322580673</v>
      </c>
      <c r="AQ12">
        <v>2560</v>
      </c>
      <c r="AR12">
        <v>2559.8701000000001</v>
      </c>
      <c r="AS12">
        <v>0.1212</v>
      </c>
      <c r="AT12">
        <v>1.3399999999999995E-2</v>
      </c>
      <c r="AU12">
        <v>191035.08208955231</v>
      </c>
      <c r="AV12">
        <v>1633</v>
      </c>
      <c r="AW12">
        <v>143</v>
      </c>
      <c r="AX12">
        <v>0.1031</v>
      </c>
      <c r="AY12">
        <v>1387.0029097963143</v>
      </c>
      <c r="AZ12">
        <v>1529</v>
      </c>
      <c r="BA12">
        <v>39</v>
      </c>
      <c r="BB12">
        <v>0.1198</v>
      </c>
      <c r="BC12">
        <v>0.1198</v>
      </c>
      <c r="BE12">
        <v>1634</v>
      </c>
      <c r="BF12">
        <v>144</v>
      </c>
      <c r="BG12">
        <v>0.1202</v>
      </c>
      <c r="BH12">
        <v>0.1202</v>
      </c>
      <c r="BJ12">
        <v>1686</v>
      </c>
      <c r="BK12">
        <v>196</v>
      </c>
      <c r="BL12">
        <v>0.1239</v>
      </c>
      <c r="BM12">
        <v>0.1239</v>
      </c>
      <c r="BO12">
        <v>2011</v>
      </c>
      <c r="BP12">
        <v>521</v>
      </c>
      <c r="BQ12">
        <v>0.1235</v>
      </c>
      <c r="BR12">
        <v>0.1235</v>
      </c>
      <c r="BT12">
        <v>1930</v>
      </c>
      <c r="BU12">
        <v>440</v>
      </c>
      <c r="BV12">
        <v>0.13</v>
      </c>
      <c r="BW12">
        <v>0.13</v>
      </c>
      <c r="BY12">
        <v>2302</v>
      </c>
      <c r="BZ12">
        <v>812</v>
      </c>
      <c r="CD12">
        <v>1490</v>
      </c>
      <c r="CE12">
        <v>0.127</v>
      </c>
      <c r="CF12">
        <v>0.127</v>
      </c>
      <c r="CI12">
        <v>2182</v>
      </c>
      <c r="CJ12">
        <v>0.1255</v>
      </c>
      <c r="CK12">
        <v>0.1255</v>
      </c>
      <c r="CM12">
        <v>1627</v>
      </c>
      <c r="CN12">
        <v>186</v>
      </c>
      <c r="CO12">
        <v>0.12859999999999999</v>
      </c>
      <c r="CP12">
        <v>0.12859999999999999</v>
      </c>
      <c r="CR12">
        <v>1500</v>
      </c>
      <c r="CS12">
        <v>59</v>
      </c>
      <c r="CT12">
        <v>0.1258</v>
      </c>
      <c r="CU12">
        <v>0.1258</v>
      </c>
      <c r="CW12">
        <v>1433</v>
      </c>
      <c r="CX12">
        <v>-8</v>
      </c>
      <c r="CY12">
        <v>-8</v>
      </c>
      <c r="DB12">
        <v>1640</v>
      </c>
      <c r="DC12">
        <v>199</v>
      </c>
      <c r="DG12">
        <v>2018</v>
      </c>
      <c r="DH12">
        <v>577</v>
      </c>
      <c r="DL12">
        <v>1855</v>
      </c>
      <c r="DM12">
        <v>414</v>
      </c>
      <c r="DQ12">
        <v>2100</v>
      </c>
      <c r="DR12">
        <v>659</v>
      </c>
      <c r="DV12">
        <v>1441</v>
      </c>
      <c r="EA12">
        <v>2642</v>
      </c>
    </row>
    <row r="13" spans="1:131" x14ac:dyDescent="0.2">
      <c r="A13">
        <v>1.6648077777777779</v>
      </c>
      <c r="B13">
        <v>1525</v>
      </c>
      <c r="C13">
        <f t="shared" si="0"/>
        <v>-77.11428571428587</v>
      </c>
      <c r="D13">
        <v>0.12570000000000001</v>
      </c>
      <c r="E13">
        <v>2.0500000000000004E-2</v>
      </c>
      <c r="F13">
        <f t="shared" si="1"/>
        <v>-3761.6724738676025</v>
      </c>
      <c r="G13">
        <f t="shared" si="2"/>
        <v>-0.6269454123112671</v>
      </c>
      <c r="H13">
        <v>1635</v>
      </c>
      <c r="I13">
        <v>25</v>
      </c>
      <c r="J13">
        <v>0.1205</v>
      </c>
      <c r="K13">
        <v>1.4899999999999997E-2</v>
      </c>
      <c r="L13">
        <v>24.985099999999999</v>
      </c>
      <c r="M13">
        <v>1669</v>
      </c>
      <c r="N13">
        <v>59</v>
      </c>
      <c r="O13">
        <v>0.1232</v>
      </c>
      <c r="P13">
        <v>1.7899999999999999E-2</v>
      </c>
      <c r="Q13">
        <v>3296.0893854748606</v>
      </c>
      <c r="R13">
        <v>1667</v>
      </c>
      <c r="S13">
        <v>3277</v>
      </c>
      <c r="T13">
        <v>0.1246</v>
      </c>
      <c r="U13">
        <v>1.9600000000000006E-2</v>
      </c>
      <c r="V13">
        <v>167193.87755102036</v>
      </c>
      <c r="W13">
        <v>1967</v>
      </c>
      <c r="X13">
        <v>357</v>
      </c>
      <c r="Y13">
        <v>0.1263</v>
      </c>
      <c r="Z13">
        <v>1.6899999999999998E-2</v>
      </c>
      <c r="AA13">
        <v>21124.260355029586</v>
      </c>
      <c r="AB13">
        <v>1718</v>
      </c>
      <c r="AC13">
        <v>108</v>
      </c>
      <c r="AD13">
        <v>0.13719999999999999</v>
      </c>
      <c r="AE13">
        <v>2.8899999999999995E-2</v>
      </c>
      <c r="AF13">
        <v>3737.0242214532877</v>
      </c>
      <c r="AG13">
        <v>2151</v>
      </c>
      <c r="AH13">
        <v>541</v>
      </c>
      <c r="AI13">
        <v>0.13400000000000001</v>
      </c>
      <c r="AJ13">
        <v>2.8900000000000009E-2</v>
      </c>
      <c r="AK13">
        <v>-3.5439136838637504</v>
      </c>
      <c r="AL13">
        <v>1610</v>
      </c>
      <c r="AN13">
        <v>0.13400000000000001</v>
      </c>
      <c r="AO13">
        <v>2.8900000000000009E-2</v>
      </c>
      <c r="AP13">
        <v>55709.342560553618</v>
      </c>
      <c r="AQ13">
        <v>2771</v>
      </c>
      <c r="AR13">
        <v>2770.866</v>
      </c>
      <c r="AS13">
        <v>0.1237</v>
      </c>
      <c r="AT13">
        <v>1.5899999999999997E-2</v>
      </c>
      <c r="AU13">
        <v>174268.30188679247</v>
      </c>
      <c r="AV13">
        <v>1617</v>
      </c>
      <c r="AW13">
        <v>173</v>
      </c>
      <c r="AX13">
        <v>0.1036</v>
      </c>
      <c r="AY13">
        <v>1669.88416988417</v>
      </c>
      <c r="AZ13">
        <v>1537</v>
      </c>
      <c r="BA13">
        <v>93</v>
      </c>
      <c r="BB13">
        <v>0.1229</v>
      </c>
      <c r="BC13">
        <v>0.1229</v>
      </c>
      <c r="BE13">
        <v>1605</v>
      </c>
      <c r="BF13">
        <v>161</v>
      </c>
      <c r="BG13">
        <v>0.12379999999999999</v>
      </c>
      <c r="BH13">
        <v>0.12379999999999999</v>
      </c>
      <c r="BJ13">
        <v>1698</v>
      </c>
      <c r="BK13">
        <v>254</v>
      </c>
      <c r="BL13">
        <v>0.1285</v>
      </c>
      <c r="BM13">
        <v>0.1285</v>
      </c>
      <c r="BO13">
        <v>2093</v>
      </c>
      <c r="BP13">
        <v>649</v>
      </c>
      <c r="BQ13">
        <v>0.1268</v>
      </c>
      <c r="BR13">
        <v>0.1268</v>
      </c>
      <c r="BT13">
        <v>1960</v>
      </c>
      <c r="BU13">
        <v>516</v>
      </c>
      <c r="BV13">
        <v>0.13420000000000001</v>
      </c>
      <c r="BW13">
        <v>0.13420000000000001</v>
      </c>
      <c r="BY13">
        <v>2429</v>
      </c>
      <c r="BZ13">
        <v>985</v>
      </c>
      <c r="CD13">
        <v>1444</v>
      </c>
      <c r="CE13">
        <v>0.13320000000000001</v>
      </c>
      <c r="CF13">
        <v>0.13320000000000001</v>
      </c>
      <c r="CI13">
        <v>2409</v>
      </c>
      <c r="CJ13">
        <v>0.13150000000000001</v>
      </c>
      <c r="CK13">
        <v>0.13150000000000001</v>
      </c>
      <c r="CM13">
        <v>1699</v>
      </c>
      <c r="CN13">
        <v>258</v>
      </c>
      <c r="CO13">
        <v>0.13489999999999999</v>
      </c>
      <c r="CP13">
        <v>0.13489999999999999</v>
      </c>
      <c r="CR13">
        <v>1511</v>
      </c>
      <c r="CS13">
        <v>70</v>
      </c>
      <c r="CT13">
        <v>0.13009999999999999</v>
      </c>
      <c r="CU13">
        <v>0.13009999999999999</v>
      </c>
      <c r="CW13">
        <v>1473</v>
      </c>
      <c r="CX13">
        <v>32</v>
      </c>
      <c r="CY13">
        <v>32</v>
      </c>
      <c r="DB13">
        <v>1643</v>
      </c>
      <c r="DC13">
        <v>202</v>
      </c>
      <c r="DG13">
        <v>2072</v>
      </c>
      <c r="DH13">
        <v>631</v>
      </c>
      <c r="DL13">
        <v>1972</v>
      </c>
      <c r="DM13">
        <v>531</v>
      </c>
      <c r="DQ13">
        <v>2215</v>
      </c>
      <c r="DR13">
        <v>774</v>
      </c>
      <c r="DV13">
        <v>1441</v>
      </c>
      <c r="EA13">
        <v>2920</v>
      </c>
    </row>
    <row r="14" spans="1:131" x14ac:dyDescent="0.2">
      <c r="A14" s="11">
        <v>1.9025777777777777</v>
      </c>
      <c r="B14">
        <v>1528</v>
      </c>
      <c r="C14">
        <f t="shared" si="0"/>
        <v>-74.11428571428587</v>
      </c>
      <c r="D14">
        <v>0.1328</v>
      </c>
      <c r="E14">
        <v>2.76E-2</v>
      </c>
      <c r="F14">
        <f t="shared" si="1"/>
        <v>-2685.3002070393431</v>
      </c>
      <c r="G14">
        <f t="shared" si="2"/>
        <v>-0.44755003450655717</v>
      </c>
      <c r="H14">
        <v>1633</v>
      </c>
      <c r="I14">
        <v>29</v>
      </c>
      <c r="J14">
        <v>0.1298</v>
      </c>
      <c r="K14">
        <v>2.4199999999999999E-2</v>
      </c>
      <c r="L14">
        <v>28.9758</v>
      </c>
      <c r="M14">
        <v>1664</v>
      </c>
      <c r="N14">
        <v>60</v>
      </c>
      <c r="O14">
        <v>0.1321</v>
      </c>
      <c r="P14">
        <v>2.679999999999999E-2</v>
      </c>
      <c r="Q14">
        <v>2238.8059701492543</v>
      </c>
      <c r="R14">
        <v>1703</v>
      </c>
      <c r="S14">
        <v>3307</v>
      </c>
      <c r="T14">
        <v>0.13669999999999999</v>
      </c>
      <c r="U14">
        <v>3.1699999999999992E-2</v>
      </c>
      <c r="V14">
        <v>104321.76656151422</v>
      </c>
      <c r="W14">
        <v>2026</v>
      </c>
      <c r="X14">
        <v>422</v>
      </c>
      <c r="Y14">
        <v>0.13689999999999999</v>
      </c>
      <c r="Z14">
        <v>2.7499999999999997E-2</v>
      </c>
      <c r="AA14">
        <v>15345.454545454548</v>
      </c>
      <c r="AB14">
        <v>1752</v>
      </c>
      <c r="AC14">
        <v>148</v>
      </c>
      <c r="AD14">
        <v>0.15240000000000001</v>
      </c>
      <c r="AE14">
        <v>4.4100000000000014E-2</v>
      </c>
      <c r="AF14">
        <v>3356.0090702947837</v>
      </c>
      <c r="AG14">
        <v>2213</v>
      </c>
      <c r="AH14">
        <v>609</v>
      </c>
      <c r="AI14">
        <v>0.1517</v>
      </c>
      <c r="AJ14">
        <v>4.6600000000000003E-2</v>
      </c>
      <c r="AK14">
        <v>-3.0661547378505367</v>
      </c>
      <c r="AL14">
        <v>1604</v>
      </c>
      <c r="AN14">
        <v>0.1517</v>
      </c>
      <c r="AO14">
        <v>4.6600000000000003E-2</v>
      </c>
      <c r="AP14">
        <v>34420.6008583691</v>
      </c>
      <c r="AQ14">
        <v>2817</v>
      </c>
      <c r="AR14">
        <v>2816.8483000000001</v>
      </c>
      <c r="AS14">
        <v>0.1406</v>
      </c>
      <c r="AT14">
        <v>3.2799999999999996E-2</v>
      </c>
      <c r="AU14">
        <v>85879.521341463435</v>
      </c>
      <c r="AV14">
        <v>1578</v>
      </c>
      <c r="AW14">
        <v>116</v>
      </c>
      <c r="AX14">
        <v>0.1048</v>
      </c>
      <c r="AY14">
        <v>1106.8702290076335</v>
      </c>
      <c r="AZ14">
        <v>1544</v>
      </c>
      <c r="BA14">
        <v>82</v>
      </c>
      <c r="BB14">
        <v>0.13220000000000001</v>
      </c>
      <c r="BC14">
        <v>0.13220000000000001</v>
      </c>
      <c r="BE14">
        <v>1628</v>
      </c>
      <c r="BF14">
        <v>166</v>
      </c>
      <c r="BG14">
        <v>0.1343</v>
      </c>
      <c r="BH14">
        <v>0.1343</v>
      </c>
      <c r="BJ14">
        <v>1752</v>
      </c>
      <c r="BK14">
        <v>290</v>
      </c>
      <c r="BL14">
        <v>0.1404</v>
      </c>
      <c r="BM14">
        <v>0.1404</v>
      </c>
      <c r="BO14">
        <v>2178</v>
      </c>
      <c r="BP14">
        <v>716</v>
      </c>
      <c r="BQ14">
        <v>0.1404</v>
      </c>
      <c r="BR14">
        <v>0.1404</v>
      </c>
      <c r="BT14">
        <v>2023</v>
      </c>
      <c r="BU14">
        <v>561</v>
      </c>
      <c r="BV14">
        <v>0.15140000000000001</v>
      </c>
      <c r="BW14">
        <v>0.15140000000000001</v>
      </c>
      <c r="BY14">
        <v>2588</v>
      </c>
      <c r="BZ14">
        <v>1126</v>
      </c>
      <c r="CD14">
        <v>1462</v>
      </c>
      <c r="CE14">
        <v>0.15409999999999999</v>
      </c>
      <c r="CF14">
        <v>0.15409999999999999</v>
      </c>
      <c r="CI14">
        <v>2521</v>
      </c>
      <c r="CJ14">
        <v>0.15110000000000001</v>
      </c>
      <c r="CK14">
        <v>0.15110000000000001</v>
      </c>
      <c r="CM14">
        <v>1668</v>
      </c>
      <c r="CN14">
        <v>226</v>
      </c>
      <c r="CO14">
        <v>0.1517</v>
      </c>
      <c r="CP14">
        <v>0.1517</v>
      </c>
      <c r="CR14">
        <v>1507</v>
      </c>
      <c r="CS14">
        <v>65</v>
      </c>
      <c r="CT14">
        <v>0.14319999999999999</v>
      </c>
      <c r="CU14">
        <v>0.14319999999999999</v>
      </c>
      <c r="CW14">
        <v>1512</v>
      </c>
      <c r="CX14">
        <v>70</v>
      </c>
      <c r="CY14">
        <v>70</v>
      </c>
      <c r="DB14">
        <v>1655</v>
      </c>
      <c r="DC14">
        <v>213</v>
      </c>
      <c r="DG14">
        <v>2163</v>
      </c>
      <c r="DH14">
        <v>721</v>
      </c>
      <c r="DL14">
        <v>2009</v>
      </c>
      <c r="DM14">
        <v>567</v>
      </c>
      <c r="DQ14">
        <v>2327</v>
      </c>
      <c r="DR14">
        <v>885</v>
      </c>
      <c r="DV14">
        <v>1442</v>
      </c>
      <c r="EA14">
        <v>3059</v>
      </c>
    </row>
    <row r="15" spans="1:131" x14ac:dyDescent="0.2">
      <c r="A15" s="11">
        <v>2.1403772222222224</v>
      </c>
      <c r="B15">
        <v>1515</v>
      </c>
      <c r="C15">
        <f t="shared" si="0"/>
        <v>-87.11428571428587</v>
      </c>
      <c r="D15">
        <v>0.14460000000000001</v>
      </c>
      <c r="E15">
        <v>3.9400000000000004E-2</v>
      </c>
      <c r="F15">
        <f t="shared" si="1"/>
        <v>-2211.0224800580168</v>
      </c>
      <c r="G15">
        <f t="shared" si="2"/>
        <v>-0.36850374667633612</v>
      </c>
      <c r="H15">
        <v>1600</v>
      </c>
      <c r="I15">
        <v>-16</v>
      </c>
      <c r="J15">
        <v>0.13900000000000001</v>
      </c>
      <c r="K15">
        <v>3.3400000000000013E-2</v>
      </c>
      <c r="L15">
        <v>-16.0334</v>
      </c>
      <c r="M15">
        <v>1668</v>
      </c>
      <c r="N15">
        <v>52</v>
      </c>
      <c r="O15">
        <v>0.14349999999999999</v>
      </c>
      <c r="P15">
        <v>3.8199999999999984E-2</v>
      </c>
      <c r="Q15">
        <v>1361.2565445026185</v>
      </c>
      <c r="R15">
        <v>1661</v>
      </c>
      <c r="S15">
        <v>3277</v>
      </c>
      <c r="T15">
        <v>0.1477</v>
      </c>
      <c r="U15">
        <v>4.2700000000000002E-2</v>
      </c>
      <c r="V15">
        <v>76744.730679156899</v>
      </c>
      <c r="W15">
        <v>2055</v>
      </c>
      <c r="X15">
        <v>439</v>
      </c>
      <c r="Y15">
        <v>0.1487</v>
      </c>
      <c r="Z15">
        <v>3.9300000000000002E-2</v>
      </c>
      <c r="AA15">
        <v>11170.483460559795</v>
      </c>
      <c r="AB15">
        <v>1790</v>
      </c>
      <c r="AC15">
        <v>174</v>
      </c>
      <c r="AD15">
        <v>0.16839999999999999</v>
      </c>
      <c r="AE15">
        <v>6.0100000000000001E-2</v>
      </c>
      <c r="AF15">
        <v>2895.1747088186357</v>
      </c>
      <c r="AG15">
        <v>2228</v>
      </c>
      <c r="AH15">
        <v>612</v>
      </c>
      <c r="AI15">
        <v>0.1731</v>
      </c>
      <c r="AJ15">
        <v>6.8000000000000005E-2</v>
      </c>
      <c r="AK15">
        <v>-2.6882475738060303</v>
      </c>
      <c r="AL15">
        <v>1616</v>
      </c>
      <c r="AN15">
        <v>0.1731</v>
      </c>
      <c r="AO15">
        <v>6.8000000000000005E-2</v>
      </c>
      <c r="AP15">
        <v>23764.705882352941</v>
      </c>
      <c r="AQ15">
        <v>2828</v>
      </c>
      <c r="AR15">
        <v>2827.8269</v>
      </c>
      <c r="AS15">
        <v>0.16309999999999999</v>
      </c>
      <c r="AT15">
        <v>5.5299999999999988E-2</v>
      </c>
      <c r="AU15">
        <v>51136.110307414114</v>
      </c>
      <c r="AV15">
        <v>1568</v>
      </c>
      <c r="AW15">
        <v>139</v>
      </c>
      <c r="AX15">
        <v>0.107</v>
      </c>
      <c r="AY15">
        <v>1299.0654205607477</v>
      </c>
      <c r="AZ15">
        <v>1501</v>
      </c>
      <c r="BA15">
        <v>72</v>
      </c>
      <c r="BB15">
        <v>0.1462</v>
      </c>
      <c r="BC15">
        <v>0.1462</v>
      </c>
      <c r="BE15">
        <v>1630</v>
      </c>
      <c r="BF15">
        <v>201</v>
      </c>
      <c r="BG15">
        <v>0.14810000000000001</v>
      </c>
      <c r="BH15">
        <v>0.14810000000000001</v>
      </c>
      <c r="BJ15">
        <v>1723</v>
      </c>
      <c r="BK15">
        <v>294</v>
      </c>
      <c r="BL15">
        <v>0.15659999999999999</v>
      </c>
      <c r="BM15">
        <v>0.15659999999999999</v>
      </c>
      <c r="BO15">
        <v>2208</v>
      </c>
      <c r="BP15">
        <v>779</v>
      </c>
      <c r="BQ15">
        <v>0.15459999999999999</v>
      </c>
      <c r="BR15">
        <v>0.15459999999999999</v>
      </c>
      <c r="BT15">
        <v>2009</v>
      </c>
      <c r="BU15">
        <v>580</v>
      </c>
      <c r="BV15">
        <v>0.16889999999999999</v>
      </c>
      <c r="BW15">
        <v>0.16889999999999999</v>
      </c>
      <c r="BY15">
        <v>2609</v>
      </c>
      <c r="BZ15">
        <v>1180</v>
      </c>
      <c r="CD15">
        <v>1429</v>
      </c>
      <c r="CE15">
        <v>0.18079999999999999</v>
      </c>
      <c r="CF15">
        <v>0.18079999999999999</v>
      </c>
      <c r="CI15">
        <v>2604</v>
      </c>
      <c r="CJ15">
        <v>0.1769</v>
      </c>
      <c r="CK15">
        <v>0.1769</v>
      </c>
      <c r="CM15">
        <v>1686</v>
      </c>
      <c r="CN15">
        <v>243</v>
      </c>
      <c r="CO15">
        <v>0.16930000000000001</v>
      </c>
      <c r="CP15">
        <v>0.16930000000000001</v>
      </c>
      <c r="CR15">
        <v>1488</v>
      </c>
      <c r="CS15">
        <v>45</v>
      </c>
      <c r="CT15">
        <v>0.16439999999999999</v>
      </c>
      <c r="CU15">
        <v>0.16439999999999999</v>
      </c>
      <c r="CW15">
        <v>1508</v>
      </c>
      <c r="CX15">
        <v>65</v>
      </c>
      <c r="CY15">
        <v>65</v>
      </c>
      <c r="DB15">
        <v>1651</v>
      </c>
      <c r="DC15">
        <v>208</v>
      </c>
      <c r="DG15">
        <v>2196</v>
      </c>
      <c r="DH15">
        <v>753</v>
      </c>
      <c r="DL15">
        <v>2027</v>
      </c>
      <c r="DM15">
        <v>584</v>
      </c>
      <c r="DQ15">
        <v>2466</v>
      </c>
      <c r="DR15">
        <v>1023</v>
      </c>
      <c r="DV15">
        <v>1443</v>
      </c>
      <c r="EA15">
        <v>3264</v>
      </c>
    </row>
    <row r="16" spans="1:131" x14ac:dyDescent="0.2">
      <c r="A16" s="10">
        <v>2.3782172222222222</v>
      </c>
      <c r="B16">
        <v>1568</v>
      </c>
      <c r="C16">
        <f t="shared" si="0"/>
        <v>-34.11428571428587</v>
      </c>
      <c r="D16">
        <v>0.15570000000000001</v>
      </c>
      <c r="E16" s="90">
        <v>5.0500000000000003E-2</v>
      </c>
      <c r="F16" s="90">
        <f t="shared" si="1"/>
        <v>-675.53041018387853</v>
      </c>
      <c r="G16">
        <f t="shared" si="2"/>
        <v>-0.11258840169731309</v>
      </c>
      <c r="H16">
        <v>1620</v>
      </c>
      <c r="I16">
        <v>35</v>
      </c>
      <c r="J16">
        <v>0.14899999999999999</v>
      </c>
      <c r="K16">
        <v>4.3399999999999994E-2</v>
      </c>
      <c r="L16">
        <v>34.956600000000002</v>
      </c>
      <c r="M16">
        <v>1676</v>
      </c>
      <c r="N16">
        <v>91</v>
      </c>
      <c r="O16">
        <v>0.15229999999999999</v>
      </c>
      <c r="P16">
        <v>4.6999999999999986E-2</v>
      </c>
      <c r="Q16">
        <v>1936.170212765958</v>
      </c>
      <c r="R16">
        <v>1732</v>
      </c>
      <c r="S16">
        <v>3317</v>
      </c>
      <c r="T16">
        <v>0.1552</v>
      </c>
      <c r="U16">
        <v>5.0200000000000009E-2</v>
      </c>
      <c r="V16">
        <v>66075.697211155362</v>
      </c>
      <c r="W16">
        <v>2144</v>
      </c>
      <c r="X16">
        <v>559</v>
      </c>
      <c r="Y16">
        <v>0.1547</v>
      </c>
      <c r="Z16">
        <v>4.5300000000000007E-2</v>
      </c>
      <c r="AA16">
        <v>12339.955849889622</v>
      </c>
      <c r="AB16">
        <v>1827</v>
      </c>
      <c r="AC16">
        <v>242</v>
      </c>
      <c r="AD16">
        <v>0.18110000000000001</v>
      </c>
      <c r="AE16">
        <v>7.2800000000000017E-2</v>
      </c>
      <c r="AF16">
        <v>3324.1758241758234</v>
      </c>
      <c r="AG16">
        <v>2334</v>
      </c>
      <c r="AH16">
        <v>749</v>
      </c>
      <c r="AI16">
        <v>0.1835</v>
      </c>
      <c r="AJ16">
        <v>7.8399999999999997E-2</v>
      </c>
      <c r="AK16">
        <v>-2.5459313516257751</v>
      </c>
      <c r="AL16">
        <v>1585</v>
      </c>
      <c r="AN16">
        <v>0.1835</v>
      </c>
      <c r="AO16">
        <v>7.8399999999999997E-2</v>
      </c>
      <c r="AP16">
        <v>20216.836734693879</v>
      </c>
      <c r="AQ16">
        <v>3037</v>
      </c>
      <c r="AR16">
        <v>3036.8164999999999</v>
      </c>
      <c r="AS16">
        <v>0.1666</v>
      </c>
      <c r="AT16">
        <v>5.8799999999999991E-2</v>
      </c>
      <c r="AU16">
        <v>51646.539115646265</v>
      </c>
      <c r="AV16">
        <v>1598</v>
      </c>
      <c r="AW16">
        <v>128</v>
      </c>
      <c r="AX16">
        <v>0.10920000000000001</v>
      </c>
      <c r="AY16">
        <v>1172.1611721611721</v>
      </c>
      <c r="AZ16">
        <v>1534</v>
      </c>
      <c r="BA16">
        <v>64</v>
      </c>
      <c r="BB16">
        <v>0.1585</v>
      </c>
      <c r="BC16">
        <v>0.1585</v>
      </c>
      <c r="BE16">
        <v>1686</v>
      </c>
      <c r="BF16">
        <v>216</v>
      </c>
      <c r="BG16">
        <v>0.15989999999999999</v>
      </c>
      <c r="BH16">
        <v>0.15989999999999999</v>
      </c>
      <c r="BJ16">
        <v>1769</v>
      </c>
      <c r="BK16">
        <v>299</v>
      </c>
      <c r="BL16">
        <v>0.1706</v>
      </c>
      <c r="BM16">
        <v>0.1706</v>
      </c>
      <c r="BO16">
        <v>2317</v>
      </c>
      <c r="BP16">
        <v>847</v>
      </c>
      <c r="BQ16">
        <v>0.16650000000000001</v>
      </c>
      <c r="BR16">
        <v>0.16650000000000001</v>
      </c>
      <c r="BT16">
        <v>2091</v>
      </c>
      <c r="BU16">
        <v>621</v>
      </c>
      <c r="BV16">
        <v>0.18440000000000001</v>
      </c>
      <c r="BW16">
        <v>0.18440000000000001</v>
      </c>
      <c r="BY16">
        <v>2749</v>
      </c>
      <c r="BZ16">
        <v>1279</v>
      </c>
      <c r="CD16">
        <v>1470</v>
      </c>
      <c r="CE16">
        <v>0.2044</v>
      </c>
      <c r="CF16">
        <v>0.2044</v>
      </c>
      <c r="CI16">
        <v>2913</v>
      </c>
      <c r="CJ16">
        <v>0.20169999999999999</v>
      </c>
      <c r="CK16">
        <v>0.20169999999999999</v>
      </c>
      <c r="CM16">
        <v>1739</v>
      </c>
      <c r="CN16">
        <v>277</v>
      </c>
      <c r="CO16">
        <v>0.1925</v>
      </c>
      <c r="CP16">
        <v>0.1925</v>
      </c>
      <c r="CR16">
        <v>1508</v>
      </c>
      <c r="CS16">
        <v>46</v>
      </c>
      <c r="CT16">
        <v>0.184</v>
      </c>
      <c r="CU16">
        <v>0.184</v>
      </c>
      <c r="CW16">
        <v>1534</v>
      </c>
      <c r="CX16">
        <v>72</v>
      </c>
      <c r="CY16">
        <v>72</v>
      </c>
      <c r="DB16">
        <v>1689</v>
      </c>
      <c r="DC16">
        <v>227</v>
      </c>
      <c r="DG16">
        <v>2344</v>
      </c>
      <c r="DH16">
        <v>882</v>
      </c>
      <c r="DL16">
        <v>2140</v>
      </c>
      <c r="DM16">
        <v>678</v>
      </c>
      <c r="DQ16">
        <v>2660</v>
      </c>
      <c r="DR16">
        <v>1198</v>
      </c>
      <c r="DV16">
        <v>1462</v>
      </c>
      <c r="EA16">
        <v>3644</v>
      </c>
    </row>
    <row r="17" spans="1:131" x14ac:dyDescent="0.2">
      <c r="A17" s="11">
        <v>2.6159794444444442</v>
      </c>
      <c r="B17">
        <v>1583</v>
      </c>
      <c r="C17">
        <f t="shared" si="0"/>
        <v>-19.11428571428587</v>
      </c>
      <c r="D17">
        <v>0.18540000000000001</v>
      </c>
      <c r="E17" s="90">
        <v>8.0200000000000007E-2</v>
      </c>
      <c r="F17" s="90">
        <f t="shared" si="1"/>
        <v>-238.3327395796243</v>
      </c>
      <c r="G17">
        <f t="shared" si="2"/>
        <v>-3.9722123263270716E-2</v>
      </c>
      <c r="H17">
        <v>1626</v>
      </c>
      <c r="I17">
        <v>43</v>
      </c>
      <c r="J17">
        <v>0.1744</v>
      </c>
      <c r="K17">
        <v>6.88E-2</v>
      </c>
      <c r="L17">
        <v>42.931199999999997</v>
      </c>
      <c r="M17">
        <v>1694</v>
      </c>
      <c r="N17">
        <v>111</v>
      </c>
      <c r="O17">
        <v>0.17799999999999999</v>
      </c>
      <c r="P17">
        <v>7.2699999999999987E-2</v>
      </c>
      <c r="Q17">
        <v>1526.8225584594225</v>
      </c>
      <c r="R17">
        <v>1707</v>
      </c>
      <c r="S17">
        <v>3290</v>
      </c>
      <c r="T17">
        <v>0.18110000000000001</v>
      </c>
      <c r="U17">
        <v>7.6100000000000015E-2</v>
      </c>
      <c r="V17">
        <v>43232.588699080152</v>
      </c>
      <c r="W17">
        <v>2244</v>
      </c>
      <c r="X17">
        <v>661</v>
      </c>
      <c r="Y17">
        <v>0.1817</v>
      </c>
      <c r="Z17">
        <v>7.2300000000000003E-2</v>
      </c>
      <c r="AA17">
        <v>9142.4619640387264</v>
      </c>
      <c r="AB17">
        <v>1911</v>
      </c>
      <c r="AC17">
        <v>328</v>
      </c>
      <c r="AD17">
        <v>0.21479999999999999</v>
      </c>
      <c r="AE17">
        <v>0.1065</v>
      </c>
      <c r="AF17">
        <v>3079.8122065727698</v>
      </c>
      <c r="AG17">
        <v>2454</v>
      </c>
      <c r="AH17">
        <v>871</v>
      </c>
      <c r="AI17">
        <v>0.2276</v>
      </c>
      <c r="AJ17">
        <v>0.1225</v>
      </c>
      <c r="AK17">
        <v>-2.0996442489973552</v>
      </c>
      <c r="AL17">
        <v>1583</v>
      </c>
      <c r="AN17">
        <v>0.2276</v>
      </c>
      <c r="AO17">
        <v>0.1225</v>
      </c>
      <c r="AP17">
        <v>12922.448979591836</v>
      </c>
      <c r="AQ17">
        <v>3175</v>
      </c>
      <c r="AR17">
        <v>3174.7723999999998</v>
      </c>
      <c r="AS17">
        <v>0.2087</v>
      </c>
      <c r="AT17">
        <v>0.10089999999999999</v>
      </c>
      <c r="AU17">
        <v>31464.543111992072</v>
      </c>
      <c r="AV17">
        <v>1577</v>
      </c>
      <c r="AW17">
        <v>124</v>
      </c>
      <c r="AX17">
        <v>0.1138</v>
      </c>
      <c r="AY17">
        <v>1089.6309314586995</v>
      </c>
      <c r="AZ17">
        <v>1578</v>
      </c>
      <c r="BA17">
        <v>125</v>
      </c>
      <c r="BB17">
        <v>0.18820000000000001</v>
      </c>
      <c r="BC17">
        <v>0.18820000000000001</v>
      </c>
      <c r="BE17">
        <v>1674</v>
      </c>
      <c r="BF17">
        <v>221</v>
      </c>
      <c r="BG17">
        <v>0.18970000000000001</v>
      </c>
      <c r="BH17">
        <v>0.18970000000000001</v>
      </c>
      <c r="BJ17">
        <v>1781</v>
      </c>
      <c r="BK17">
        <v>328</v>
      </c>
      <c r="BL17">
        <v>0.20469999999999999</v>
      </c>
      <c r="BM17">
        <v>0.20469999999999999</v>
      </c>
      <c r="BO17">
        <v>2412</v>
      </c>
      <c r="BP17">
        <v>959</v>
      </c>
      <c r="BQ17">
        <v>0.19839999999999999</v>
      </c>
      <c r="BR17">
        <v>0.19839999999999999</v>
      </c>
      <c r="BT17">
        <v>2195</v>
      </c>
      <c r="BU17">
        <v>742</v>
      </c>
      <c r="BV17">
        <v>0.22370000000000001</v>
      </c>
      <c r="BW17">
        <v>0.22370000000000001</v>
      </c>
      <c r="BY17">
        <v>2964</v>
      </c>
      <c r="BZ17">
        <v>1511</v>
      </c>
      <c r="CD17">
        <v>1453</v>
      </c>
      <c r="CE17">
        <v>0.26229999999999998</v>
      </c>
      <c r="CF17">
        <v>0.26229999999999998</v>
      </c>
      <c r="CI17">
        <v>3185</v>
      </c>
      <c r="CJ17">
        <v>0.26100000000000001</v>
      </c>
      <c r="CK17">
        <v>0.26100000000000001</v>
      </c>
      <c r="CM17">
        <v>1789</v>
      </c>
      <c r="CN17">
        <v>325</v>
      </c>
      <c r="CO17">
        <v>0.24579999999999999</v>
      </c>
      <c r="CP17">
        <v>0.24579999999999999</v>
      </c>
      <c r="CR17">
        <v>1524</v>
      </c>
      <c r="CS17">
        <v>60</v>
      </c>
      <c r="CT17">
        <v>0.22700000000000001</v>
      </c>
      <c r="CU17">
        <v>0.22700000000000001</v>
      </c>
      <c r="CW17">
        <v>1574</v>
      </c>
      <c r="CX17">
        <v>110</v>
      </c>
      <c r="CY17">
        <v>110</v>
      </c>
      <c r="DB17">
        <v>1696</v>
      </c>
      <c r="DC17">
        <v>232</v>
      </c>
      <c r="DG17">
        <v>2512</v>
      </c>
      <c r="DH17">
        <v>1048</v>
      </c>
      <c r="DL17">
        <v>2277</v>
      </c>
      <c r="DM17">
        <v>813</v>
      </c>
      <c r="DQ17">
        <v>2905</v>
      </c>
      <c r="DR17">
        <v>1441</v>
      </c>
      <c r="DV17">
        <v>1464</v>
      </c>
      <c r="EA17">
        <v>4098</v>
      </c>
    </row>
    <row r="18" spans="1:131" x14ac:dyDescent="0.2">
      <c r="A18">
        <v>2.8537316666666666</v>
      </c>
      <c r="B18">
        <v>1627</v>
      </c>
      <c r="C18">
        <f t="shared" si="0"/>
        <v>24.88571428571413</v>
      </c>
      <c r="D18">
        <v>0.22090000000000001</v>
      </c>
      <c r="E18" s="90">
        <v>0.11570000000000001</v>
      </c>
      <c r="F18" s="90">
        <f t="shared" si="1"/>
        <v>215.08828250401146</v>
      </c>
      <c r="G18">
        <f t="shared" si="2"/>
        <v>3.5848047084001911E-2</v>
      </c>
      <c r="H18">
        <v>1620</v>
      </c>
      <c r="I18">
        <v>-4</v>
      </c>
      <c r="J18">
        <v>0.20280000000000001</v>
      </c>
      <c r="K18">
        <v>9.7200000000000009E-2</v>
      </c>
      <c r="L18">
        <v>-4.0972</v>
      </c>
      <c r="M18">
        <v>1754</v>
      </c>
      <c r="N18">
        <v>130</v>
      </c>
      <c r="O18">
        <v>0.20910000000000001</v>
      </c>
      <c r="P18">
        <v>0.1038</v>
      </c>
      <c r="Q18">
        <v>1252.4084778420038</v>
      </c>
      <c r="R18">
        <v>1800</v>
      </c>
      <c r="S18">
        <v>3424</v>
      </c>
      <c r="T18">
        <v>0.21029999999999999</v>
      </c>
      <c r="U18">
        <v>0.10529999999999999</v>
      </c>
      <c r="V18">
        <v>32516.619183285853</v>
      </c>
      <c r="W18">
        <v>2364</v>
      </c>
      <c r="X18">
        <v>740</v>
      </c>
      <c r="Y18">
        <v>0.2089</v>
      </c>
      <c r="Z18">
        <v>9.9500000000000005E-2</v>
      </c>
      <c r="AA18">
        <v>7437.1859296482407</v>
      </c>
      <c r="AB18">
        <v>1995</v>
      </c>
      <c r="AC18">
        <v>371</v>
      </c>
      <c r="AD18">
        <v>0.25240000000000001</v>
      </c>
      <c r="AE18">
        <v>0.14410000000000001</v>
      </c>
      <c r="AF18">
        <v>2574.6009715475361</v>
      </c>
      <c r="AG18">
        <v>2583</v>
      </c>
      <c r="AH18">
        <v>959</v>
      </c>
      <c r="AI18">
        <v>0.26240000000000002</v>
      </c>
      <c r="AJ18">
        <v>0.15730000000000002</v>
      </c>
      <c r="AK18">
        <v>-1.8496004689179049</v>
      </c>
      <c r="AL18">
        <v>1624</v>
      </c>
      <c r="AN18">
        <v>0.26240000000000002</v>
      </c>
      <c r="AO18">
        <v>0.15730000000000002</v>
      </c>
      <c r="AP18">
        <v>10324.221233312141</v>
      </c>
      <c r="AQ18">
        <v>3379</v>
      </c>
      <c r="AR18">
        <v>3378.7375999999999</v>
      </c>
      <c r="AS18">
        <v>0.2414</v>
      </c>
      <c r="AT18">
        <v>0.1336</v>
      </c>
      <c r="AU18">
        <v>25289.952095808385</v>
      </c>
      <c r="AV18">
        <v>1614</v>
      </c>
      <c r="AW18">
        <v>126</v>
      </c>
      <c r="AX18">
        <v>0.12180000000000001</v>
      </c>
      <c r="AY18">
        <v>1034.4827586206895</v>
      </c>
      <c r="AZ18">
        <v>1549</v>
      </c>
      <c r="BA18">
        <v>61</v>
      </c>
      <c r="BB18">
        <v>0.23350000000000001</v>
      </c>
      <c r="BC18">
        <v>0.23350000000000001</v>
      </c>
      <c r="BE18">
        <v>1723</v>
      </c>
      <c r="BF18">
        <v>235</v>
      </c>
      <c r="BG18">
        <v>0.23230000000000001</v>
      </c>
      <c r="BH18">
        <v>0.23230000000000001</v>
      </c>
      <c r="BJ18">
        <v>1842</v>
      </c>
      <c r="BK18">
        <v>354</v>
      </c>
      <c r="BL18">
        <v>0.24990000000000001</v>
      </c>
      <c r="BM18">
        <v>0.24990000000000001</v>
      </c>
      <c r="BO18">
        <v>2623</v>
      </c>
      <c r="BP18">
        <v>1135</v>
      </c>
      <c r="BQ18">
        <v>0.23630000000000001</v>
      </c>
      <c r="BR18">
        <v>0.23630000000000001</v>
      </c>
      <c r="BT18">
        <v>2329</v>
      </c>
      <c r="BU18">
        <v>841</v>
      </c>
      <c r="BV18">
        <v>0.2702</v>
      </c>
      <c r="BW18">
        <v>0.2702</v>
      </c>
      <c r="BY18">
        <v>3186</v>
      </c>
      <c r="BZ18">
        <v>1698</v>
      </c>
      <c r="CD18">
        <v>1488</v>
      </c>
      <c r="CE18">
        <v>0.3039</v>
      </c>
      <c r="CF18">
        <v>0.3039</v>
      </c>
      <c r="CI18">
        <v>3425</v>
      </c>
      <c r="CJ18">
        <v>0.30499999999999999</v>
      </c>
      <c r="CK18">
        <v>0.30499999999999999</v>
      </c>
      <c r="CM18">
        <v>1853</v>
      </c>
      <c r="CN18">
        <v>342</v>
      </c>
      <c r="CO18">
        <v>0.2984</v>
      </c>
      <c r="CP18">
        <v>0.2984</v>
      </c>
      <c r="CR18">
        <v>1531</v>
      </c>
      <c r="CS18">
        <v>20</v>
      </c>
      <c r="CT18">
        <v>0.29089999999999999</v>
      </c>
      <c r="CU18">
        <v>0.29089999999999999</v>
      </c>
      <c r="CW18">
        <v>1601</v>
      </c>
      <c r="CX18">
        <v>90</v>
      </c>
      <c r="CY18">
        <v>90</v>
      </c>
      <c r="DB18">
        <v>1759</v>
      </c>
      <c r="DC18">
        <v>248</v>
      </c>
      <c r="DG18">
        <v>2675</v>
      </c>
      <c r="DH18">
        <v>1164</v>
      </c>
      <c r="DL18">
        <v>2366</v>
      </c>
      <c r="DM18">
        <v>855</v>
      </c>
      <c r="DQ18">
        <v>3080</v>
      </c>
      <c r="DR18">
        <v>1569</v>
      </c>
      <c r="DV18">
        <v>1511</v>
      </c>
      <c r="EA18">
        <v>4644</v>
      </c>
    </row>
    <row r="19" spans="1:131" x14ac:dyDescent="0.2">
      <c r="A19">
        <v>3.0915727777777779</v>
      </c>
      <c r="B19">
        <v>1650</v>
      </c>
      <c r="C19">
        <f t="shared" si="0"/>
        <v>47.88571428571413</v>
      </c>
      <c r="D19">
        <v>0.28489999999999999</v>
      </c>
      <c r="E19" s="90">
        <v>0.17969999999999997</v>
      </c>
      <c r="F19" s="90">
        <f t="shared" si="1"/>
        <v>266.47587248588837</v>
      </c>
      <c r="G19">
        <f t="shared" si="2"/>
        <v>4.4412645414314729E-2</v>
      </c>
      <c r="H19">
        <v>1631</v>
      </c>
      <c r="I19">
        <v>24</v>
      </c>
      <c r="J19">
        <v>0.25419999999999998</v>
      </c>
      <c r="K19">
        <v>0.14859999999999998</v>
      </c>
      <c r="L19">
        <v>23.851400000000002</v>
      </c>
      <c r="M19">
        <v>1740</v>
      </c>
      <c r="N19">
        <v>133</v>
      </c>
      <c r="O19">
        <v>0.25829999999999997</v>
      </c>
      <c r="P19">
        <v>0.15299999999999997</v>
      </c>
      <c r="Q19">
        <v>869.28104575163411</v>
      </c>
      <c r="R19">
        <v>1772</v>
      </c>
      <c r="S19">
        <v>3379</v>
      </c>
      <c r="T19">
        <v>0.26090000000000002</v>
      </c>
      <c r="U19">
        <v>0.15590000000000004</v>
      </c>
      <c r="V19">
        <v>21674.150096215519</v>
      </c>
      <c r="W19">
        <v>2485</v>
      </c>
      <c r="X19">
        <v>878</v>
      </c>
      <c r="Y19">
        <v>0.2631</v>
      </c>
      <c r="Z19">
        <v>0.1537</v>
      </c>
      <c r="AA19">
        <v>5712.426805465192</v>
      </c>
      <c r="AB19">
        <v>2071</v>
      </c>
      <c r="AC19">
        <v>464</v>
      </c>
      <c r="AD19">
        <v>0.30740000000000001</v>
      </c>
      <c r="AE19">
        <v>0.1991</v>
      </c>
      <c r="AF19">
        <v>2330.4871923656456</v>
      </c>
      <c r="AG19">
        <v>2724</v>
      </c>
      <c r="AH19">
        <v>1117</v>
      </c>
      <c r="AI19">
        <v>0.34300000000000003</v>
      </c>
      <c r="AJ19">
        <v>0.23790000000000003</v>
      </c>
      <c r="AK19">
        <v>-1.4359048616732248</v>
      </c>
      <c r="AL19">
        <v>1607</v>
      </c>
      <c r="AN19">
        <v>0.34300000000000003</v>
      </c>
      <c r="AO19">
        <v>0.23790000000000003</v>
      </c>
      <c r="AP19">
        <v>6754.9390500210166</v>
      </c>
      <c r="AQ19">
        <v>3560</v>
      </c>
      <c r="AR19">
        <v>3559.6570000000002</v>
      </c>
      <c r="AS19">
        <v>0.3286</v>
      </c>
      <c r="AT19">
        <v>0.2208</v>
      </c>
      <c r="AU19">
        <v>16121.634963768118</v>
      </c>
      <c r="AV19">
        <v>1594</v>
      </c>
      <c r="AW19">
        <v>104</v>
      </c>
      <c r="AX19">
        <v>0.13450000000000001</v>
      </c>
      <c r="AY19">
        <v>773.2342007434944</v>
      </c>
      <c r="AZ19">
        <v>1555</v>
      </c>
      <c r="BA19">
        <v>65</v>
      </c>
      <c r="BB19">
        <v>0.30299999999999999</v>
      </c>
      <c r="BC19">
        <v>0.30299999999999999</v>
      </c>
      <c r="BE19">
        <v>1764</v>
      </c>
      <c r="BF19">
        <v>274</v>
      </c>
      <c r="BG19">
        <v>0.30280000000000001</v>
      </c>
      <c r="BH19">
        <v>0.30280000000000001</v>
      </c>
      <c r="BJ19">
        <v>1872</v>
      </c>
      <c r="BK19">
        <v>382</v>
      </c>
      <c r="BL19">
        <v>0.31540000000000001</v>
      </c>
      <c r="BM19">
        <v>0.31540000000000001</v>
      </c>
      <c r="BO19">
        <v>2799</v>
      </c>
      <c r="BP19">
        <v>1309</v>
      </c>
      <c r="BQ19">
        <v>0.30530000000000002</v>
      </c>
      <c r="BR19">
        <v>0.30530000000000002</v>
      </c>
      <c r="BT19">
        <v>2366</v>
      </c>
      <c r="BU19">
        <v>876</v>
      </c>
      <c r="BV19">
        <v>0.32219999999999999</v>
      </c>
      <c r="BW19">
        <v>0.32219999999999999</v>
      </c>
      <c r="BY19">
        <v>3291</v>
      </c>
      <c r="BZ19">
        <v>1801</v>
      </c>
      <c r="CD19">
        <v>1490</v>
      </c>
      <c r="CE19">
        <v>0.35820000000000002</v>
      </c>
      <c r="CF19">
        <v>0.35820000000000002</v>
      </c>
      <c r="CI19">
        <v>3798</v>
      </c>
      <c r="CJ19">
        <v>0.3715</v>
      </c>
      <c r="CK19">
        <v>0.3715</v>
      </c>
      <c r="CM19">
        <v>1858</v>
      </c>
      <c r="CN19">
        <v>359</v>
      </c>
      <c r="CO19">
        <v>0.36659999999999998</v>
      </c>
      <c r="CP19">
        <v>0.36659999999999998</v>
      </c>
      <c r="CR19">
        <v>1554</v>
      </c>
      <c r="CS19">
        <v>55</v>
      </c>
      <c r="CT19">
        <v>0.34699999999999998</v>
      </c>
      <c r="CU19">
        <v>0.34699999999999998</v>
      </c>
      <c r="CW19">
        <v>1655</v>
      </c>
      <c r="CX19">
        <v>156</v>
      </c>
      <c r="CY19">
        <v>156</v>
      </c>
      <c r="DB19">
        <v>1785</v>
      </c>
      <c r="DC19">
        <v>286</v>
      </c>
      <c r="DG19">
        <v>2860</v>
      </c>
      <c r="DH19">
        <v>1361</v>
      </c>
      <c r="DL19">
        <v>2423</v>
      </c>
      <c r="DM19">
        <v>924</v>
      </c>
      <c r="DQ19">
        <v>3205</v>
      </c>
      <c r="DR19">
        <v>1706</v>
      </c>
      <c r="DV19">
        <v>1499</v>
      </c>
      <c r="EA19">
        <v>5474</v>
      </c>
    </row>
    <row r="20" spans="1:131" x14ac:dyDescent="0.2">
      <c r="A20" s="10">
        <v>3.3293372222222222</v>
      </c>
      <c r="B20">
        <v>1647</v>
      </c>
      <c r="C20">
        <f t="shared" si="0"/>
        <v>44.88571428571413</v>
      </c>
      <c r="D20">
        <v>0.309</v>
      </c>
      <c r="E20" s="90">
        <v>0.20379999999999998</v>
      </c>
      <c r="F20" s="90">
        <f t="shared" si="1"/>
        <v>220.24393663255219</v>
      </c>
      <c r="G20">
        <f t="shared" si="2"/>
        <v>3.670732277209203E-2</v>
      </c>
      <c r="H20">
        <v>1649</v>
      </c>
      <c r="I20">
        <v>14</v>
      </c>
      <c r="J20">
        <v>0.29820000000000002</v>
      </c>
      <c r="K20">
        <v>0.19260000000000002</v>
      </c>
      <c r="L20">
        <v>13.807399999999999</v>
      </c>
      <c r="M20">
        <v>1725</v>
      </c>
      <c r="N20">
        <v>90</v>
      </c>
      <c r="O20">
        <v>0.29859999999999998</v>
      </c>
      <c r="P20">
        <v>0.19329999999999997</v>
      </c>
      <c r="Q20">
        <v>465.59751681324371</v>
      </c>
      <c r="R20">
        <v>1784</v>
      </c>
      <c r="S20">
        <v>3419</v>
      </c>
      <c r="T20">
        <v>0.29799999999999999</v>
      </c>
      <c r="U20">
        <v>0.193</v>
      </c>
      <c r="V20">
        <v>17715.025906735751</v>
      </c>
      <c r="W20">
        <v>2460</v>
      </c>
      <c r="X20">
        <v>825</v>
      </c>
      <c r="Y20">
        <v>0.30349999999999999</v>
      </c>
      <c r="Z20">
        <v>0.19409999999999999</v>
      </c>
      <c r="AA20">
        <v>4250.3863987635241</v>
      </c>
      <c r="AB20">
        <v>2024</v>
      </c>
      <c r="AC20">
        <v>389</v>
      </c>
      <c r="AD20">
        <v>0.32119999999999999</v>
      </c>
      <c r="AE20">
        <v>0.21289999999999998</v>
      </c>
      <c r="AF20">
        <v>1827.1488961953971</v>
      </c>
      <c r="AG20">
        <v>2682</v>
      </c>
      <c r="AH20">
        <v>1047</v>
      </c>
      <c r="AI20">
        <v>0.35630000000000001</v>
      </c>
      <c r="AJ20">
        <v>0.25119999999999998</v>
      </c>
      <c r="AK20">
        <v>-1.3815058443880934</v>
      </c>
      <c r="AL20">
        <v>1635</v>
      </c>
      <c r="AN20">
        <v>0.35630000000000001</v>
      </c>
      <c r="AO20">
        <v>0.25119999999999998</v>
      </c>
      <c r="AP20">
        <v>6508.7579617834399</v>
      </c>
      <c r="AQ20">
        <v>3534</v>
      </c>
      <c r="AR20">
        <v>3533.6437000000001</v>
      </c>
      <c r="AS20">
        <v>0.37830000000000003</v>
      </c>
      <c r="AT20">
        <v>0.27050000000000002</v>
      </c>
      <c r="AU20">
        <v>13063.377818853973</v>
      </c>
      <c r="AV20">
        <v>1598</v>
      </c>
      <c r="AW20">
        <v>104</v>
      </c>
      <c r="AX20">
        <v>0.14760000000000001</v>
      </c>
      <c r="AY20">
        <v>704.60704607046068</v>
      </c>
      <c r="AZ20">
        <v>1589</v>
      </c>
      <c r="BA20">
        <v>95</v>
      </c>
      <c r="BB20">
        <v>0.32869999999999999</v>
      </c>
      <c r="BC20">
        <v>0.32869999999999999</v>
      </c>
      <c r="BE20">
        <v>1729</v>
      </c>
      <c r="BF20">
        <v>235</v>
      </c>
      <c r="BG20">
        <v>0.32679999999999998</v>
      </c>
      <c r="BH20">
        <v>0.32679999999999998</v>
      </c>
      <c r="BJ20">
        <v>1878</v>
      </c>
      <c r="BK20">
        <v>384</v>
      </c>
      <c r="BL20">
        <v>0.33579999999999999</v>
      </c>
      <c r="BM20">
        <v>0.33579999999999999</v>
      </c>
      <c r="BO20">
        <v>2757</v>
      </c>
      <c r="BP20">
        <v>1263</v>
      </c>
      <c r="BQ20">
        <v>0.32350000000000001</v>
      </c>
      <c r="BR20">
        <v>0.32350000000000001</v>
      </c>
      <c r="BT20">
        <v>2347</v>
      </c>
      <c r="BU20">
        <v>853</v>
      </c>
      <c r="BV20">
        <v>0.34810000000000002</v>
      </c>
      <c r="BW20">
        <v>0.34810000000000002</v>
      </c>
      <c r="BY20">
        <v>3284</v>
      </c>
      <c r="BZ20">
        <v>1790</v>
      </c>
      <c r="CD20">
        <v>1494</v>
      </c>
      <c r="CE20">
        <v>0.4148</v>
      </c>
      <c r="CF20">
        <v>0.4148</v>
      </c>
      <c r="CI20">
        <v>3904</v>
      </c>
      <c r="CJ20">
        <v>0.437</v>
      </c>
      <c r="CK20">
        <v>0.437</v>
      </c>
      <c r="CM20">
        <v>1862</v>
      </c>
      <c r="CN20">
        <v>319</v>
      </c>
      <c r="CO20">
        <v>0.41860000000000003</v>
      </c>
      <c r="CP20">
        <v>0.41860000000000003</v>
      </c>
      <c r="CR20">
        <v>1545</v>
      </c>
      <c r="CS20">
        <v>2</v>
      </c>
      <c r="CT20">
        <v>0.38729999999999998</v>
      </c>
      <c r="CU20">
        <v>0.38729999999999998</v>
      </c>
      <c r="CW20">
        <v>1639</v>
      </c>
      <c r="CX20">
        <v>96</v>
      </c>
      <c r="CY20">
        <v>96</v>
      </c>
      <c r="DB20">
        <v>1797</v>
      </c>
      <c r="DC20">
        <v>254</v>
      </c>
      <c r="DG20">
        <v>2844</v>
      </c>
      <c r="DH20">
        <v>1301</v>
      </c>
      <c r="DL20">
        <v>2415</v>
      </c>
      <c r="DM20">
        <v>872</v>
      </c>
      <c r="DQ20">
        <v>3178</v>
      </c>
      <c r="DR20">
        <v>1635</v>
      </c>
      <c r="DV20">
        <v>1543</v>
      </c>
      <c r="EA20">
        <v>5965</v>
      </c>
    </row>
    <row r="21" spans="1:131" x14ac:dyDescent="0.2">
      <c r="A21" s="10">
        <v>3.5670933333333332</v>
      </c>
      <c r="B21">
        <v>1710</v>
      </c>
      <c r="C21">
        <f t="shared" si="0"/>
        <v>107.88571428571413</v>
      </c>
      <c r="D21">
        <v>0.32529999999999998</v>
      </c>
      <c r="E21" s="90">
        <v>0.22009999999999996</v>
      </c>
      <c r="F21" s="90">
        <f t="shared" si="1"/>
        <v>490.16680729538461</v>
      </c>
      <c r="G21">
        <f t="shared" si="2"/>
        <v>8.1694467882564098E-2</v>
      </c>
      <c r="H21">
        <v>1653</v>
      </c>
      <c r="I21">
        <v>-1</v>
      </c>
      <c r="J21">
        <v>0.29580000000000001</v>
      </c>
      <c r="K21">
        <v>0.19020000000000001</v>
      </c>
      <c r="L21">
        <v>-1.1901999999999999</v>
      </c>
      <c r="M21">
        <v>1744</v>
      </c>
      <c r="N21">
        <v>90</v>
      </c>
      <c r="O21">
        <v>0.29459999999999997</v>
      </c>
      <c r="P21">
        <v>0.18929999999999997</v>
      </c>
      <c r="Q21">
        <v>475.43581616481782</v>
      </c>
      <c r="R21">
        <v>1815</v>
      </c>
      <c r="S21">
        <v>3469</v>
      </c>
      <c r="T21">
        <v>0.30559999999999998</v>
      </c>
      <c r="U21">
        <v>0.2006</v>
      </c>
      <c r="V21">
        <v>17293.120638085744</v>
      </c>
      <c r="W21">
        <v>2543</v>
      </c>
      <c r="X21">
        <v>889</v>
      </c>
      <c r="Y21">
        <v>0.31059999999999999</v>
      </c>
      <c r="Z21">
        <v>0.20119999999999999</v>
      </c>
      <c r="AA21">
        <v>4418.4890656063617</v>
      </c>
      <c r="AB21">
        <v>2062</v>
      </c>
      <c r="AC21">
        <v>408</v>
      </c>
      <c r="AD21">
        <v>0.3342</v>
      </c>
      <c r="AE21">
        <v>0.22589999999999999</v>
      </c>
      <c r="AF21">
        <v>1806.108897742364</v>
      </c>
      <c r="AG21">
        <v>2753</v>
      </c>
      <c r="AH21">
        <v>1099</v>
      </c>
      <c r="AI21">
        <v>0.35520000000000002</v>
      </c>
      <c r="AJ21">
        <v>0.25009999999999999</v>
      </c>
      <c r="AK21">
        <v>-1.3858944410985636</v>
      </c>
      <c r="AL21">
        <v>1654</v>
      </c>
      <c r="AN21">
        <v>0.35520000000000002</v>
      </c>
      <c r="AO21">
        <v>0.25009999999999999</v>
      </c>
      <c r="AP21">
        <v>6613.3546581367455</v>
      </c>
      <c r="AQ21">
        <v>3725</v>
      </c>
      <c r="AR21">
        <v>3724.6448</v>
      </c>
      <c r="AS21">
        <v>0.36709999999999998</v>
      </c>
      <c r="AT21">
        <v>0.25929999999999997</v>
      </c>
      <c r="AU21">
        <v>14364.229849595065</v>
      </c>
      <c r="AV21">
        <v>1646</v>
      </c>
      <c r="AW21">
        <v>126</v>
      </c>
      <c r="AX21">
        <v>0.16250000000000001</v>
      </c>
      <c r="AY21">
        <v>775.38461538461536</v>
      </c>
      <c r="AZ21">
        <v>1631</v>
      </c>
      <c r="BA21">
        <v>111</v>
      </c>
      <c r="BB21">
        <v>0.34970000000000001</v>
      </c>
      <c r="BC21">
        <v>0.34970000000000001</v>
      </c>
      <c r="BE21">
        <v>1791</v>
      </c>
      <c r="BF21">
        <v>271</v>
      </c>
      <c r="BG21">
        <v>0.34520000000000001</v>
      </c>
      <c r="BH21">
        <v>0.34520000000000001</v>
      </c>
      <c r="BJ21">
        <v>1916</v>
      </c>
      <c r="BK21">
        <v>396</v>
      </c>
      <c r="BL21">
        <v>0.35320000000000001</v>
      </c>
      <c r="BM21">
        <v>0.35320000000000001</v>
      </c>
      <c r="BO21">
        <v>2819</v>
      </c>
      <c r="BP21">
        <v>1299</v>
      </c>
      <c r="BQ21">
        <v>0.33829999999999999</v>
      </c>
      <c r="BR21">
        <v>0.33829999999999999</v>
      </c>
      <c r="BT21">
        <v>2405</v>
      </c>
      <c r="BU21">
        <v>885</v>
      </c>
      <c r="BV21">
        <v>0.36509999999999998</v>
      </c>
      <c r="BW21">
        <v>0.36509999999999998</v>
      </c>
      <c r="BY21">
        <v>3331</v>
      </c>
      <c r="BZ21">
        <v>1811</v>
      </c>
      <c r="CD21">
        <v>1520</v>
      </c>
      <c r="CE21">
        <v>0.44379999999999997</v>
      </c>
      <c r="CF21">
        <v>0.44379999999999997</v>
      </c>
      <c r="CI21">
        <v>4267</v>
      </c>
      <c r="CJ21">
        <v>0.47089999999999999</v>
      </c>
      <c r="CK21">
        <v>0.47089999999999999</v>
      </c>
      <c r="CM21">
        <v>1932</v>
      </c>
      <c r="CN21">
        <v>363</v>
      </c>
      <c r="CO21">
        <v>0.4304</v>
      </c>
      <c r="CP21">
        <v>0.4304</v>
      </c>
      <c r="CR21">
        <v>1577</v>
      </c>
      <c r="CS21">
        <v>8</v>
      </c>
      <c r="CT21">
        <v>0.42020000000000002</v>
      </c>
      <c r="CU21">
        <v>0.42020000000000002</v>
      </c>
      <c r="CW21">
        <v>1707</v>
      </c>
      <c r="CX21">
        <v>138</v>
      </c>
      <c r="CY21">
        <v>138</v>
      </c>
      <c r="DB21">
        <v>1836</v>
      </c>
      <c r="DC21">
        <v>267</v>
      </c>
      <c r="DG21">
        <v>2957</v>
      </c>
      <c r="DH21">
        <v>1388</v>
      </c>
      <c r="DL21">
        <v>2459</v>
      </c>
      <c r="DM21">
        <v>890</v>
      </c>
      <c r="DQ21">
        <v>3272</v>
      </c>
      <c r="DR21">
        <v>1703</v>
      </c>
      <c r="DV21">
        <v>1569</v>
      </c>
      <c r="EA21">
        <v>6558</v>
      </c>
    </row>
    <row r="22" spans="1:131" x14ac:dyDescent="0.2">
      <c r="A22" s="11">
        <v>3.8049416666666671</v>
      </c>
      <c r="B22">
        <v>1718</v>
      </c>
      <c r="C22">
        <f t="shared" si="0"/>
        <v>115.88571428571413</v>
      </c>
      <c r="D22">
        <v>0.3664</v>
      </c>
      <c r="E22" s="90">
        <v>0.26119999999999999</v>
      </c>
      <c r="F22" s="90">
        <f t="shared" si="1"/>
        <v>443.66659374316282</v>
      </c>
      <c r="G22">
        <f t="shared" si="2"/>
        <v>7.3944432290527135E-2</v>
      </c>
      <c r="H22">
        <v>1679</v>
      </c>
      <c r="I22">
        <v>7</v>
      </c>
      <c r="J22">
        <v>0.33729999999999999</v>
      </c>
      <c r="K22">
        <v>0.23169999999999999</v>
      </c>
      <c r="L22">
        <v>6.7683</v>
      </c>
      <c r="M22">
        <v>1779</v>
      </c>
      <c r="N22">
        <v>107</v>
      </c>
      <c r="O22">
        <v>0.32679999999999998</v>
      </c>
      <c r="P22">
        <v>0.22149999999999997</v>
      </c>
      <c r="Q22">
        <v>483.06997742663663</v>
      </c>
      <c r="R22">
        <v>1793</v>
      </c>
      <c r="S22">
        <v>3465</v>
      </c>
      <c r="T22">
        <v>0.3291</v>
      </c>
      <c r="U22">
        <v>0.22410000000000002</v>
      </c>
      <c r="V22">
        <v>15461.847389558232</v>
      </c>
      <c r="W22">
        <v>2577</v>
      </c>
      <c r="X22">
        <v>905</v>
      </c>
      <c r="Y22">
        <v>0.32600000000000001</v>
      </c>
      <c r="Z22">
        <v>0.21660000000000001</v>
      </c>
      <c r="AA22">
        <v>4178.2086795937212</v>
      </c>
      <c r="AB22">
        <v>2100</v>
      </c>
      <c r="AC22">
        <v>428</v>
      </c>
      <c r="AD22">
        <v>0.36049999999999999</v>
      </c>
      <c r="AE22">
        <v>0.25219999999999998</v>
      </c>
      <c r="AF22">
        <v>1697.0658207771612</v>
      </c>
      <c r="AG22">
        <v>2760</v>
      </c>
      <c r="AH22">
        <v>1088</v>
      </c>
      <c r="AI22">
        <v>0.39190000000000003</v>
      </c>
      <c r="AJ22">
        <v>0.28680000000000005</v>
      </c>
      <c r="AK22">
        <v>-1.2489701702566716</v>
      </c>
      <c r="AL22">
        <v>1672</v>
      </c>
      <c r="AN22">
        <v>0.39190000000000003</v>
      </c>
      <c r="AO22">
        <v>0.28680000000000005</v>
      </c>
      <c r="AP22">
        <v>5829.8465829846573</v>
      </c>
      <c r="AQ22">
        <v>3889</v>
      </c>
      <c r="AR22">
        <v>3888.6080999999999</v>
      </c>
      <c r="AS22">
        <v>0.41010000000000002</v>
      </c>
      <c r="AT22">
        <v>0.30230000000000001</v>
      </c>
      <c r="AU22">
        <v>12863.407542176645</v>
      </c>
      <c r="AV22">
        <v>1651</v>
      </c>
      <c r="AW22">
        <v>68</v>
      </c>
      <c r="AX22">
        <v>0.19109999999999999</v>
      </c>
      <c r="AY22">
        <v>355.83464154892727</v>
      </c>
      <c r="AZ22">
        <v>1609</v>
      </c>
      <c r="BA22">
        <v>26</v>
      </c>
      <c r="BB22">
        <v>0.39129999999999998</v>
      </c>
      <c r="BC22">
        <v>0.39129999999999998</v>
      </c>
      <c r="BE22">
        <v>1803</v>
      </c>
      <c r="BF22">
        <v>220</v>
      </c>
      <c r="BG22">
        <v>0.38159999999999999</v>
      </c>
      <c r="BH22">
        <v>0.38159999999999999</v>
      </c>
      <c r="BJ22">
        <v>1896</v>
      </c>
      <c r="BK22">
        <v>313</v>
      </c>
      <c r="BL22">
        <v>0.39240000000000003</v>
      </c>
      <c r="BM22">
        <v>0.39240000000000003</v>
      </c>
      <c r="BO22">
        <v>2829</v>
      </c>
      <c r="BP22">
        <v>1246</v>
      </c>
      <c r="BQ22">
        <v>0.37469999999999998</v>
      </c>
      <c r="BR22">
        <v>0.37469999999999998</v>
      </c>
      <c r="BT22">
        <v>2408</v>
      </c>
      <c r="BU22">
        <v>825</v>
      </c>
      <c r="BV22">
        <v>0.40360000000000001</v>
      </c>
      <c r="BW22">
        <v>0.40360000000000001</v>
      </c>
      <c r="BY22">
        <v>3366</v>
      </c>
      <c r="BZ22">
        <v>1783</v>
      </c>
      <c r="CD22">
        <v>1583</v>
      </c>
      <c r="CE22">
        <v>0.47689999999999999</v>
      </c>
      <c r="CF22">
        <v>0.47689999999999999</v>
      </c>
      <c r="CI22">
        <v>4698</v>
      </c>
      <c r="CJ22">
        <v>0.50360000000000005</v>
      </c>
      <c r="CK22">
        <v>0.50360000000000005</v>
      </c>
      <c r="CM22">
        <v>1975</v>
      </c>
      <c r="CN22">
        <v>397</v>
      </c>
      <c r="CO22">
        <v>0.51419999999999999</v>
      </c>
      <c r="CP22">
        <v>0.51419999999999999</v>
      </c>
      <c r="CR22">
        <v>1605</v>
      </c>
      <c r="CS22">
        <v>27</v>
      </c>
      <c r="CT22">
        <v>0.47010000000000002</v>
      </c>
      <c r="CU22">
        <v>0.47010000000000002</v>
      </c>
      <c r="CW22">
        <v>1714</v>
      </c>
      <c r="CX22">
        <v>136</v>
      </c>
      <c r="CY22">
        <v>136</v>
      </c>
      <c r="DB22">
        <v>1891</v>
      </c>
      <c r="DC22">
        <v>313</v>
      </c>
      <c r="DG22">
        <v>2978</v>
      </c>
      <c r="DH22">
        <v>1400</v>
      </c>
      <c r="DL22">
        <v>2463</v>
      </c>
      <c r="DM22">
        <v>885</v>
      </c>
      <c r="DQ22">
        <v>3312</v>
      </c>
      <c r="DR22">
        <v>1734</v>
      </c>
      <c r="DV22">
        <v>1578</v>
      </c>
      <c r="EA22">
        <v>8152</v>
      </c>
    </row>
    <row r="23" spans="1:131" x14ac:dyDescent="0.2">
      <c r="A23" s="11">
        <v>4.0427038888888891</v>
      </c>
      <c r="B23">
        <v>1716</v>
      </c>
      <c r="C23">
        <f t="shared" si="0"/>
        <v>113.88571428571413</v>
      </c>
      <c r="D23">
        <v>0.41210000000000002</v>
      </c>
      <c r="E23" s="90">
        <v>0.30690000000000001</v>
      </c>
      <c r="F23" s="90">
        <f t="shared" si="1"/>
        <v>371.08411301959637</v>
      </c>
      <c r="G23">
        <f t="shared" si="2"/>
        <v>6.1847352169932729E-2</v>
      </c>
      <c r="H23">
        <v>1668</v>
      </c>
      <c r="I23">
        <v>1</v>
      </c>
      <c r="J23">
        <v>0.38009999999999999</v>
      </c>
      <c r="K23">
        <v>0.27449999999999997</v>
      </c>
      <c r="L23">
        <v>0.72550000000000003</v>
      </c>
      <c r="M23">
        <v>1799</v>
      </c>
      <c r="N23">
        <v>132</v>
      </c>
      <c r="O23">
        <v>0.36359999999999998</v>
      </c>
      <c r="P23">
        <v>0.25829999999999997</v>
      </c>
      <c r="Q23">
        <v>511.03368176538913</v>
      </c>
      <c r="R23">
        <v>1841</v>
      </c>
      <c r="S23">
        <v>3508</v>
      </c>
      <c r="T23">
        <v>0.36280000000000001</v>
      </c>
      <c r="U23">
        <v>0.25780000000000003</v>
      </c>
      <c r="V23">
        <v>13607.44763382467</v>
      </c>
      <c r="W23">
        <v>2550</v>
      </c>
      <c r="X23">
        <v>883</v>
      </c>
      <c r="Y23">
        <v>0.35580000000000001</v>
      </c>
      <c r="Z23">
        <v>0.24640000000000001</v>
      </c>
      <c r="AA23">
        <v>3583.6038961038962</v>
      </c>
      <c r="AB23">
        <v>2052</v>
      </c>
      <c r="AC23">
        <v>385</v>
      </c>
      <c r="AD23">
        <v>0.39479999999999998</v>
      </c>
      <c r="AE23">
        <v>0.28649999999999998</v>
      </c>
      <c r="AF23">
        <v>1343.8045375218151</v>
      </c>
      <c r="AG23">
        <v>2702</v>
      </c>
      <c r="AH23">
        <v>1035</v>
      </c>
      <c r="AI23">
        <v>0.42849999999999999</v>
      </c>
      <c r="AJ23">
        <v>0.32340000000000002</v>
      </c>
      <c r="AK23">
        <v>-1.1288653318391306</v>
      </c>
      <c r="AL23">
        <v>1667</v>
      </c>
      <c r="AN23">
        <v>0.42849999999999999</v>
      </c>
      <c r="AO23">
        <v>0.32340000000000002</v>
      </c>
      <c r="AP23">
        <v>5154.6072974644403</v>
      </c>
      <c r="AQ23">
        <v>3821</v>
      </c>
      <c r="AR23">
        <v>3820.5715</v>
      </c>
      <c r="AS23">
        <v>0.47320000000000001</v>
      </c>
      <c r="AT23">
        <v>0.3654</v>
      </c>
      <c r="AU23">
        <v>10455.860700602079</v>
      </c>
      <c r="AV23">
        <v>1649</v>
      </c>
      <c r="AW23">
        <v>55</v>
      </c>
      <c r="AX23">
        <v>0.2266</v>
      </c>
      <c r="AY23">
        <v>242.71844660194176</v>
      </c>
      <c r="AZ23">
        <v>1619</v>
      </c>
      <c r="BA23">
        <v>25</v>
      </c>
      <c r="BB23">
        <v>0.4481</v>
      </c>
      <c r="BC23">
        <v>0.4481</v>
      </c>
      <c r="BE23">
        <v>1798</v>
      </c>
      <c r="BF23">
        <v>204</v>
      </c>
      <c r="BG23">
        <v>0.43419999999999997</v>
      </c>
      <c r="BH23">
        <v>0.43419999999999997</v>
      </c>
      <c r="BJ23">
        <v>1929</v>
      </c>
      <c r="BK23">
        <v>335</v>
      </c>
      <c r="BL23">
        <v>0.43859999999999999</v>
      </c>
      <c r="BM23">
        <v>0.43859999999999999</v>
      </c>
      <c r="BO23">
        <v>2808</v>
      </c>
      <c r="BP23">
        <v>1214</v>
      </c>
      <c r="BQ23">
        <v>0.42120000000000002</v>
      </c>
      <c r="BR23">
        <v>0.42120000000000002</v>
      </c>
      <c r="BT23">
        <v>2366</v>
      </c>
      <c r="BU23">
        <v>772</v>
      </c>
      <c r="BV23">
        <v>0.44829999999999998</v>
      </c>
      <c r="BW23">
        <v>0.44829999999999998</v>
      </c>
      <c r="BY23">
        <v>3296</v>
      </c>
      <c r="BZ23">
        <v>1702</v>
      </c>
      <c r="CD23">
        <v>1594</v>
      </c>
      <c r="CE23">
        <v>0.52200000000000002</v>
      </c>
      <c r="CF23">
        <v>0.52200000000000002</v>
      </c>
      <c r="CI23">
        <v>4623</v>
      </c>
      <c r="CJ23">
        <v>0.55130000000000001</v>
      </c>
      <c r="CK23">
        <v>0.55130000000000001</v>
      </c>
      <c r="CM23">
        <v>1916</v>
      </c>
      <c r="CN23">
        <v>347</v>
      </c>
      <c r="CO23">
        <v>0.58819999999999995</v>
      </c>
      <c r="CP23">
        <v>0.58819999999999995</v>
      </c>
      <c r="CR23">
        <v>1626</v>
      </c>
      <c r="CS23">
        <v>57</v>
      </c>
      <c r="CT23">
        <v>0.52900000000000003</v>
      </c>
      <c r="CU23">
        <v>0.52900000000000003</v>
      </c>
      <c r="CW23">
        <v>1708</v>
      </c>
      <c r="CX23">
        <v>139</v>
      </c>
      <c r="CY23">
        <v>139</v>
      </c>
      <c r="DB23">
        <v>1877</v>
      </c>
      <c r="DC23">
        <v>308</v>
      </c>
      <c r="DG23">
        <v>2973</v>
      </c>
      <c r="DH23">
        <v>1404</v>
      </c>
      <c r="DL23">
        <v>2422</v>
      </c>
      <c r="DM23">
        <v>853</v>
      </c>
      <c r="DQ23">
        <v>3198</v>
      </c>
      <c r="DR23">
        <v>1629</v>
      </c>
      <c r="DV23">
        <v>1569</v>
      </c>
      <c r="EA23">
        <v>8247</v>
      </c>
    </row>
    <row r="24" spans="1:131" x14ac:dyDescent="0.2">
      <c r="A24" s="11">
        <v>4.2804622222222228</v>
      </c>
      <c r="B24">
        <v>1768</v>
      </c>
      <c r="C24">
        <f t="shared" si="0"/>
        <v>165.88571428571413</v>
      </c>
      <c r="D24">
        <v>0.42809999999999998</v>
      </c>
      <c r="E24" s="90">
        <v>0.32289999999999996</v>
      </c>
      <c r="F24" s="90">
        <f t="shared" si="1"/>
        <v>513.73711454231693</v>
      </c>
      <c r="G24">
        <f t="shared" si="2"/>
        <v>8.5622852423719489E-2</v>
      </c>
      <c r="H24">
        <v>1755</v>
      </c>
      <c r="I24">
        <v>57</v>
      </c>
      <c r="J24">
        <v>0.39340000000000003</v>
      </c>
      <c r="K24">
        <v>0.28780000000000006</v>
      </c>
      <c r="L24">
        <v>56.712200000000003</v>
      </c>
      <c r="M24">
        <v>1817</v>
      </c>
      <c r="N24">
        <v>119</v>
      </c>
      <c r="O24">
        <v>0.37769999999999998</v>
      </c>
      <c r="P24">
        <v>0.27239999999999998</v>
      </c>
      <c r="Q24">
        <v>436.85756240822326</v>
      </c>
      <c r="R24">
        <v>1858</v>
      </c>
      <c r="S24">
        <v>3556</v>
      </c>
      <c r="T24">
        <v>0.38229999999999997</v>
      </c>
      <c r="U24">
        <v>0.27729999999999999</v>
      </c>
      <c r="V24">
        <v>12823.656689505951</v>
      </c>
      <c r="W24">
        <v>2631</v>
      </c>
      <c r="X24">
        <v>933</v>
      </c>
      <c r="Y24">
        <v>0.37759999999999999</v>
      </c>
      <c r="Z24">
        <v>0.26819999999999999</v>
      </c>
      <c r="AA24">
        <v>3478.7472035794185</v>
      </c>
      <c r="AB24">
        <v>2117</v>
      </c>
      <c r="AC24">
        <v>419</v>
      </c>
      <c r="AD24">
        <v>0.41489999999999999</v>
      </c>
      <c r="AE24">
        <v>0.30659999999999998</v>
      </c>
      <c r="AF24">
        <v>1366.6014350945859</v>
      </c>
      <c r="AG24">
        <v>2745</v>
      </c>
      <c r="AH24">
        <v>1047</v>
      </c>
      <c r="AI24">
        <v>0.44969999999999999</v>
      </c>
      <c r="AJ24">
        <v>0.34460000000000002</v>
      </c>
      <c r="AK24">
        <v>-1.0653709548883077</v>
      </c>
      <c r="AL24">
        <v>1698</v>
      </c>
      <c r="AN24">
        <v>0.44969999999999999</v>
      </c>
      <c r="AO24">
        <v>0.34460000000000002</v>
      </c>
      <c r="AP24">
        <v>4927.4521183981424</v>
      </c>
      <c r="AQ24">
        <v>3946</v>
      </c>
      <c r="AR24">
        <v>3945.5502999999999</v>
      </c>
      <c r="AS24">
        <v>0.48649999999999999</v>
      </c>
      <c r="AT24">
        <v>0.37869999999999998</v>
      </c>
      <c r="AU24">
        <v>10418.669923422234</v>
      </c>
      <c r="AV24">
        <v>1677</v>
      </c>
      <c r="AW24">
        <v>67</v>
      </c>
      <c r="AX24">
        <v>0.26219999999999999</v>
      </c>
      <c r="AY24">
        <v>255.53012967200613</v>
      </c>
      <c r="AZ24">
        <v>1645</v>
      </c>
      <c r="BA24">
        <v>35</v>
      </c>
      <c r="BB24">
        <v>0.48349999999999999</v>
      </c>
      <c r="BC24">
        <v>0.48349999999999999</v>
      </c>
      <c r="BE24">
        <v>1844</v>
      </c>
      <c r="BF24">
        <v>234</v>
      </c>
      <c r="BG24">
        <v>0.4627</v>
      </c>
      <c r="BH24">
        <v>0.4627</v>
      </c>
      <c r="BJ24">
        <v>1992</v>
      </c>
      <c r="BK24">
        <v>382</v>
      </c>
      <c r="BL24">
        <v>0.46560000000000001</v>
      </c>
      <c r="BM24">
        <v>0.46560000000000001</v>
      </c>
      <c r="BO24">
        <v>2834</v>
      </c>
      <c r="BP24">
        <v>1224</v>
      </c>
      <c r="BQ24">
        <v>0.4456</v>
      </c>
      <c r="BR24">
        <v>0.4456</v>
      </c>
      <c r="BT24">
        <v>2448</v>
      </c>
      <c r="BU24">
        <v>838</v>
      </c>
      <c r="BV24">
        <v>0.4713</v>
      </c>
      <c r="BW24">
        <v>0.4713</v>
      </c>
      <c r="BY24">
        <v>3333</v>
      </c>
      <c r="BZ24">
        <v>1723</v>
      </c>
      <c r="CD24">
        <v>1610</v>
      </c>
      <c r="CE24">
        <v>0.54200000000000004</v>
      </c>
      <c r="CF24">
        <v>0.54200000000000004</v>
      </c>
      <c r="CI24">
        <v>4696</v>
      </c>
      <c r="CJ24">
        <v>0.58220000000000005</v>
      </c>
      <c r="CK24">
        <v>0.58220000000000005</v>
      </c>
      <c r="CM24">
        <v>1995</v>
      </c>
      <c r="CN24">
        <v>426</v>
      </c>
      <c r="CO24">
        <v>0.57050000000000001</v>
      </c>
      <c r="CP24">
        <v>0.57050000000000001</v>
      </c>
      <c r="CR24">
        <v>1676</v>
      </c>
      <c r="CS24">
        <v>107</v>
      </c>
      <c r="CT24">
        <v>0.55479999999999996</v>
      </c>
      <c r="CU24">
        <v>0.55479999999999996</v>
      </c>
      <c r="CW24">
        <v>1727</v>
      </c>
      <c r="CX24">
        <v>158</v>
      </c>
      <c r="CY24">
        <v>158</v>
      </c>
      <c r="DB24">
        <v>1919</v>
      </c>
      <c r="DC24">
        <v>350</v>
      </c>
      <c r="DG24">
        <v>3019</v>
      </c>
      <c r="DH24">
        <v>1450</v>
      </c>
      <c r="DL24">
        <v>2484</v>
      </c>
      <c r="DM24">
        <v>915</v>
      </c>
      <c r="DQ24">
        <v>3191</v>
      </c>
      <c r="DR24">
        <v>1622</v>
      </c>
      <c r="DV24">
        <v>1569</v>
      </c>
      <c r="EA24">
        <v>8297</v>
      </c>
    </row>
    <row r="25" spans="1:131" x14ac:dyDescent="0.2">
      <c r="A25" s="11">
        <v>4.5183066666666667</v>
      </c>
      <c r="B25">
        <v>1769</v>
      </c>
      <c r="C25">
        <f t="shared" si="0"/>
        <v>166.88571428571413</v>
      </c>
      <c r="D25">
        <v>0.44190000000000002</v>
      </c>
      <c r="E25" s="90">
        <v>0.3367</v>
      </c>
      <c r="F25" s="90">
        <f t="shared" si="1"/>
        <v>495.65106707963804</v>
      </c>
      <c r="G25">
        <f t="shared" si="2"/>
        <v>8.260851117993967E-2</v>
      </c>
      <c r="H25">
        <v>1738</v>
      </c>
      <c r="I25">
        <v>18</v>
      </c>
      <c r="J25">
        <v>0.42330000000000001</v>
      </c>
      <c r="K25">
        <v>0.31769999999999998</v>
      </c>
      <c r="L25">
        <v>17.682300000000001</v>
      </c>
      <c r="M25">
        <v>1829</v>
      </c>
      <c r="N25">
        <v>109</v>
      </c>
      <c r="O25">
        <v>0.40079999999999999</v>
      </c>
      <c r="P25">
        <v>0.29549999999999998</v>
      </c>
      <c r="Q25">
        <v>368.86632825719124</v>
      </c>
      <c r="R25">
        <v>1846</v>
      </c>
      <c r="S25">
        <v>3566</v>
      </c>
      <c r="T25">
        <v>0.40749999999999997</v>
      </c>
      <c r="U25">
        <v>0.30249999999999999</v>
      </c>
      <c r="V25">
        <v>11788.429752066117</v>
      </c>
      <c r="W25">
        <v>2566</v>
      </c>
      <c r="X25">
        <v>846</v>
      </c>
      <c r="Y25">
        <v>0.39129999999999998</v>
      </c>
      <c r="Z25">
        <v>0.28189999999999998</v>
      </c>
      <c r="AA25">
        <v>3001.0642071656616</v>
      </c>
      <c r="AB25">
        <v>2095</v>
      </c>
      <c r="AC25">
        <v>375</v>
      </c>
      <c r="AD25">
        <v>0.43070000000000003</v>
      </c>
      <c r="AE25">
        <v>0.32240000000000002</v>
      </c>
      <c r="AF25">
        <v>1163.151364764268</v>
      </c>
      <c r="AG25">
        <v>2727</v>
      </c>
      <c r="AH25">
        <v>1007</v>
      </c>
      <c r="AI25">
        <v>0.47110000000000002</v>
      </c>
      <c r="AJ25">
        <v>0.36599999999999999</v>
      </c>
      <c r="AK25">
        <v>-1.0051219455807707</v>
      </c>
      <c r="AL25">
        <v>1720</v>
      </c>
      <c r="AN25">
        <v>0.47110000000000002</v>
      </c>
      <c r="AO25">
        <v>0.36599999999999999</v>
      </c>
      <c r="AP25">
        <v>4699.4535519125684</v>
      </c>
      <c r="AQ25">
        <v>4013</v>
      </c>
      <c r="AR25">
        <v>4012.5288999999998</v>
      </c>
      <c r="AS25">
        <v>0.5091</v>
      </c>
      <c r="AT25">
        <v>0.40129999999999999</v>
      </c>
      <c r="AU25">
        <v>9998.8260652878143</v>
      </c>
      <c r="AV25">
        <v>1713</v>
      </c>
      <c r="AW25">
        <v>111</v>
      </c>
      <c r="AX25">
        <v>0.29389999999999999</v>
      </c>
      <c r="AY25">
        <v>377.67948281728479</v>
      </c>
      <c r="AZ25">
        <v>1691</v>
      </c>
      <c r="BA25">
        <v>89</v>
      </c>
      <c r="BB25">
        <v>0.49959999999999999</v>
      </c>
      <c r="BC25">
        <v>0.49959999999999999</v>
      </c>
      <c r="BE25">
        <v>1844</v>
      </c>
      <c r="BF25">
        <v>242</v>
      </c>
      <c r="BG25">
        <v>0.48220000000000002</v>
      </c>
      <c r="BH25">
        <v>0.48220000000000002</v>
      </c>
      <c r="BJ25">
        <v>1976</v>
      </c>
      <c r="BK25">
        <v>374</v>
      </c>
      <c r="BL25">
        <v>0.48470000000000002</v>
      </c>
      <c r="BM25">
        <v>0.48470000000000002</v>
      </c>
      <c r="BO25">
        <v>2856</v>
      </c>
      <c r="BP25">
        <v>1254</v>
      </c>
      <c r="BQ25">
        <v>0.47020000000000001</v>
      </c>
      <c r="BR25">
        <v>0.47020000000000001</v>
      </c>
      <c r="BT25">
        <v>2415</v>
      </c>
      <c r="BU25">
        <v>813</v>
      </c>
      <c r="BV25">
        <v>0.49130000000000001</v>
      </c>
      <c r="BW25">
        <v>0.49130000000000001</v>
      </c>
      <c r="BY25">
        <v>3274</v>
      </c>
      <c r="BZ25">
        <v>1672</v>
      </c>
      <c r="CD25">
        <v>1602</v>
      </c>
      <c r="CE25">
        <v>0.55910000000000004</v>
      </c>
      <c r="CF25">
        <v>0.55910000000000004</v>
      </c>
      <c r="CI25">
        <v>4706</v>
      </c>
      <c r="CJ25">
        <v>0.59589999999999999</v>
      </c>
      <c r="CK25">
        <v>0.59589999999999999</v>
      </c>
      <c r="CM25">
        <v>2005</v>
      </c>
      <c r="CN25">
        <v>428</v>
      </c>
      <c r="CO25">
        <v>0.64659999999999995</v>
      </c>
      <c r="CP25">
        <v>0.64659999999999995</v>
      </c>
      <c r="CR25">
        <v>1674</v>
      </c>
      <c r="CS25">
        <v>97</v>
      </c>
      <c r="CT25">
        <v>0.57479999999999998</v>
      </c>
      <c r="CU25">
        <v>0.57479999999999998</v>
      </c>
      <c r="CW25">
        <v>1739</v>
      </c>
      <c r="CX25">
        <v>162</v>
      </c>
      <c r="CY25">
        <v>162</v>
      </c>
      <c r="DB25">
        <v>1915</v>
      </c>
      <c r="DC25">
        <v>338</v>
      </c>
      <c r="DG25">
        <v>2956</v>
      </c>
      <c r="DH25">
        <v>1379</v>
      </c>
      <c r="DL25">
        <v>2395</v>
      </c>
      <c r="DM25">
        <v>818</v>
      </c>
      <c r="DQ25">
        <v>3135</v>
      </c>
      <c r="DR25">
        <v>1558</v>
      </c>
      <c r="DV25">
        <v>1577</v>
      </c>
      <c r="EA25">
        <v>8311</v>
      </c>
    </row>
    <row r="26" spans="1:131" x14ac:dyDescent="0.2">
      <c r="A26" s="11">
        <v>4.7560597222222221</v>
      </c>
      <c r="B26">
        <v>1763</v>
      </c>
      <c r="C26">
        <f t="shared" si="0"/>
        <v>160.88571428571413</v>
      </c>
      <c r="D26">
        <v>0.47870000000000001</v>
      </c>
      <c r="E26" s="90">
        <v>0.3735</v>
      </c>
      <c r="F26" s="90">
        <f t="shared" si="1"/>
        <v>430.75157773952913</v>
      </c>
      <c r="G26">
        <f t="shared" si="2"/>
        <v>7.1791929623254855E-2</v>
      </c>
      <c r="H26">
        <v>1708</v>
      </c>
      <c r="I26">
        <v>-47</v>
      </c>
      <c r="J26">
        <v>0.4667</v>
      </c>
      <c r="K26">
        <v>0.36109999999999998</v>
      </c>
      <c r="L26">
        <v>-47.3611</v>
      </c>
      <c r="M26">
        <v>1801</v>
      </c>
      <c r="N26">
        <v>46</v>
      </c>
      <c r="O26">
        <v>0.44230000000000003</v>
      </c>
      <c r="P26">
        <v>0.33700000000000002</v>
      </c>
      <c r="Q26">
        <v>136.49851632047478</v>
      </c>
      <c r="R26">
        <v>1850</v>
      </c>
      <c r="S26">
        <v>3605</v>
      </c>
      <c r="T26">
        <v>0.44500000000000001</v>
      </c>
      <c r="U26">
        <v>0.34</v>
      </c>
      <c r="V26">
        <v>10602.941176470587</v>
      </c>
      <c r="W26">
        <v>2524</v>
      </c>
      <c r="X26">
        <v>769</v>
      </c>
      <c r="Y26">
        <v>0.42730000000000001</v>
      </c>
      <c r="Z26">
        <v>0.31790000000000002</v>
      </c>
      <c r="AA26">
        <v>2418.9996854356714</v>
      </c>
      <c r="AB26">
        <v>2051</v>
      </c>
      <c r="AC26">
        <v>296</v>
      </c>
      <c r="AD26">
        <v>0.4612</v>
      </c>
      <c r="AE26">
        <v>0.35289999999999999</v>
      </c>
      <c r="AF26">
        <v>838.76452252762829</v>
      </c>
      <c r="AG26">
        <v>2648</v>
      </c>
      <c r="AH26">
        <v>893</v>
      </c>
      <c r="AI26">
        <v>0.50260000000000005</v>
      </c>
      <c r="AJ26">
        <v>0.39750000000000008</v>
      </c>
      <c r="AK26">
        <v>-0.92256034488775029</v>
      </c>
      <c r="AL26">
        <v>1755</v>
      </c>
      <c r="AN26">
        <v>0.50260000000000005</v>
      </c>
      <c r="AO26">
        <v>0.39750000000000008</v>
      </c>
      <c r="AP26">
        <v>4415.0943396226403</v>
      </c>
      <c r="AQ26">
        <v>3914</v>
      </c>
      <c r="AR26">
        <v>3913.4974000000002</v>
      </c>
      <c r="AS26">
        <v>0.55800000000000005</v>
      </c>
      <c r="AT26">
        <v>0.45020000000000004</v>
      </c>
      <c r="AU26">
        <v>8692.7974233673922</v>
      </c>
      <c r="AV26">
        <v>1708</v>
      </c>
      <c r="AW26">
        <v>101</v>
      </c>
      <c r="AX26">
        <v>0.34189999999999998</v>
      </c>
      <c r="AY26">
        <v>295.40801403919278</v>
      </c>
      <c r="AZ26">
        <v>1681</v>
      </c>
      <c r="BA26">
        <v>74</v>
      </c>
      <c r="BB26">
        <v>0.53959999999999997</v>
      </c>
      <c r="BC26">
        <v>0.53959999999999997</v>
      </c>
      <c r="BE26">
        <v>1841</v>
      </c>
      <c r="BF26">
        <v>234</v>
      </c>
      <c r="BG26">
        <v>0.51939999999999997</v>
      </c>
      <c r="BH26">
        <v>0.51939999999999997</v>
      </c>
      <c r="BJ26">
        <v>1969</v>
      </c>
      <c r="BK26">
        <v>362</v>
      </c>
      <c r="BL26">
        <v>0.52139999999999997</v>
      </c>
      <c r="BM26">
        <v>0.52139999999999997</v>
      </c>
      <c r="BO26">
        <v>2796</v>
      </c>
      <c r="BP26">
        <v>1189</v>
      </c>
      <c r="BQ26">
        <v>0.50590000000000002</v>
      </c>
      <c r="BR26">
        <v>0.50590000000000002</v>
      </c>
      <c r="BT26">
        <v>2388</v>
      </c>
      <c r="BU26">
        <v>781</v>
      </c>
      <c r="BV26">
        <v>0.52569999999999995</v>
      </c>
      <c r="BW26">
        <v>0.52569999999999995</v>
      </c>
      <c r="BY26">
        <v>3161</v>
      </c>
      <c r="BZ26">
        <v>1554</v>
      </c>
      <c r="CD26">
        <v>1607</v>
      </c>
      <c r="CE26">
        <v>0.58799999999999997</v>
      </c>
      <c r="CF26">
        <v>0.58799999999999997</v>
      </c>
      <c r="CI26">
        <v>4498</v>
      </c>
      <c r="CJ26">
        <v>0.6129</v>
      </c>
      <c r="CK26">
        <v>0.6129</v>
      </c>
      <c r="CM26">
        <v>1979</v>
      </c>
      <c r="CN26">
        <v>393</v>
      </c>
      <c r="CO26">
        <v>0.68110000000000004</v>
      </c>
      <c r="CP26">
        <v>0.68110000000000004</v>
      </c>
      <c r="CR26">
        <v>1660</v>
      </c>
      <c r="CS26">
        <v>74</v>
      </c>
      <c r="CT26">
        <v>0.60419999999999996</v>
      </c>
      <c r="CU26">
        <v>0.60419999999999996</v>
      </c>
      <c r="CW26">
        <v>1715</v>
      </c>
      <c r="CX26">
        <v>129</v>
      </c>
      <c r="CY26">
        <v>129</v>
      </c>
      <c r="DB26">
        <v>1884</v>
      </c>
      <c r="DC26">
        <v>298</v>
      </c>
      <c r="DG26">
        <v>2864</v>
      </c>
      <c r="DH26">
        <v>1278</v>
      </c>
      <c r="DL26">
        <v>2362</v>
      </c>
      <c r="DM26">
        <v>776</v>
      </c>
      <c r="DQ26">
        <v>2961</v>
      </c>
      <c r="DR26">
        <v>1375</v>
      </c>
      <c r="DV26">
        <v>1586</v>
      </c>
      <c r="EA26">
        <v>7846</v>
      </c>
    </row>
    <row r="27" spans="1:131" x14ac:dyDescent="0.2">
      <c r="A27" s="11">
        <v>4.9938205555555557</v>
      </c>
      <c r="B27">
        <v>1796</v>
      </c>
      <c r="C27">
        <f t="shared" si="0"/>
        <v>193.88571428571413</v>
      </c>
      <c r="D27">
        <v>0.4985</v>
      </c>
      <c r="E27" s="90">
        <v>0.39329999999999998</v>
      </c>
      <c r="F27" s="90">
        <f t="shared" si="1"/>
        <v>492.97155933311501</v>
      </c>
      <c r="G27">
        <f t="shared" si="2"/>
        <v>8.2161926555519169E-2</v>
      </c>
      <c r="H27">
        <v>1727</v>
      </c>
      <c r="I27">
        <v>-2</v>
      </c>
      <c r="J27">
        <v>0.47720000000000001</v>
      </c>
      <c r="K27">
        <v>0.37160000000000004</v>
      </c>
      <c r="L27">
        <v>-2.3715999999999999</v>
      </c>
      <c r="M27">
        <v>1886</v>
      </c>
      <c r="N27">
        <v>157</v>
      </c>
      <c r="O27">
        <v>0.46110000000000001</v>
      </c>
      <c r="P27">
        <v>0.35580000000000001</v>
      </c>
      <c r="Q27">
        <v>441.25913434513774</v>
      </c>
      <c r="R27">
        <v>1889</v>
      </c>
      <c r="S27">
        <v>3618</v>
      </c>
      <c r="T27">
        <v>0.46129999999999999</v>
      </c>
      <c r="U27">
        <v>0.35630000000000001</v>
      </c>
      <c r="V27">
        <v>10154.364299747403</v>
      </c>
      <c r="W27">
        <v>2543</v>
      </c>
      <c r="X27">
        <v>814</v>
      </c>
      <c r="Y27">
        <v>0.44740000000000002</v>
      </c>
      <c r="Z27">
        <v>0.33800000000000002</v>
      </c>
      <c r="AA27">
        <v>2408.2840236686388</v>
      </c>
      <c r="AB27">
        <v>2060</v>
      </c>
      <c r="AC27">
        <v>331</v>
      </c>
      <c r="AD27">
        <v>0.47220000000000001</v>
      </c>
      <c r="AE27">
        <v>0.3639</v>
      </c>
      <c r="AF27">
        <v>909.59054685353124</v>
      </c>
      <c r="AG27">
        <v>2686</v>
      </c>
      <c r="AH27">
        <v>957</v>
      </c>
      <c r="AI27">
        <v>0.51680000000000004</v>
      </c>
      <c r="AJ27">
        <v>0.41170000000000007</v>
      </c>
      <c r="AK27">
        <v>-0.88746035020627789</v>
      </c>
      <c r="AL27">
        <v>1729</v>
      </c>
      <c r="AN27">
        <v>0.51680000000000004</v>
      </c>
      <c r="AO27">
        <v>0.41170000000000007</v>
      </c>
      <c r="AP27">
        <v>4199.6599465630306</v>
      </c>
      <c r="AQ27">
        <v>3958</v>
      </c>
      <c r="AR27">
        <v>3957.4832000000001</v>
      </c>
      <c r="AS27">
        <v>0.57179999999999997</v>
      </c>
      <c r="AT27">
        <v>0.46399999999999997</v>
      </c>
      <c r="AU27">
        <v>8529.0586206896569</v>
      </c>
      <c r="AV27">
        <v>1742</v>
      </c>
      <c r="AW27">
        <v>116</v>
      </c>
      <c r="AX27">
        <v>0.37080000000000002</v>
      </c>
      <c r="AY27">
        <v>312.83710895361378</v>
      </c>
      <c r="AZ27">
        <v>1685</v>
      </c>
      <c r="BA27">
        <v>59</v>
      </c>
      <c r="BB27">
        <v>0.56020000000000003</v>
      </c>
      <c r="BC27">
        <v>0.56020000000000003</v>
      </c>
      <c r="BE27">
        <v>1881</v>
      </c>
      <c r="BF27">
        <v>255</v>
      </c>
      <c r="BG27">
        <v>0.54069999999999996</v>
      </c>
      <c r="BH27">
        <v>0.54069999999999996</v>
      </c>
      <c r="BJ27">
        <v>1952</v>
      </c>
      <c r="BK27">
        <v>326</v>
      </c>
      <c r="BL27">
        <v>0.54059999999999997</v>
      </c>
      <c r="BM27">
        <v>0.54059999999999997</v>
      </c>
      <c r="BO27">
        <v>2820</v>
      </c>
      <c r="BP27">
        <v>1194</v>
      </c>
      <c r="BQ27">
        <v>0.5252</v>
      </c>
      <c r="BR27">
        <v>0.5252</v>
      </c>
      <c r="BT27">
        <v>2387</v>
      </c>
      <c r="BU27">
        <v>761</v>
      </c>
      <c r="BV27">
        <v>0.54169999999999996</v>
      </c>
      <c r="BW27">
        <v>0.54169999999999996</v>
      </c>
      <c r="BY27">
        <v>3135</v>
      </c>
      <c r="BZ27">
        <v>1509</v>
      </c>
      <c r="CD27">
        <v>1626</v>
      </c>
      <c r="CE27">
        <v>0.58799999999999997</v>
      </c>
      <c r="CF27">
        <v>0.58799999999999997</v>
      </c>
      <c r="CI27">
        <v>4540</v>
      </c>
      <c r="CJ27">
        <v>0.61929999999999996</v>
      </c>
      <c r="CK27">
        <v>0.61929999999999996</v>
      </c>
      <c r="CM27">
        <v>2023</v>
      </c>
      <c r="CN27">
        <v>431</v>
      </c>
      <c r="CO27">
        <v>0.62670000000000003</v>
      </c>
      <c r="CP27">
        <v>0.62670000000000003</v>
      </c>
      <c r="CR27">
        <v>1686</v>
      </c>
      <c r="CS27">
        <v>94</v>
      </c>
      <c r="CT27">
        <v>0.61799999999999999</v>
      </c>
      <c r="CU27">
        <v>0.61799999999999999</v>
      </c>
      <c r="CW27">
        <v>1727</v>
      </c>
      <c r="CX27">
        <v>135</v>
      </c>
      <c r="CY27">
        <v>135</v>
      </c>
      <c r="DB27">
        <v>1898</v>
      </c>
      <c r="DC27">
        <v>306</v>
      </c>
      <c r="DG27">
        <v>2865</v>
      </c>
      <c r="DH27">
        <v>1273</v>
      </c>
      <c r="DL27">
        <v>2350</v>
      </c>
      <c r="DM27">
        <v>758</v>
      </c>
      <c r="DQ27">
        <v>2939</v>
      </c>
      <c r="DR27">
        <v>1347</v>
      </c>
      <c r="DV27">
        <v>1592</v>
      </c>
      <c r="EA27">
        <v>7735</v>
      </c>
    </row>
    <row r="28" spans="1:131" x14ac:dyDescent="0.2">
      <c r="A28" s="11">
        <v>5.2316730555555555</v>
      </c>
      <c r="B28">
        <v>1802</v>
      </c>
      <c r="C28">
        <f t="shared" si="0"/>
        <v>199.88571428571413</v>
      </c>
      <c r="D28">
        <v>0.4985</v>
      </c>
      <c r="E28" s="90">
        <v>0.39329999999999998</v>
      </c>
      <c r="F28" s="90">
        <f t="shared" si="1"/>
        <v>508.22708946278703</v>
      </c>
      <c r="G28">
        <f t="shared" si="2"/>
        <v>8.4704514910464504E-2</v>
      </c>
      <c r="H28">
        <v>1749</v>
      </c>
      <c r="I28">
        <v>24</v>
      </c>
      <c r="J28">
        <v>0.48899999999999999</v>
      </c>
      <c r="K28">
        <v>0.38339999999999996</v>
      </c>
      <c r="L28">
        <v>23.616599999999998</v>
      </c>
      <c r="M28">
        <v>1889</v>
      </c>
      <c r="N28">
        <v>164</v>
      </c>
      <c r="O28">
        <v>0.46289999999999998</v>
      </c>
      <c r="P28">
        <v>0.35759999999999997</v>
      </c>
      <c r="Q28">
        <v>458.61297539149894</v>
      </c>
      <c r="R28">
        <v>1900</v>
      </c>
      <c r="S28">
        <v>3625</v>
      </c>
      <c r="T28">
        <v>0.46529999999999999</v>
      </c>
      <c r="U28">
        <v>0.36030000000000001</v>
      </c>
      <c r="V28">
        <v>10061.060227588121</v>
      </c>
      <c r="W28">
        <v>2553</v>
      </c>
      <c r="X28">
        <v>828</v>
      </c>
      <c r="Y28">
        <v>0.45079999999999998</v>
      </c>
      <c r="Z28">
        <v>0.34139999999999998</v>
      </c>
      <c r="AA28">
        <v>2425.3075571177505</v>
      </c>
      <c r="AB28">
        <v>2059</v>
      </c>
      <c r="AC28">
        <v>334</v>
      </c>
      <c r="AD28">
        <v>0.4899</v>
      </c>
      <c r="AE28">
        <v>0.38159999999999999</v>
      </c>
      <c r="AF28">
        <v>875.26205450733755</v>
      </c>
      <c r="AG28">
        <v>2645</v>
      </c>
      <c r="AH28">
        <v>920</v>
      </c>
      <c r="AI28">
        <v>0.53620000000000001</v>
      </c>
      <c r="AJ28">
        <v>0.43110000000000004</v>
      </c>
      <c r="AK28">
        <v>-0.84141519722904801</v>
      </c>
      <c r="AL28">
        <v>1725</v>
      </c>
      <c r="AN28">
        <v>0.53620000000000001</v>
      </c>
      <c r="AO28">
        <v>0.43110000000000004</v>
      </c>
      <c r="AP28">
        <v>4001.3917884481557</v>
      </c>
      <c r="AQ28">
        <v>3915</v>
      </c>
      <c r="AR28">
        <v>3914.4638</v>
      </c>
      <c r="AS28">
        <v>0.58860000000000001</v>
      </c>
      <c r="AT28">
        <v>0.48080000000000001</v>
      </c>
      <c r="AU28">
        <v>8141.5636439267882</v>
      </c>
      <c r="AV28">
        <v>1776</v>
      </c>
      <c r="AW28">
        <v>148</v>
      </c>
      <c r="AX28">
        <v>0.40839999999999999</v>
      </c>
      <c r="AY28">
        <v>362.38981390793339</v>
      </c>
      <c r="AZ28">
        <v>1731</v>
      </c>
      <c r="BA28">
        <v>103</v>
      </c>
      <c r="BB28">
        <v>0.55930000000000002</v>
      </c>
      <c r="BC28">
        <v>0.55930000000000002</v>
      </c>
      <c r="BE28">
        <v>1856</v>
      </c>
      <c r="BF28">
        <v>228</v>
      </c>
      <c r="BG28">
        <v>0.54300000000000004</v>
      </c>
      <c r="BH28">
        <v>0.54300000000000004</v>
      </c>
      <c r="BJ28">
        <v>1994</v>
      </c>
      <c r="BK28">
        <v>366</v>
      </c>
      <c r="BL28">
        <v>0.54349999999999998</v>
      </c>
      <c r="BM28">
        <v>0.54349999999999998</v>
      </c>
      <c r="BO28">
        <v>2807</v>
      </c>
      <c r="BP28">
        <v>1179</v>
      </c>
      <c r="BQ28">
        <v>0.53100000000000003</v>
      </c>
      <c r="BR28">
        <v>0.53100000000000003</v>
      </c>
      <c r="BT28">
        <v>2439</v>
      </c>
      <c r="BU28">
        <v>811</v>
      </c>
      <c r="BV28">
        <v>0.54869999999999997</v>
      </c>
      <c r="BW28">
        <v>0.54869999999999997</v>
      </c>
      <c r="BY28">
        <v>3092</v>
      </c>
      <c r="BZ28">
        <v>1464</v>
      </c>
      <c r="CD28">
        <v>1628</v>
      </c>
      <c r="CE28">
        <v>0.60060000000000002</v>
      </c>
      <c r="CF28">
        <v>0.60060000000000002</v>
      </c>
      <c r="CI28">
        <v>4423</v>
      </c>
      <c r="CJ28">
        <v>0.627</v>
      </c>
      <c r="CK28">
        <v>0.627</v>
      </c>
      <c r="CM28">
        <v>1933</v>
      </c>
      <c r="CN28">
        <v>380</v>
      </c>
      <c r="CO28">
        <v>0.71750000000000003</v>
      </c>
      <c r="CP28">
        <v>0.71750000000000003</v>
      </c>
      <c r="CR28">
        <v>1688</v>
      </c>
      <c r="CS28">
        <v>135</v>
      </c>
      <c r="CT28">
        <v>0.62419999999999998</v>
      </c>
      <c r="CU28">
        <v>0.62419999999999998</v>
      </c>
      <c r="CW28">
        <v>1718</v>
      </c>
      <c r="CX28">
        <v>165</v>
      </c>
      <c r="CY28">
        <v>165</v>
      </c>
      <c r="DB28">
        <v>1928</v>
      </c>
      <c r="DC28">
        <v>375</v>
      </c>
      <c r="DG28">
        <v>2808</v>
      </c>
      <c r="DH28">
        <v>1255</v>
      </c>
      <c r="DL28">
        <v>2342</v>
      </c>
      <c r="DM28">
        <v>789</v>
      </c>
      <c r="DQ28">
        <v>2883</v>
      </c>
      <c r="DR28">
        <v>1330</v>
      </c>
      <c r="DV28">
        <v>1553</v>
      </c>
      <c r="EA28">
        <v>7357</v>
      </c>
    </row>
    <row r="29" spans="1:131" x14ac:dyDescent="0.2">
      <c r="A29">
        <v>5.4694311111111116</v>
      </c>
      <c r="B29">
        <v>1812</v>
      </c>
      <c r="C29">
        <f t="shared" si="0"/>
        <v>209.88571428571413</v>
      </c>
      <c r="D29">
        <v>0.51829999999999998</v>
      </c>
      <c r="E29" s="90">
        <v>0.41309999999999997</v>
      </c>
      <c r="F29" s="90">
        <f t="shared" si="1"/>
        <v>508.07483487222015</v>
      </c>
      <c r="G29">
        <f t="shared" si="2"/>
        <v>8.4679139145370022E-2</v>
      </c>
      <c r="H29">
        <v>1769</v>
      </c>
      <c r="I29">
        <v>71</v>
      </c>
      <c r="J29">
        <v>0.50629999999999997</v>
      </c>
      <c r="K29">
        <v>0.40069999999999995</v>
      </c>
      <c r="L29">
        <v>70.599299999999999</v>
      </c>
      <c r="M29">
        <v>1874</v>
      </c>
      <c r="N29">
        <v>176</v>
      </c>
      <c r="O29">
        <v>0.48430000000000001</v>
      </c>
      <c r="P29">
        <v>0.379</v>
      </c>
      <c r="Q29">
        <v>464.37994722955142</v>
      </c>
      <c r="R29">
        <v>1886</v>
      </c>
      <c r="S29">
        <v>3584</v>
      </c>
      <c r="T29">
        <v>0.48499999999999999</v>
      </c>
      <c r="U29">
        <v>0.38</v>
      </c>
      <c r="V29">
        <v>9431.5789473684217</v>
      </c>
      <c r="W29">
        <v>2573</v>
      </c>
      <c r="X29">
        <v>875</v>
      </c>
      <c r="Y29">
        <v>0.47</v>
      </c>
      <c r="Z29">
        <v>0.36059999999999998</v>
      </c>
      <c r="AA29">
        <v>2426.5113699389908</v>
      </c>
      <c r="AB29">
        <v>2061</v>
      </c>
      <c r="AC29">
        <v>363</v>
      </c>
      <c r="AD29">
        <v>0.48909999999999998</v>
      </c>
      <c r="AE29">
        <v>0.38079999999999997</v>
      </c>
      <c r="AF29">
        <v>953.25630252100848</v>
      </c>
      <c r="AG29">
        <v>2641</v>
      </c>
      <c r="AH29">
        <v>943</v>
      </c>
      <c r="AI29">
        <v>0.54120000000000001</v>
      </c>
      <c r="AJ29">
        <v>0.43610000000000004</v>
      </c>
      <c r="AK29">
        <v>-0.82988370413341617</v>
      </c>
      <c r="AL29">
        <v>1698</v>
      </c>
      <c r="AN29">
        <v>0.54120000000000001</v>
      </c>
      <c r="AO29">
        <v>0.43610000000000004</v>
      </c>
      <c r="AP29">
        <v>3893.602384774134</v>
      </c>
      <c r="AQ29">
        <v>3853</v>
      </c>
      <c r="AR29">
        <v>3852.4587999999999</v>
      </c>
      <c r="AS29">
        <v>0.60729999999999995</v>
      </c>
      <c r="AT29">
        <v>0.49949999999999994</v>
      </c>
      <c r="AU29">
        <v>7712.6302302302311</v>
      </c>
      <c r="AV29">
        <v>1804</v>
      </c>
      <c r="AW29">
        <v>178</v>
      </c>
      <c r="AX29">
        <v>0.4491</v>
      </c>
      <c r="AY29">
        <v>396.34825205967491</v>
      </c>
      <c r="AZ29">
        <v>1711</v>
      </c>
      <c r="BA29">
        <v>85</v>
      </c>
      <c r="BB29">
        <v>0.57679999999999998</v>
      </c>
      <c r="BC29">
        <v>0.57679999999999998</v>
      </c>
      <c r="BE29">
        <v>1872</v>
      </c>
      <c r="BF29">
        <v>246</v>
      </c>
      <c r="BG29">
        <v>0.55989999999999995</v>
      </c>
      <c r="BH29">
        <v>0.55989999999999995</v>
      </c>
      <c r="BJ29">
        <v>1964</v>
      </c>
      <c r="BK29">
        <v>338</v>
      </c>
      <c r="BL29">
        <v>0.56140000000000001</v>
      </c>
      <c r="BM29">
        <v>0.56140000000000001</v>
      </c>
      <c r="BO29">
        <v>2766</v>
      </c>
      <c r="BP29">
        <v>1140</v>
      </c>
      <c r="BQ29">
        <v>0.55000000000000004</v>
      </c>
      <c r="BR29">
        <v>0.55000000000000004</v>
      </c>
      <c r="BT29">
        <v>2373</v>
      </c>
      <c r="BU29">
        <v>747</v>
      </c>
      <c r="BV29">
        <v>0.56359999999999999</v>
      </c>
      <c r="BW29">
        <v>0.56359999999999999</v>
      </c>
      <c r="BY29">
        <v>3071</v>
      </c>
      <c r="BZ29">
        <v>1445</v>
      </c>
      <c r="CD29">
        <v>1626</v>
      </c>
      <c r="CE29">
        <v>0.59699999999999998</v>
      </c>
      <c r="CF29">
        <v>0.59699999999999998</v>
      </c>
      <c r="CI29">
        <v>4319</v>
      </c>
      <c r="CJ29">
        <v>0.62470000000000003</v>
      </c>
      <c r="CK29">
        <v>0.62470000000000003</v>
      </c>
      <c r="CM29">
        <v>1965</v>
      </c>
      <c r="CN29">
        <v>373</v>
      </c>
      <c r="CO29">
        <v>0.71819999999999995</v>
      </c>
      <c r="CP29">
        <v>0.71819999999999995</v>
      </c>
      <c r="CR29">
        <v>1691</v>
      </c>
      <c r="CS29">
        <v>99</v>
      </c>
      <c r="CT29">
        <v>0.62880000000000003</v>
      </c>
      <c r="CU29">
        <v>0.62880000000000003</v>
      </c>
      <c r="CW29">
        <v>1722</v>
      </c>
      <c r="CX29">
        <v>130</v>
      </c>
      <c r="CY29">
        <v>130</v>
      </c>
      <c r="DB29">
        <v>1913</v>
      </c>
      <c r="DC29">
        <v>321</v>
      </c>
      <c r="DG29">
        <v>2806</v>
      </c>
      <c r="DH29">
        <v>1214</v>
      </c>
      <c r="DL29">
        <v>2341</v>
      </c>
      <c r="DM29">
        <v>749</v>
      </c>
      <c r="DQ29">
        <v>2823</v>
      </c>
      <c r="DR29">
        <v>1231</v>
      </c>
      <c r="DV29">
        <v>1592</v>
      </c>
      <c r="EA29">
        <v>7232</v>
      </c>
    </row>
    <row r="30" spans="1:131" x14ac:dyDescent="0.2">
      <c r="A30">
        <v>5.7071944444444451</v>
      </c>
      <c r="B30">
        <v>1774</v>
      </c>
      <c r="C30">
        <f t="shared" si="0"/>
        <v>171.88571428571413</v>
      </c>
      <c r="D30">
        <v>0.51900000000000002</v>
      </c>
      <c r="E30" s="90">
        <v>0.4138</v>
      </c>
      <c r="F30" s="90">
        <f t="shared" si="1"/>
        <v>415.38355313125697</v>
      </c>
      <c r="G30">
        <f t="shared" si="2"/>
        <v>6.9230592188542828E-2</v>
      </c>
      <c r="H30">
        <v>1763</v>
      </c>
      <c r="I30">
        <v>42</v>
      </c>
      <c r="J30">
        <v>0.5151</v>
      </c>
      <c r="K30">
        <v>0.40949999999999998</v>
      </c>
      <c r="L30">
        <v>41.590499999999999</v>
      </c>
      <c r="M30">
        <v>1842</v>
      </c>
      <c r="N30">
        <v>121</v>
      </c>
      <c r="O30">
        <v>0.49890000000000001</v>
      </c>
      <c r="P30">
        <v>0.39360000000000001</v>
      </c>
      <c r="Q30">
        <v>307.41869918699189</v>
      </c>
      <c r="R30">
        <v>1857</v>
      </c>
      <c r="S30">
        <v>3578</v>
      </c>
      <c r="T30">
        <v>0.49559999999999998</v>
      </c>
      <c r="U30">
        <v>0.3906</v>
      </c>
      <c r="V30">
        <v>9160.26625704045</v>
      </c>
      <c r="W30">
        <v>2523</v>
      </c>
      <c r="X30">
        <v>802</v>
      </c>
      <c r="Y30">
        <v>0.48209999999999997</v>
      </c>
      <c r="Z30">
        <v>0.37269999999999998</v>
      </c>
      <c r="AA30">
        <v>2151.8647705929702</v>
      </c>
      <c r="AB30">
        <v>2036</v>
      </c>
      <c r="AC30">
        <v>315</v>
      </c>
      <c r="AD30">
        <v>0.51749999999999996</v>
      </c>
      <c r="AE30">
        <v>0.40919999999999995</v>
      </c>
      <c r="AF30">
        <v>769.79472140762471</v>
      </c>
      <c r="AG30">
        <v>2608</v>
      </c>
      <c r="AH30">
        <v>887</v>
      </c>
      <c r="AI30">
        <v>0.57040000000000002</v>
      </c>
      <c r="AJ30">
        <v>0.46530000000000005</v>
      </c>
      <c r="AK30">
        <v>-0.76507292013153416</v>
      </c>
      <c r="AL30">
        <v>1721</v>
      </c>
      <c r="AN30">
        <v>0.57040000000000002</v>
      </c>
      <c r="AO30">
        <v>0.46530000000000005</v>
      </c>
      <c r="AP30">
        <v>3698.6890178379535</v>
      </c>
      <c r="AQ30">
        <v>3835</v>
      </c>
      <c r="AR30">
        <v>3834.4295999999999</v>
      </c>
      <c r="AS30">
        <v>0.62109999999999999</v>
      </c>
      <c r="AT30">
        <v>0.51329999999999998</v>
      </c>
      <c r="AU30">
        <v>7470.1531268264171</v>
      </c>
      <c r="AV30">
        <v>1806</v>
      </c>
      <c r="AW30">
        <v>199</v>
      </c>
      <c r="AX30">
        <v>0.49280000000000002</v>
      </c>
      <c r="AY30">
        <v>403.81493506493507</v>
      </c>
      <c r="AZ30">
        <v>1720</v>
      </c>
      <c r="BA30">
        <v>113</v>
      </c>
      <c r="BB30">
        <v>0.58699999999999997</v>
      </c>
      <c r="BC30">
        <v>0.58699999999999997</v>
      </c>
      <c r="BE30">
        <v>1892</v>
      </c>
      <c r="BF30">
        <v>285</v>
      </c>
      <c r="BG30">
        <v>0.57410000000000005</v>
      </c>
      <c r="BH30">
        <v>0.57410000000000005</v>
      </c>
      <c r="BJ30">
        <v>2001</v>
      </c>
      <c r="BK30">
        <v>394</v>
      </c>
      <c r="BL30">
        <v>0.57089999999999996</v>
      </c>
      <c r="BM30">
        <v>0.57089999999999996</v>
      </c>
      <c r="BO30">
        <v>2731</v>
      </c>
      <c r="BP30">
        <v>1124</v>
      </c>
      <c r="BQ30">
        <v>0.5595</v>
      </c>
      <c r="BR30">
        <v>0.5595</v>
      </c>
      <c r="BT30">
        <v>2383</v>
      </c>
      <c r="BU30">
        <v>776</v>
      </c>
      <c r="BV30">
        <v>0.57410000000000005</v>
      </c>
      <c r="BW30">
        <v>0.57410000000000005</v>
      </c>
      <c r="BY30">
        <v>3026</v>
      </c>
      <c r="BZ30">
        <v>1419</v>
      </c>
      <c r="CD30">
        <v>1607</v>
      </c>
      <c r="CE30">
        <v>0.60799999999999998</v>
      </c>
      <c r="CF30">
        <v>0.60799999999999998</v>
      </c>
      <c r="CI30">
        <v>4226</v>
      </c>
      <c r="CJ30">
        <v>0.64290000000000003</v>
      </c>
      <c r="CK30">
        <v>0.64290000000000003</v>
      </c>
      <c r="CM30">
        <v>1954</v>
      </c>
      <c r="CN30">
        <v>369</v>
      </c>
      <c r="CO30">
        <v>0.70279999999999998</v>
      </c>
      <c r="CP30">
        <v>0.70279999999999998</v>
      </c>
      <c r="CR30">
        <v>1678</v>
      </c>
      <c r="CS30">
        <v>93</v>
      </c>
      <c r="CT30">
        <v>0.64400000000000002</v>
      </c>
      <c r="CU30">
        <v>0.64400000000000002</v>
      </c>
      <c r="CW30">
        <v>1725</v>
      </c>
      <c r="CX30">
        <v>140</v>
      </c>
      <c r="CY30">
        <v>140</v>
      </c>
      <c r="DB30">
        <v>1874</v>
      </c>
      <c r="DC30">
        <v>289</v>
      </c>
      <c r="DG30">
        <v>2740</v>
      </c>
      <c r="DH30">
        <v>1155</v>
      </c>
      <c r="DL30">
        <v>2253</v>
      </c>
      <c r="DM30">
        <v>668</v>
      </c>
      <c r="DQ30">
        <v>2752</v>
      </c>
      <c r="DR30">
        <v>1167</v>
      </c>
      <c r="DV30">
        <v>1585</v>
      </c>
      <c r="EA30">
        <v>6845</v>
      </c>
    </row>
    <row r="31" spans="1:131" x14ac:dyDescent="0.2">
      <c r="A31">
        <v>5.9450247222222226</v>
      </c>
      <c r="B31">
        <v>1796</v>
      </c>
      <c r="C31">
        <f t="shared" si="0"/>
        <v>193.88571428571413</v>
      </c>
      <c r="D31">
        <v>0.52849999999999997</v>
      </c>
      <c r="E31" s="90">
        <v>0.42329999999999995</v>
      </c>
      <c r="F31" s="90">
        <f t="shared" si="1"/>
        <v>458.03381593601262</v>
      </c>
      <c r="G31">
        <f t="shared" si="2"/>
        <v>7.6338969322668773E-2</v>
      </c>
      <c r="H31">
        <v>1752</v>
      </c>
      <c r="I31">
        <v>42</v>
      </c>
      <c r="J31">
        <v>0.53490000000000004</v>
      </c>
      <c r="K31">
        <v>0.42930000000000001</v>
      </c>
      <c r="L31">
        <v>41.570700000000002</v>
      </c>
      <c r="M31">
        <v>1791</v>
      </c>
      <c r="N31">
        <v>81</v>
      </c>
      <c r="O31">
        <v>0.5071</v>
      </c>
      <c r="P31">
        <v>0.40179999999999999</v>
      </c>
      <c r="Q31">
        <v>201.59283225485316</v>
      </c>
      <c r="R31">
        <v>1867</v>
      </c>
      <c r="S31">
        <v>3577</v>
      </c>
      <c r="T31">
        <v>0.5091</v>
      </c>
      <c r="U31">
        <v>0.40410000000000001</v>
      </c>
      <c r="V31">
        <v>8851.7693640188063</v>
      </c>
      <c r="W31">
        <v>2425</v>
      </c>
      <c r="X31">
        <v>715</v>
      </c>
      <c r="Y31">
        <v>0.49619999999999997</v>
      </c>
      <c r="Z31">
        <v>0.38679999999999998</v>
      </c>
      <c r="AA31">
        <v>1848.5005170630818</v>
      </c>
      <c r="AB31">
        <v>1992</v>
      </c>
      <c r="AC31">
        <v>282</v>
      </c>
      <c r="AD31">
        <v>0.52229999999999999</v>
      </c>
      <c r="AE31">
        <v>0.41399999999999998</v>
      </c>
      <c r="AF31">
        <v>681.15942028985512</v>
      </c>
      <c r="AG31">
        <v>2503</v>
      </c>
      <c r="AH31">
        <v>793</v>
      </c>
      <c r="AI31">
        <v>0.57609999999999995</v>
      </c>
      <c r="AJ31">
        <v>0.47099999999999997</v>
      </c>
      <c r="AK31">
        <v>-0.75289718496571933</v>
      </c>
      <c r="AL31">
        <v>1710</v>
      </c>
      <c r="AN31">
        <v>0.57609999999999995</v>
      </c>
      <c r="AO31">
        <v>0.47099999999999997</v>
      </c>
      <c r="AP31">
        <v>3630.5732484076434</v>
      </c>
      <c r="AQ31">
        <v>3692</v>
      </c>
      <c r="AR31">
        <v>3691.4238999999998</v>
      </c>
      <c r="AS31">
        <v>0.64539999999999997</v>
      </c>
      <c r="AT31">
        <v>0.53759999999999997</v>
      </c>
      <c r="AU31">
        <v>6866.4879092261908</v>
      </c>
      <c r="AV31">
        <v>1758</v>
      </c>
      <c r="AW31">
        <v>142</v>
      </c>
      <c r="AX31">
        <v>0.52710000000000001</v>
      </c>
      <c r="AY31">
        <v>269.39859609182315</v>
      </c>
      <c r="AZ31">
        <v>1696</v>
      </c>
      <c r="BA31">
        <v>80</v>
      </c>
      <c r="BB31">
        <v>0.59279999999999999</v>
      </c>
      <c r="BC31">
        <v>0.59279999999999999</v>
      </c>
      <c r="BE31">
        <v>1845</v>
      </c>
      <c r="BF31">
        <v>229</v>
      </c>
      <c r="BG31">
        <v>0.58309999999999995</v>
      </c>
      <c r="BH31">
        <v>0.58309999999999995</v>
      </c>
      <c r="BJ31">
        <v>1971</v>
      </c>
      <c r="BK31">
        <v>355</v>
      </c>
      <c r="BL31">
        <v>0.58220000000000005</v>
      </c>
      <c r="BM31">
        <v>0.58220000000000005</v>
      </c>
      <c r="BO31">
        <v>2667</v>
      </c>
      <c r="BP31">
        <v>1051</v>
      </c>
      <c r="BQ31">
        <v>0.57489999999999997</v>
      </c>
      <c r="BR31">
        <v>0.57489999999999997</v>
      </c>
      <c r="BT31">
        <v>2321</v>
      </c>
      <c r="BU31">
        <v>705</v>
      </c>
      <c r="BV31">
        <v>0.58930000000000005</v>
      </c>
      <c r="BW31">
        <v>0.58930000000000005</v>
      </c>
      <c r="BY31">
        <v>2901</v>
      </c>
      <c r="BZ31">
        <v>1285</v>
      </c>
      <c r="CD31">
        <v>1616</v>
      </c>
      <c r="CE31">
        <v>0.60529999999999995</v>
      </c>
      <c r="CF31">
        <v>0.60529999999999995</v>
      </c>
      <c r="CI31">
        <v>4009</v>
      </c>
      <c r="CJ31">
        <v>0.6331</v>
      </c>
      <c r="CK31">
        <v>0.6331</v>
      </c>
      <c r="CM31">
        <v>1918</v>
      </c>
      <c r="CN31">
        <v>345</v>
      </c>
      <c r="CO31">
        <v>0.73099999999999998</v>
      </c>
      <c r="CP31">
        <v>0.73099999999999998</v>
      </c>
      <c r="CR31">
        <v>1638</v>
      </c>
      <c r="CS31">
        <v>65</v>
      </c>
      <c r="CT31">
        <v>0.63660000000000005</v>
      </c>
      <c r="CU31">
        <v>0.63660000000000005</v>
      </c>
      <c r="CW31">
        <v>1698</v>
      </c>
      <c r="CX31">
        <v>125</v>
      </c>
      <c r="CY31">
        <v>125</v>
      </c>
      <c r="DB31">
        <v>1857</v>
      </c>
      <c r="DC31">
        <v>284</v>
      </c>
      <c r="DG31">
        <v>2656</v>
      </c>
      <c r="DH31">
        <v>1083</v>
      </c>
      <c r="DL31">
        <v>2174</v>
      </c>
      <c r="DM31">
        <v>601</v>
      </c>
      <c r="DQ31">
        <v>2602</v>
      </c>
      <c r="DR31">
        <v>1029</v>
      </c>
      <c r="DV31">
        <v>1573</v>
      </c>
      <c r="EA31">
        <v>6529</v>
      </c>
    </row>
    <row r="32" spans="1:131" x14ac:dyDescent="0.2">
      <c r="A32">
        <v>6.1827869444444445</v>
      </c>
      <c r="B32">
        <v>1796</v>
      </c>
      <c r="C32">
        <f t="shared" si="0"/>
        <v>193.88571428571413</v>
      </c>
      <c r="D32">
        <v>0.53910000000000002</v>
      </c>
      <c r="E32" s="90">
        <v>0.43390000000000001</v>
      </c>
      <c r="F32" s="90">
        <f t="shared" si="1"/>
        <v>446.84423665755736</v>
      </c>
      <c r="G32">
        <f t="shared" si="2"/>
        <v>7.4474039442926229E-2</v>
      </c>
      <c r="H32">
        <v>1766</v>
      </c>
      <c r="I32">
        <v>48</v>
      </c>
      <c r="J32">
        <v>0.54079999999999995</v>
      </c>
      <c r="K32">
        <v>0.43519999999999992</v>
      </c>
      <c r="L32">
        <v>47.564799999999998</v>
      </c>
      <c r="M32">
        <v>1842</v>
      </c>
      <c r="N32">
        <v>124</v>
      </c>
      <c r="O32">
        <v>0.51949999999999996</v>
      </c>
      <c r="P32">
        <v>0.41419999999999996</v>
      </c>
      <c r="Q32">
        <v>299.37228392081124</v>
      </c>
      <c r="R32">
        <v>1860</v>
      </c>
      <c r="S32">
        <v>3578</v>
      </c>
      <c r="T32">
        <v>0.51759999999999995</v>
      </c>
      <c r="U32">
        <v>0.41259999999999997</v>
      </c>
      <c r="V32">
        <v>8671.8371303926324</v>
      </c>
      <c r="W32">
        <v>2457</v>
      </c>
      <c r="X32">
        <v>739</v>
      </c>
      <c r="Y32">
        <v>0.5081</v>
      </c>
      <c r="Z32">
        <v>0.3987</v>
      </c>
      <c r="AA32">
        <v>1853.5239528467519</v>
      </c>
      <c r="AB32">
        <v>2027</v>
      </c>
      <c r="AC32">
        <v>309</v>
      </c>
      <c r="AD32">
        <v>0.51670000000000005</v>
      </c>
      <c r="AE32">
        <v>0.40840000000000004</v>
      </c>
      <c r="AF32">
        <v>756.61116552399596</v>
      </c>
      <c r="AG32">
        <v>2523</v>
      </c>
      <c r="AH32">
        <v>805</v>
      </c>
      <c r="AI32">
        <v>0.57340000000000002</v>
      </c>
      <c r="AJ32">
        <v>0.46830000000000005</v>
      </c>
      <c r="AK32">
        <v>-0.75864616279264085</v>
      </c>
      <c r="AL32">
        <v>1718</v>
      </c>
      <c r="AN32">
        <v>0.57340000000000002</v>
      </c>
      <c r="AO32">
        <v>0.46830000000000005</v>
      </c>
      <c r="AP32">
        <v>3668.5885116378386</v>
      </c>
      <c r="AQ32">
        <v>3675</v>
      </c>
      <c r="AR32">
        <v>3674.4265999999998</v>
      </c>
      <c r="AS32">
        <v>0.64180000000000004</v>
      </c>
      <c r="AT32">
        <v>0.53400000000000003</v>
      </c>
      <c r="AU32">
        <v>6880.9486891385759</v>
      </c>
      <c r="AV32">
        <v>1814</v>
      </c>
      <c r="AW32">
        <v>168</v>
      </c>
      <c r="AX32">
        <v>0.54810000000000003</v>
      </c>
      <c r="AY32">
        <v>306.5134099616858</v>
      </c>
      <c r="AZ32">
        <v>1701</v>
      </c>
      <c r="BA32">
        <v>55</v>
      </c>
      <c r="BB32">
        <v>0.59589999999999999</v>
      </c>
      <c r="BC32">
        <v>0.59589999999999999</v>
      </c>
      <c r="BE32">
        <v>1889</v>
      </c>
      <c r="BF32">
        <v>243</v>
      </c>
      <c r="BG32">
        <v>0.58250000000000002</v>
      </c>
      <c r="BH32">
        <v>0.58250000000000002</v>
      </c>
      <c r="BJ32">
        <v>1972</v>
      </c>
      <c r="BK32">
        <v>326</v>
      </c>
      <c r="BL32">
        <v>0.58069999999999999</v>
      </c>
      <c r="BM32">
        <v>0.58069999999999999</v>
      </c>
      <c r="BO32">
        <v>2658</v>
      </c>
      <c r="BP32">
        <v>1012</v>
      </c>
      <c r="BQ32">
        <v>0.57650000000000001</v>
      </c>
      <c r="BR32">
        <v>0.57650000000000001</v>
      </c>
      <c r="BT32">
        <v>2319</v>
      </c>
      <c r="BU32">
        <v>673</v>
      </c>
      <c r="BV32">
        <v>0.58630000000000004</v>
      </c>
      <c r="BW32">
        <v>0.58630000000000004</v>
      </c>
      <c r="BY32">
        <v>2913</v>
      </c>
      <c r="BZ32">
        <v>1267</v>
      </c>
      <c r="CD32">
        <v>1646</v>
      </c>
      <c r="CE32">
        <v>0.59809999999999997</v>
      </c>
      <c r="CF32">
        <v>0.59809999999999997</v>
      </c>
      <c r="CI32">
        <v>4045</v>
      </c>
      <c r="CJ32">
        <v>0.61880000000000002</v>
      </c>
      <c r="CK32">
        <v>0.61880000000000002</v>
      </c>
      <c r="CM32">
        <v>1947</v>
      </c>
      <c r="CN32">
        <v>345</v>
      </c>
      <c r="CO32">
        <v>0.64390000000000003</v>
      </c>
      <c r="CP32">
        <v>0.64390000000000003</v>
      </c>
      <c r="CR32">
        <v>1670</v>
      </c>
      <c r="CS32">
        <v>68</v>
      </c>
      <c r="CT32">
        <v>0.65029999999999999</v>
      </c>
      <c r="CU32">
        <v>0.65029999999999999</v>
      </c>
      <c r="CW32">
        <v>1719</v>
      </c>
      <c r="CX32">
        <v>117</v>
      </c>
      <c r="CY32">
        <v>117</v>
      </c>
      <c r="DB32">
        <v>1869</v>
      </c>
      <c r="DC32">
        <v>267</v>
      </c>
      <c r="DG32">
        <v>2670</v>
      </c>
      <c r="DH32">
        <v>1068</v>
      </c>
      <c r="DL32">
        <v>2230</v>
      </c>
      <c r="DM32">
        <v>628</v>
      </c>
      <c r="DQ32">
        <v>2660</v>
      </c>
      <c r="DR32">
        <v>1058</v>
      </c>
      <c r="DV32">
        <v>1602</v>
      </c>
      <c r="EA32">
        <v>6438</v>
      </c>
    </row>
    <row r="33" spans="1:131" x14ac:dyDescent="0.2">
      <c r="A33">
        <v>6.4205563888888895</v>
      </c>
      <c r="B33">
        <v>1781</v>
      </c>
      <c r="C33">
        <f t="shared" si="0"/>
        <v>178.88571428571413</v>
      </c>
      <c r="D33">
        <v>0.53</v>
      </c>
      <c r="E33" s="90">
        <v>0.42480000000000001</v>
      </c>
      <c r="F33" s="90">
        <f t="shared" si="1"/>
        <v>421.10573042776394</v>
      </c>
      <c r="G33">
        <f t="shared" si="2"/>
        <v>7.0184288404627329E-2</v>
      </c>
      <c r="H33">
        <v>1820</v>
      </c>
      <c r="I33">
        <v>78</v>
      </c>
      <c r="J33">
        <v>0.54169999999999996</v>
      </c>
      <c r="K33">
        <v>0.43609999999999993</v>
      </c>
      <c r="L33">
        <v>77.563900000000004</v>
      </c>
      <c r="M33">
        <v>1851</v>
      </c>
      <c r="N33">
        <v>109</v>
      </c>
      <c r="O33">
        <v>0.53049999999999997</v>
      </c>
      <c r="P33">
        <v>0.42519999999999997</v>
      </c>
      <c r="Q33">
        <v>256.34995296331141</v>
      </c>
      <c r="R33">
        <v>1850</v>
      </c>
      <c r="S33">
        <v>3592</v>
      </c>
      <c r="T33">
        <v>0.53110000000000002</v>
      </c>
      <c r="U33">
        <v>0.42610000000000003</v>
      </c>
      <c r="V33">
        <v>8429.9460220605488</v>
      </c>
      <c r="W33">
        <v>2445</v>
      </c>
      <c r="X33">
        <v>703</v>
      </c>
      <c r="Y33">
        <v>0.51419999999999999</v>
      </c>
      <c r="Z33">
        <v>0.40479999999999999</v>
      </c>
      <c r="AA33">
        <v>1736.6600790513835</v>
      </c>
      <c r="AB33">
        <v>1995</v>
      </c>
      <c r="AC33">
        <v>253</v>
      </c>
      <c r="AD33">
        <v>0.54090000000000005</v>
      </c>
      <c r="AE33">
        <v>0.43260000000000004</v>
      </c>
      <c r="AF33">
        <v>584.83587609801202</v>
      </c>
      <c r="AG33">
        <v>2471</v>
      </c>
      <c r="AH33">
        <v>729</v>
      </c>
      <c r="AI33">
        <v>0.58989999999999998</v>
      </c>
      <c r="AJ33">
        <v>0.48480000000000001</v>
      </c>
      <c r="AK33">
        <v>-0.72401884422703233</v>
      </c>
      <c r="AL33">
        <v>1742</v>
      </c>
      <c r="AN33">
        <v>0.58989999999999998</v>
      </c>
      <c r="AO33">
        <v>0.48480000000000001</v>
      </c>
      <c r="AP33">
        <v>3593.234323432343</v>
      </c>
      <c r="AQ33">
        <v>3590</v>
      </c>
      <c r="AR33">
        <v>3589.4101000000001</v>
      </c>
      <c r="AS33">
        <v>0.64910000000000001</v>
      </c>
      <c r="AT33">
        <v>0.5413</v>
      </c>
      <c r="AU33">
        <v>6631.0920007389623</v>
      </c>
      <c r="AV33">
        <v>1784</v>
      </c>
      <c r="AW33">
        <v>149</v>
      </c>
      <c r="AX33">
        <v>0.56510000000000005</v>
      </c>
      <c r="AY33">
        <v>263.67014687665898</v>
      </c>
      <c r="AZ33">
        <v>1701</v>
      </c>
      <c r="BA33">
        <v>66</v>
      </c>
      <c r="BB33">
        <v>0.59930000000000005</v>
      </c>
      <c r="BC33">
        <v>0.59930000000000005</v>
      </c>
      <c r="BE33">
        <v>1800</v>
      </c>
      <c r="BF33">
        <v>165</v>
      </c>
      <c r="BG33">
        <v>0.59130000000000005</v>
      </c>
      <c r="BH33">
        <v>0.59130000000000005</v>
      </c>
      <c r="BJ33">
        <v>1971</v>
      </c>
      <c r="BK33">
        <v>336</v>
      </c>
      <c r="BL33">
        <v>0.58160000000000001</v>
      </c>
      <c r="BM33">
        <v>0.58160000000000001</v>
      </c>
      <c r="BO33">
        <v>2678</v>
      </c>
      <c r="BP33">
        <v>1043</v>
      </c>
      <c r="BQ33">
        <v>0.58009999999999995</v>
      </c>
      <c r="BR33">
        <v>0.58009999999999995</v>
      </c>
      <c r="BT33">
        <v>2328</v>
      </c>
      <c r="BU33">
        <v>693</v>
      </c>
      <c r="BV33">
        <v>0.59289999999999998</v>
      </c>
      <c r="BW33">
        <v>0.59289999999999998</v>
      </c>
      <c r="BY33">
        <v>2848</v>
      </c>
      <c r="BZ33">
        <v>1213</v>
      </c>
      <c r="CD33">
        <v>1635</v>
      </c>
      <c r="CE33">
        <v>0.60229999999999995</v>
      </c>
      <c r="CF33">
        <v>0.60229999999999995</v>
      </c>
      <c r="CI33">
        <v>3919</v>
      </c>
      <c r="CJ33">
        <v>0.64180000000000004</v>
      </c>
      <c r="CK33">
        <v>0.64180000000000004</v>
      </c>
      <c r="CM33">
        <v>1927</v>
      </c>
      <c r="CN33">
        <v>324</v>
      </c>
      <c r="CO33">
        <v>0.68940000000000001</v>
      </c>
      <c r="CP33">
        <v>0.68940000000000001</v>
      </c>
      <c r="CR33">
        <v>1664</v>
      </c>
      <c r="CS33">
        <v>61</v>
      </c>
      <c r="CT33">
        <v>0.63819999999999999</v>
      </c>
      <c r="CU33">
        <v>0.63819999999999999</v>
      </c>
      <c r="CW33">
        <v>1680</v>
      </c>
      <c r="CX33">
        <v>77</v>
      </c>
      <c r="CY33">
        <v>77</v>
      </c>
      <c r="DB33">
        <v>1851</v>
      </c>
      <c r="DC33">
        <v>248</v>
      </c>
      <c r="DG33">
        <v>2626</v>
      </c>
      <c r="DH33">
        <v>1023</v>
      </c>
      <c r="DL33">
        <v>2250</v>
      </c>
      <c r="DM33">
        <v>647</v>
      </c>
      <c r="DQ33">
        <v>2620</v>
      </c>
      <c r="DR33">
        <v>1017</v>
      </c>
      <c r="DV33">
        <v>1603</v>
      </c>
      <c r="EA33">
        <v>6312</v>
      </c>
    </row>
    <row r="34" spans="1:131" x14ac:dyDescent="0.2">
      <c r="A34">
        <v>6.658389722222223</v>
      </c>
      <c r="B34">
        <v>1761</v>
      </c>
      <c r="C34">
        <f t="shared" si="0"/>
        <v>158.88571428571413</v>
      </c>
      <c r="D34">
        <v>0.52890000000000004</v>
      </c>
      <c r="E34" s="90">
        <v>0.42370000000000002</v>
      </c>
      <c r="F34" s="90">
        <f t="shared" si="1"/>
        <v>374.99578542769439</v>
      </c>
      <c r="G34">
        <f t="shared" si="2"/>
        <v>6.2499297571282399E-2</v>
      </c>
      <c r="H34">
        <v>1734</v>
      </c>
      <c r="I34">
        <v>25</v>
      </c>
      <c r="J34">
        <v>0.53910000000000002</v>
      </c>
      <c r="K34">
        <v>0.4335</v>
      </c>
      <c r="L34">
        <v>24.566500000000001</v>
      </c>
      <c r="M34">
        <v>1818</v>
      </c>
      <c r="N34">
        <v>109</v>
      </c>
      <c r="O34">
        <v>0.5262</v>
      </c>
      <c r="P34">
        <v>0.4209</v>
      </c>
      <c r="Q34">
        <v>258.96887621762892</v>
      </c>
      <c r="R34">
        <v>1823</v>
      </c>
      <c r="S34">
        <v>3532</v>
      </c>
      <c r="T34">
        <v>0.53</v>
      </c>
      <c r="U34">
        <v>0.42500000000000004</v>
      </c>
      <c r="V34">
        <v>8310.5882352941171</v>
      </c>
      <c r="W34">
        <v>2369</v>
      </c>
      <c r="X34">
        <v>660</v>
      </c>
      <c r="Y34">
        <v>0.51600000000000001</v>
      </c>
      <c r="Z34">
        <v>0.40660000000000002</v>
      </c>
      <c r="AA34">
        <v>1623.2169208066896</v>
      </c>
      <c r="AB34">
        <v>1947</v>
      </c>
      <c r="AC34">
        <v>238</v>
      </c>
      <c r="AD34">
        <v>0.53500000000000003</v>
      </c>
      <c r="AE34">
        <v>0.42670000000000002</v>
      </c>
      <c r="AF34">
        <v>557.76892430278883</v>
      </c>
      <c r="AG34">
        <v>2430</v>
      </c>
      <c r="AH34">
        <v>721</v>
      </c>
      <c r="AI34">
        <v>0.59330000000000005</v>
      </c>
      <c r="AJ34">
        <v>0.48820000000000008</v>
      </c>
      <c r="AK34">
        <v>-0.71703012102327723</v>
      </c>
      <c r="AL34">
        <v>1709</v>
      </c>
      <c r="AN34">
        <v>0.59330000000000005</v>
      </c>
      <c r="AO34">
        <v>0.48820000000000008</v>
      </c>
      <c r="AP34">
        <v>3500.6145022531746</v>
      </c>
      <c r="AQ34">
        <v>3463</v>
      </c>
      <c r="AR34">
        <v>3462.4067</v>
      </c>
      <c r="AS34">
        <v>0.65739999999999998</v>
      </c>
      <c r="AT34">
        <v>0.54959999999999998</v>
      </c>
      <c r="AU34">
        <v>6299.866630276565</v>
      </c>
      <c r="AV34">
        <v>1779</v>
      </c>
      <c r="AW34">
        <v>165</v>
      </c>
      <c r="AX34">
        <v>0.57750000000000001</v>
      </c>
      <c r="AY34">
        <v>285.71428571428572</v>
      </c>
      <c r="AZ34">
        <v>1682</v>
      </c>
      <c r="BA34">
        <v>68</v>
      </c>
      <c r="BB34">
        <v>0.59540000000000004</v>
      </c>
      <c r="BC34">
        <v>0.59540000000000004</v>
      </c>
      <c r="BE34">
        <v>1805</v>
      </c>
      <c r="BF34">
        <v>191</v>
      </c>
      <c r="BG34">
        <v>0.58760000000000001</v>
      </c>
      <c r="BH34">
        <v>0.58760000000000001</v>
      </c>
      <c r="BJ34">
        <v>1913</v>
      </c>
      <c r="BK34">
        <v>299</v>
      </c>
      <c r="BL34">
        <v>0.58089999999999997</v>
      </c>
      <c r="BM34">
        <v>0.58089999999999997</v>
      </c>
      <c r="BO34">
        <v>2571</v>
      </c>
      <c r="BP34">
        <v>957</v>
      </c>
      <c r="BQ34">
        <v>0.58450000000000002</v>
      </c>
      <c r="BR34">
        <v>0.58450000000000002</v>
      </c>
      <c r="BT34">
        <v>2230</v>
      </c>
      <c r="BU34">
        <v>616</v>
      </c>
      <c r="BV34">
        <v>0.59599999999999997</v>
      </c>
      <c r="BW34">
        <v>0.59599999999999997</v>
      </c>
      <c r="BY34">
        <v>2740</v>
      </c>
      <c r="BZ34">
        <v>1126</v>
      </c>
      <c r="CD34">
        <v>1614</v>
      </c>
      <c r="CE34">
        <v>0.60650000000000004</v>
      </c>
      <c r="CF34">
        <v>0.60650000000000004</v>
      </c>
      <c r="CI34">
        <v>3734</v>
      </c>
      <c r="CJ34">
        <v>0.63419999999999999</v>
      </c>
      <c r="CK34">
        <v>0.63419999999999999</v>
      </c>
      <c r="CM34">
        <v>1875</v>
      </c>
      <c r="CN34">
        <v>276</v>
      </c>
      <c r="CO34">
        <v>0.72919999999999996</v>
      </c>
      <c r="CP34">
        <v>0.72919999999999996</v>
      </c>
      <c r="CR34">
        <v>1652</v>
      </c>
      <c r="CS34">
        <v>53</v>
      </c>
      <c r="CT34">
        <v>0.62109999999999999</v>
      </c>
      <c r="CU34">
        <v>0.62109999999999999</v>
      </c>
      <c r="CW34">
        <v>1643</v>
      </c>
      <c r="CX34">
        <v>44</v>
      </c>
      <c r="CY34">
        <v>44</v>
      </c>
      <c r="DB34">
        <v>1818</v>
      </c>
      <c r="DC34">
        <v>219</v>
      </c>
      <c r="DG34">
        <v>2505</v>
      </c>
      <c r="DH34">
        <v>906</v>
      </c>
      <c r="DL34">
        <v>2125</v>
      </c>
      <c r="DM34">
        <v>526</v>
      </c>
      <c r="DQ34">
        <v>2533</v>
      </c>
      <c r="DR34">
        <v>934</v>
      </c>
      <c r="DV34">
        <v>1599</v>
      </c>
      <c r="EA34">
        <v>6024</v>
      </c>
    </row>
    <row r="35" spans="1:131" x14ac:dyDescent="0.2">
      <c r="A35">
        <v>6.8961552777777779</v>
      </c>
      <c r="B35">
        <v>1798</v>
      </c>
      <c r="C35">
        <f t="shared" si="0"/>
        <v>195.88571428571413</v>
      </c>
      <c r="D35">
        <v>0.52739999999999998</v>
      </c>
      <c r="E35" s="90">
        <v>0.42219999999999996</v>
      </c>
      <c r="F35" s="90">
        <f t="shared" si="1"/>
        <v>463.96426879610175</v>
      </c>
      <c r="G35">
        <f t="shared" si="2"/>
        <v>7.732737813268363E-2</v>
      </c>
      <c r="H35">
        <v>1786</v>
      </c>
      <c r="I35">
        <v>51</v>
      </c>
      <c r="J35">
        <v>0.53900000000000003</v>
      </c>
      <c r="K35">
        <v>0.43340000000000001</v>
      </c>
      <c r="L35">
        <v>50.566600000000001</v>
      </c>
      <c r="M35">
        <v>1845</v>
      </c>
      <c r="N35">
        <v>110</v>
      </c>
      <c r="O35">
        <v>0.52959999999999996</v>
      </c>
      <c r="P35">
        <v>0.42429999999999995</v>
      </c>
      <c r="Q35">
        <v>259.25053028517561</v>
      </c>
      <c r="R35">
        <v>1882</v>
      </c>
      <c r="S35">
        <v>3617</v>
      </c>
      <c r="T35">
        <v>0.52839999999999998</v>
      </c>
      <c r="U35">
        <v>0.4234</v>
      </c>
      <c r="V35">
        <v>8542.7491733585266</v>
      </c>
      <c r="W35">
        <v>2366</v>
      </c>
      <c r="X35">
        <v>631</v>
      </c>
      <c r="Y35">
        <v>0.51359999999999995</v>
      </c>
      <c r="Z35">
        <v>0.40419999999999995</v>
      </c>
      <c r="AA35">
        <v>1561.1083621969324</v>
      </c>
      <c r="AB35">
        <v>1948</v>
      </c>
      <c r="AC35">
        <v>213</v>
      </c>
      <c r="AD35">
        <v>0.5131</v>
      </c>
      <c r="AE35">
        <v>0.40479999999999999</v>
      </c>
      <c r="AF35">
        <v>526.18577075098813</v>
      </c>
      <c r="AG35">
        <v>2431</v>
      </c>
      <c r="AH35">
        <v>696</v>
      </c>
      <c r="AI35">
        <v>0.57730000000000004</v>
      </c>
      <c r="AJ35">
        <v>0.47220000000000006</v>
      </c>
      <c r="AK35">
        <v>-0.7503526543307244</v>
      </c>
      <c r="AL35">
        <v>1735</v>
      </c>
      <c r="AN35">
        <v>0.57730000000000004</v>
      </c>
      <c r="AO35">
        <v>0.47220000000000006</v>
      </c>
      <c r="AP35">
        <v>3674.2905548496396</v>
      </c>
      <c r="AQ35">
        <v>3443</v>
      </c>
      <c r="AR35">
        <v>3442.4227000000001</v>
      </c>
      <c r="AS35">
        <v>0.64270000000000005</v>
      </c>
      <c r="AT35">
        <v>0.53490000000000004</v>
      </c>
      <c r="AU35">
        <v>6435.6378762385493</v>
      </c>
      <c r="AV35">
        <v>1812</v>
      </c>
      <c r="AW35">
        <v>184</v>
      </c>
      <c r="AX35">
        <v>0.58919999999999995</v>
      </c>
      <c r="AY35">
        <v>312.28784792939581</v>
      </c>
      <c r="AZ35">
        <v>1725</v>
      </c>
      <c r="BA35">
        <v>97</v>
      </c>
      <c r="BB35">
        <v>0.59119999999999995</v>
      </c>
      <c r="BC35">
        <v>0.59119999999999995</v>
      </c>
      <c r="BE35">
        <v>1831</v>
      </c>
      <c r="BF35">
        <v>203</v>
      </c>
      <c r="BG35">
        <v>0.57830000000000004</v>
      </c>
      <c r="BH35">
        <v>0.57830000000000004</v>
      </c>
      <c r="BJ35">
        <v>1944</v>
      </c>
      <c r="BK35">
        <v>316</v>
      </c>
      <c r="BL35">
        <v>0.57330000000000003</v>
      </c>
      <c r="BM35">
        <v>0.57330000000000003</v>
      </c>
      <c r="BO35">
        <v>2524</v>
      </c>
      <c r="BP35">
        <v>896</v>
      </c>
      <c r="BQ35">
        <v>0.57499999999999996</v>
      </c>
      <c r="BR35">
        <v>0.57499999999999996</v>
      </c>
      <c r="BT35">
        <v>2253</v>
      </c>
      <c r="BU35">
        <v>625</v>
      </c>
      <c r="BV35">
        <v>0.58099999999999996</v>
      </c>
      <c r="BW35">
        <v>0.58099999999999996</v>
      </c>
      <c r="BY35">
        <v>2827</v>
      </c>
      <c r="BZ35">
        <v>1199</v>
      </c>
      <c r="CD35">
        <v>1628</v>
      </c>
      <c r="CE35">
        <v>0.59109999999999996</v>
      </c>
      <c r="CF35">
        <v>0.59109999999999996</v>
      </c>
      <c r="CI35">
        <v>3760</v>
      </c>
      <c r="CJ35">
        <v>0.62360000000000004</v>
      </c>
      <c r="CK35">
        <v>0.62360000000000004</v>
      </c>
      <c r="CM35">
        <v>1910</v>
      </c>
      <c r="CN35">
        <v>325</v>
      </c>
      <c r="CO35">
        <v>0.69440000000000002</v>
      </c>
      <c r="CP35">
        <v>0.69440000000000002</v>
      </c>
      <c r="CR35">
        <v>1645</v>
      </c>
      <c r="CS35">
        <v>60</v>
      </c>
      <c r="CT35">
        <v>0.61460000000000004</v>
      </c>
      <c r="CU35">
        <v>0.61460000000000004</v>
      </c>
      <c r="CW35">
        <v>1675</v>
      </c>
      <c r="CX35">
        <v>90</v>
      </c>
      <c r="CY35">
        <v>90</v>
      </c>
      <c r="DB35">
        <v>1844</v>
      </c>
      <c r="DC35">
        <v>259</v>
      </c>
      <c r="DG35">
        <v>2550</v>
      </c>
      <c r="DH35">
        <v>965</v>
      </c>
      <c r="DL35">
        <v>2151</v>
      </c>
      <c r="DM35">
        <v>566</v>
      </c>
      <c r="DQ35">
        <v>2551</v>
      </c>
      <c r="DR35">
        <v>966</v>
      </c>
      <c r="DV35">
        <v>1585</v>
      </c>
      <c r="EA35">
        <v>5972</v>
      </c>
    </row>
    <row r="36" spans="1:131" x14ac:dyDescent="0.2">
      <c r="A36">
        <v>7.1339474999999997</v>
      </c>
      <c r="B36">
        <v>1746</v>
      </c>
      <c r="C36">
        <f t="shared" si="0"/>
        <v>143.88571428571413</v>
      </c>
      <c r="D36">
        <v>0.52249999999999996</v>
      </c>
      <c r="E36" s="90">
        <v>0.41729999999999995</v>
      </c>
      <c r="F36" s="90">
        <f t="shared" si="1"/>
        <v>344.80161582965286</v>
      </c>
      <c r="G36">
        <f t="shared" si="2"/>
        <v>5.7466935971608811E-2</v>
      </c>
      <c r="H36">
        <v>1782</v>
      </c>
      <c r="I36">
        <v>45</v>
      </c>
      <c r="J36">
        <v>0.53779999999999994</v>
      </c>
      <c r="K36">
        <v>0.43219999999999992</v>
      </c>
      <c r="L36">
        <v>44.567799999999998</v>
      </c>
      <c r="M36">
        <v>1828</v>
      </c>
      <c r="N36">
        <v>91</v>
      </c>
      <c r="O36">
        <v>0.53190000000000004</v>
      </c>
      <c r="P36">
        <v>0.42660000000000003</v>
      </c>
      <c r="Q36">
        <v>213.31458040318799</v>
      </c>
      <c r="R36">
        <v>1847</v>
      </c>
      <c r="S36">
        <v>3584</v>
      </c>
      <c r="T36">
        <v>0.53539999999999999</v>
      </c>
      <c r="U36">
        <v>0.4304</v>
      </c>
      <c r="V36">
        <v>8327.1375464684006</v>
      </c>
      <c r="W36">
        <v>2347</v>
      </c>
      <c r="X36">
        <v>610</v>
      </c>
      <c r="Y36">
        <v>0.51539999999999997</v>
      </c>
      <c r="Z36">
        <v>0.40599999999999997</v>
      </c>
      <c r="AA36">
        <v>1502.4630541871923</v>
      </c>
      <c r="AB36">
        <v>1946</v>
      </c>
      <c r="AC36">
        <v>209</v>
      </c>
      <c r="AD36">
        <v>0.51639999999999997</v>
      </c>
      <c r="AE36">
        <v>0.40809999999999996</v>
      </c>
      <c r="AF36">
        <v>512.12938005390845</v>
      </c>
      <c r="AG36">
        <v>2380</v>
      </c>
      <c r="AH36">
        <v>643</v>
      </c>
      <c r="AI36">
        <v>0.58230000000000004</v>
      </c>
      <c r="AJ36">
        <v>0.47720000000000007</v>
      </c>
      <c r="AK36">
        <v>-0.73981958875837583</v>
      </c>
      <c r="AL36">
        <v>1737</v>
      </c>
      <c r="AN36">
        <v>0.58230000000000004</v>
      </c>
      <c r="AO36">
        <v>0.47720000000000007</v>
      </c>
      <c r="AP36">
        <v>3639.9832355406534</v>
      </c>
      <c r="AQ36">
        <v>3330</v>
      </c>
      <c r="AR36">
        <v>3329.4177</v>
      </c>
      <c r="AS36">
        <v>0.63990000000000002</v>
      </c>
      <c r="AT36">
        <v>0.53210000000000002</v>
      </c>
      <c r="AU36">
        <v>6257.1277955271562</v>
      </c>
      <c r="AV36">
        <v>1792</v>
      </c>
      <c r="AW36">
        <v>173</v>
      </c>
      <c r="AX36">
        <v>0.60629999999999995</v>
      </c>
      <c r="AY36">
        <v>285.33729176975095</v>
      </c>
      <c r="AZ36">
        <v>1712</v>
      </c>
      <c r="BA36">
        <v>93</v>
      </c>
      <c r="BB36">
        <v>0.59240000000000004</v>
      </c>
      <c r="BC36">
        <v>0.59240000000000004</v>
      </c>
      <c r="BE36">
        <v>1847</v>
      </c>
      <c r="BF36">
        <v>228</v>
      </c>
      <c r="BG36">
        <v>0.57999999999999996</v>
      </c>
      <c r="BH36">
        <v>0.57999999999999996</v>
      </c>
      <c r="BJ36">
        <v>1924</v>
      </c>
      <c r="BK36">
        <v>305</v>
      </c>
      <c r="BL36">
        <v>0.57330000000000003</v>
      </c>
      <c r="BM36">
        <v>0.57330000000000003</v>
      </c>
      <c r="BO36">
        <v>2590</v>
      </c>
      <c r="BP36">
        <v>971</v>
      </c>
      <c r="BQ36">
        <v>0.57620000000000005</v>
      </c>
      <c r="BR36">
        <v>0.57620000000000005</v>
      </c>
      <c r="BT36">
        <v>2230</v>
      </c>
      <c r="BU36">
        <v>611</v>
      </c>
      <c r="BV36">
        <v>0.58220000000000005</v>
      </c>
      <c r="BW36">
        <v>0.58220000000000005</v>
      </c>
      <c r="BY36">
        <v>2740</v>
      </c>
      <c r="BZ36">
        <v>1121</v>
      </c>
      <c r="CD36">
        <v>1619</v>
      </c>
      <c r="CE36">
        <v>0.58889999999999998</v>
      </c>
      <c r="CF36">
        <v>0.58889999999999998</v>
      </c>
      <c r="CI36">
        <v>3733</v>
      </c>
      <c r="CJ36">
        <v>0.63119999999999998</v>
      </c>
      <c r="CK36">
        <v>0.63119999999999998</v>
      </c>
      <c r="CM36">
        <v>1882</v>
      </c>
      <c r="CN36">
        <v>287</v>
      </c>
      <c r="CO36">
        <v>0.66659999999999997</v>
      </c>
      <c r="CP36">
        <v>0.66659999999999997</v>
      </c>
      <c r="CR36">
        <v>1669</v>
      </c>
      <c r="CS36">
        <v>74</v>
      </c>
      <c r="CT36">
        <v>0.621</v>
      </c>
      <c r="CU36">
        <v>0.621</v>
      </c>
      <c r="CW36">
        <v>1636</v>
      </c>
      <c r="CX36">
        <v>41</v>
      </c>
      <c r="CY36">
        <v>41</v>
      </c>
      <c r="DB36">
        <v>1821</v>
      </c>
      <c r="DC36">
        <v>226</v>
      </c>
      <c r="DG36">
        <v>2540</v>
      </c>
      <c r="DH36">
        <v>945</v>
      </c>
      <c r="DL36">
        <v>2113</v>
      </c>
      <c r="DM36">
        <v>518</v>
      </c>
      <c r="DQ36">
        <v>2495</v>
      </c>
      <c r="DR36">
        <v>900</v>
      </c>
      <c r="DV36">
        <v>1595</v>
      </c>
      <c r="EA36">
        <v>5807</v>
      </c>
    </row>
    <row r="37" spans="1:131" x14ac:dyDescent="0.2">
      <c r="A37">
        <v>7.3717841666666661</v>
      </c>
      <c r="B37">
        <v>1787</v>
      </c>
      <c r="C37">
        <f t="shared" si="0"/>
        <v>184.88571428571413</v>
      </c>
      <c r="D37">
        <v>0.52180000000000004</v>
      </c>
      <c r="E37" s="90">
        <v>0.41660000000000003</v>
      </c>
      <c r="F37" s="90">
        <f t="shared" si="1"/>
        <v>443.79672176119567</v>
      </c>
      <c r="G37">
        <f t="shared" si="2"/>
        <v>7.3966120293532611E-2</v>
      </c>
      <c r="H37">
        <v>1799</v>
      </c>
      <c r="I37">
        <v>78</v>
      </c>
      <c r="J37">
        <v>0.54820000000000002</v>
      </c>
      <c r="K37">
        <v>0.44259999999999999</v>
      </c>
      <c r="L37">
        <v>77.557400000000001</v>
      </c>
      <c r="M37">
        <v>1844</v>
      </c>
      <c r="N37">
        <v>123</v>
      </c>
      <c r="O37">
        <v>0.52980000000000005</v>
      </c>
      <c r="P37">
        <v>0.42450000000000004</v>
      </c>
      <c r="Q37">
        <v>289.7526501766784</v>
      </c>
      <c r="R37">
        <v>1839</v>
      </c>
      <c r="S37">
        <v>3560</v>
      </c>
      <c r="T37">
        <v>0.53659999999999997</v>
      </c>
      <c r="U37">
        <v>0.43159999999999998</v>
      </c>
      <c r="V37">
        <v>8248.3781278961997</v>
      </c>
      <c r="W37">
        <v>2374</v>
      </c>
      <c r="X37">
        <v>653</v>
      </c>
      <c r="Y37">
        <v>0.51619999999999999</v>
      </c>
      <c r="Z37">
        <v>0.40679999999999999</v>
      </c>
      <c r="AA37">
        <v>1605.2114060963618</v>
      </c>
      <c r="AB37">
        <v>1949</v>
      </c>
      <c r="AC37">
        <v>228</v>
      </c>
      <c r="AD37">
        <v>0.51329999999999998</v>
      </c>
      <c r="AE37">
        <v>0.40499999999999997</v>
      </c>
      <c r="AF37">
        <v>562.96296296296305</v>
      </c>
      <c r="AG37">
        <v>2350</v>
      </c>
      <c r="AH37">
        <v>629</v>
      </c>
      <c r="AI37">
        <v>0.57950000000000002</v>
      </c>
      <c r="AJ37">
        <v>0.47440000000000004</v>
      </c>
      <c r="AK37">
        <v>-0.7457044312986213</v>
      </c>
      <c r="AL37">
        <v>1721</v>
      </c>
      <c r="AN37">
        <v>0.57950000000000002</v>
      </c>
      <c r="AO37">
        <v>0.47440000000000004</v>
      </c>
      <c r="AP37">
        <v>3627.7403035413149</v>
      </c>
      <c r="AQ37">
        <v>3314</v>
      </c>
      <c r="AR37">
        <v>3313.4205000000002</v>
      </c>
      <c r="AS37">
        <v>0.63160000000000005</v>
      </c>
      <c r="AT37">
        <v>0.52380000000000004</v>
      </c>
      <c r="AU37">
        <v>6325.7359679266892</v>
      </c>
      <c r="AV37">
        <v>1806</v>
      </c>
      <c r="AW37">
        <v>149</v>
      </c>
      <c r="AX37">
        <v>0.59609999999999996</v>
      </c>
      <c r="AY37">
        <v>249.95806072806579</v>
      </c>
      <c r="AZ37">
        <v>1708</v>
      </c>
      <c r="BA37">
        <v>51</v>
      </c>
      <c r="BB37">
        <v>0.5776</v>
      </c>
      <c r="BC37">
        <v>0.5776</v>
      </c>
      <c r="BE37">
        <v>1857</v>
      </c>
      <c r="BF37">
        <v>200</v>
      </c>
      <c r="BG37">
        <v>0.56999999999999995</v>
      </c>
      <c r="BH37">
        <v>0.56999999999999995</v>
      </c>
      <c r="BJ37">
        <v>1997</v>
      </c>
      <c r="BK37">
        <v>340</v>
      </c>
      <c r="BL37">
        <v>0.57040000000000002</v>
      </c>
      <c r="BM37">
        <v>0.57040000000000002</v>
      </c>
      <c r="BO37">
        <v>2565</v>
      </c>
      <c r="BP37">
        <v>908</v>
      </c>
      <c r="BQ37">
        <v>0.57330000000000003</v>
      </c>
      <c r="BR37">
        <v>0.57330000000000003</v>
      </c>
      <c r="BT37">
        <v>2256</v>
      </c>
      <c r="BU37">
        <v>599</v>
      </c>
      <c r="BV37">
        <v>0.57909999999999995</v>
      </c>
      <c r="BW37">
        <v>0.57909999999999995</v>
      </c>
      <c r="BY37">
        <v>2748</v>
      </c>
      <c r="BZ37">
        <v>1091</v>
      </c>
      <c r="CD37">
        <v>1657</v>
      </c>
      <c r="CE37">
        <v>0.59</v>
      </c>
      <c r="CF37">
        <v>0.59</v>
      </c>
      <c r="CI37">
        <v>3749</v>
      </c>
      <c r="CJ37">
        <v>0.63549999999999995</v>
      </c>
      <c r="CK37">
        <v>0.63549999999999995</v>
      </c>
      <c r="CM37">
        <v>1893</v>
      </c>
      <c r="CN37">
        <v>275</v>
      </c>
      <c r="CO37">
        <v>0.69299999999999995</v>
      </c>
      <c r="CP37">
        <v>0.69299999999999995</v>
      </c>
      <c r="CR37">
        <v>1666</v>
      </c>
      <c r="CS37">
        <v>48</v>
      </c>
      <c r="CT37">
        <v>0.60109999999999997</v>
      </c>
      <c r="CU37">
        <v>0.60109999999999997</v>
      </c>
      <c r="CW37">
        <v>1670</v>
      </c>
      <c r="CX37">
        <v>52</v>
      </c>
      <c r="CY37">
        <v>52</v>
      </c>
      <c r="DB37">
        <v>1842</v>
      </c>
      <c r="DC37">
        <v>224</v>
      </c>
      <c r="DG37">
        <v>2510</v>
      </c>
      <c r="DH37">
        <v>892</v>
      </c>
      <c r="DL37">
        <v>2136</v>
      </c>
      <c r="DM37">
        <v>518</v>
      </c>
      <c r="DQ37">
        <v>2489</v>
      </c>
      <c r="DR37">
        <v>871</v>
      </c>
      <c r="DV37">
        <v>1618</v>
      </c>
      <c r="EA37">
        <v>5841</v>
      </c>
    </row>
    <row r="38" spans="1:131" x14ac:dyDescent="0.2">
      <c r="A38">
        <v>7.609548055555555</v>
      </c>
      <c r="B38">
        <v>1735</v>
      </c>
      <c r="C38">
        <f t="shared" si="0"/>
        <v>132.88571428571413</v>
      </c>
      <c r="D38">
        <v>0.51270000000000004</v>
      </c>
      <c r="E38" s="90">
        <v>0.40750000000000003</v>
      </c>
      <c r="F38" s="90">
        <f t="shared" si="1"/>
        <v>326.09991235758065</v>
      </c>
      <c r="G38">
        <f t="shared" si="2"/>
        <v>5.4349985392930109E-2</v>
      </c>
      <c r="H38">
        <v>1769</v>
      </c>
      <c r="I38">
        <v>74</v>
      </c>
      <c r="J38">
        <v>0.52869999999999995</v>
      </c>
      <c r="K38">
        <v>0.42309999999999992</v>
      </c>
      <c r="L38">
        <v>73.576899999999995</v>
      </c>
      <c r="M38">
        <v>1817</v>
      </c>
      <c r="N38">
        <v>122</v>
      </c>
      <c r="O38">
        <v>0.51739999999999997</v>
      </c>
      <c r="P38">
        <v>0.41209999999999997</v>
      </c>
      <c r="Q38">
        <v>296.04464935695222</v>
      </c>
      <c r="R38">
        <v>1803</v>
      </c>
      <c r="S38">
        <v>3498</v>
      </c>
      <c r="T38">
        <v>0.5272</v>
      </c>
      <c r="U38">
        <v>0.42220000000000002</v>
      </c>
      <c r="V38">
        <v>8285.1729038370431</v>
      </c>
      <c r="W38">
        <v>2251</v>
      </c>
      <c r="X38">
        <v>556</v>
      </c>
      <c r="Y38">
        <v>0.51470000000000005</v>
      </c>
      <c r="Z38">
        <v>0.40530000000000005</v>
      </c>
      <c r="AA38">
        <v>1371.8233407352577</v>
      </c>
      <c r="AB38">
        <v>1891</v>
      </c>
      <c r="AC38">
        <v>196</v>
      </c>
      <c r="AD38">
        <v>0.51500000000000001</v>
      </c>
      <c r="AE38">
        <v>0.40670000000000001</v>
      </c>
      <c r="AF38">
        <v>481.92771084337346</v>
      </c>
      <c r="AG38">
        <v>2316</v>
      </c>
      <c r="AH38">
        <v>621</v>
      </c>
      <c r="AI38">
        <v>0.57550000000000001</v>
      </c>
      <c r="AJ38">
        <v>0.47040000000000004</v>
      </c>
      <c r="AK38">
        <v>-0.75417188239771982</v>
      </c>
      <c r="AL38">
        <v>1695</v>
      </c>
      <c r="AN38">
        <v>0.57550000000000001</v>
      </c>
      <c r="AO38">
        <v>0.47040000000000004</v>
      </c>
      <c r="AP38">
        <v>3603.3163265306121</v>
      </c>
      <c r="AQ38">
        <v>3212</v>
      </c>
      <c r="AR38">
        <v>3211.4245000000001</v>
      </c>
      <c r="AS38">
        <v>0.62980000000000003</v>
      </c>
      <c r="AT38">
        <v>0.52200000000000002</v>
      </c>
      <c r="AU38">
        <v>6152.1542145593867</v>
      </c>
      <c r="AV38">
        <v>1794</v>
      </c>
      <c r="AW38">
        <v>165</v>
      </c>
      <c r="AX38">
        <v>0.60589999999999999</v>
      </c>
      <c r="AY38">
        <v>272.32216537382408</v>
      </c>
      <c r="AZ38">
        <v>1725</v>
      </c>
      <c r="BA38">
        <v>96</v>
      </c>
      <c r="BB38">
        <v>0.5827</v>
      </c>
      <c r="BC38">
        <v>0.5827</v>
      </c>
      <c r="BE38">
        <v>1838</v>
      </c>
      <c r="BF38">
        <v>209</v>
      </c>
      <c r="BG38">
        <v>0.57089999999999996</v>
      </c>
      <c r="BH38">
        <v>0.57089999999999996</v>
      </c>
      <c r="BJ38">
        <v>1921</v>
      </c>
      <c r="BK38">
        <v>292</v>
      </c>
      <c r="BL38">
        <v>0.56689999999999996</v>
      </c>
      <c r="BM38">
        <v>0.56689999999999996</v>
      </c>
      <c r="BO38">
        <v>2521</v>
      </c>
      <c r="BP38">
        <v>892</v>
      </c>
      <c r="BQ38">
        <v>0.56789999999999996</v>
      </c>
      <c r="BR38">
        <v>0.56789999999999996</v>
      </c>
      <c r="BT38">
        <v>2249</v>
      </c>
      <c r="BU38">
        <v>620</v>
      </c>
      <c r="BV38">
        <v>0.57640000000000002</v>
      </c>
      <c r="BW38">
        <v>0.57640000000000002</v>
      </c>
      <c r="BY38">
        <v>2654</v>
      </c>
      <c r="BZ38">
        <v>1025</v>
      </c>
      <c r="CD38">
        <v>1629</v>
      </c>
      <c r="CE38">
        <v>0.58479999999999999</v>
      </c>
      <c r="CF38">
        <v>0.58479999999999999</v>
      </c>
      <c r="CI38">
        <v>3640</v>
      </c>
      <c r="CJ38">
        <v>0.65259999999999996</v>
      </c>
      <c r="CK38">
        <v>0.65259999999999996</v>
      </c>
      <c r="CM38">
        <v>1886</v>
      </c>
      <c r="CN38">
        <v>303</v>
      </c>
      <c r="CO38">
        <v>0.67159999999999997</v>
      </c>
      <c r="CP38">
        <v>0.67159999999999997</v>
      </c>
      <c r="CR38">
        <v>1666</v>
      </c>
      <c r="CS38">
        <v>83</v>
      </c>
      <c r="CT38">
        <v>0.61009999999999998</v>
      </c>
      <c r="CU38">
        <v>0.61009999999999998</v>
      </c>
      <c r="CW38">
        <v>1685</v>
      </c>
      <c r="CX38">
        <v>102</v>
      </c>
      <c r="CY38">
        <v>102</v>
      </c>
      <c r="DB38">
        <v>1818</v>
      </c>
      <c r="DC38">
        <v>235</v>
      </c>
      <c r="DG38">
        <v>2405</v>
      </c>
      <c r="DH38">
        <v>822</v>
      </c>
      <c r="DL38">
        <v>2114</v>
      </c>
      <c r="DM38">
        <v>531</v>
      </c>
      <c r="DQ38">
        <v>2430</v>
      </c>
      <c r="DR38">
        <v>847</v>
      </c>
      <c r="DV38">
        <v>1583</v>
      </c>
      <c r="EA38">
        <v>5622</v>
      </c>
    </row>
    <row r="39" spans="1:131" x14ac:dyDescent="0.2">
      <c r="A39">
        <v>7.8473716666666666</v>
      </c>
      <c r="B39">
        <v>1793</v>
      </c>
      <c r="C39">
        <f t="shared" si="0"/>
        <v>190.88571428571413</v>
      </c>
      <c r="D39">
        <v>0.51980000000000004</v>
      </c>
      <c r="E39" s="90">
        <v>0.41460000000000002</v>
      </c>
      <c r="F39" s="90">
        <f t="shared" si="1"/>
        <v>460.40934463510399</v>
      </c>
      <c r="G39">
        <f t="shared" si="2"/>
        <v>7.6734890772517328E-2</v>
      </c>
      <c r="H39">
        <v>1828</v>
      </c>
      <c r="I39">
        <v>91</v>
      </c>
      <c r="J39">
        <v>0.54979999999999996</v>
      </c>
      <c r="K39">
        <v>0.44419999999999993</v>
      </c>
      <c r="L39">
        <v>90.555800000000005</v>
      </c>
      <c r="M39">
        <v>1849</v>
      </c>
      <c r="N39">
        <v>112</v>
      </c>
      <c r="O39">
        <v>0.54339999999999999</v>
      </c>
      <c r="P39">
        <v>0.43809999999999999</v>
      </c>
      <c r="Q39">
        <v>255.64939511527049</v>
      </c>
      <c r="R39">
        <v>1870</v>
      </c>
      <c r="S39">
        <v>3607</v>
      </c>
      <c r="T39">
        <v>0.53390000000000004</v>
      </c>
      <c r="U39">
        <v>0.42890000000000006</v>
      </c>
      <c r="V39">
        <v>8409.8857542550704</v>
      </c>
      <c r="W39">
        <v>2291</v>
      </c>
      <c r="X39">
        <v>554</v>
      </c>
      <c r="Y39">
        <v>0.51280000000000003</v>
      </c>
      <c r="Z39">
        <v>0.40340000000000004</v>
      </c>
      <c r="AA39">
        <v>1373.3267228557263</v>
      </c>
      <c r="AB39">
        <v>1919</v>
      </c>
      <c r="AC39">
        <v>182</v>
      </c>
      <c r="AD39">
        <v>0.50600000000000001</v>
      </c>
      <c r="AE39">
        <v>0.3977</v>
      </c>
      <c r="AF39">
        <v>457.6313804375157</v>
      </c>
      <c r="AG39">
        <v>2331</v>
      </c>
      <c r="AH39">
        <v>594</v>
      </c>
      <c r="AI39">
        <v>0.57040000000000002</v>
      </c>
      <c r="AJ39">
        <v>0.46530000000000005</v>
      </c>
      <c r="AK39">
        <v>-0.76507292013153416</v>
      </c>
      <c r="AL39">
        <v>1737</v>
      </c>
      <c r="AN39">
        <v>0.57040000000000002</v>
      </c>
      <c r="AO39">
        <v>0.46530000000000005</v>
      </c>
      <c r="AP39">
        <v>3733.0754352030945</v>
      </c>
      <c r="AQ39">
        <v>3251</v>
      </c>
      <c r="AR39">
        <v>3250.4295999999999</v>
      </c>
      <c r="AS39">
        <v>0.61899999999999999</v>
      </c>
      <c r="AT39">
        <v>0.51119999999999999</v>
      </c>
      <c r="AU39">
        <v>6358.4303599374025</v>
      </c>
      <c r="AV39">
        <v>1818</v>
      </c>
      <c r="AW39">
        <v>168</v>
      </c>
      <c r="AX39">
        <v>0.60940000000000005</v>
      </c>
      <c r="AY39">
        <v>275.68099770265832</v>
      </c>
      <c r="AZ39">
        <v>1723</v>
      </c>
      <c r="BA39">
        <v>73</v>
      </c>
      <c r="BB39">
        <v>0.58130000000000004</v>
      </c>
      <c r="BC39">
        <v>0.58130000000000004</v>
      </c>
      <c r="BE39">
        <v>1832</v>
      </c>
      <c r="BF39">
        <v>182</v>
      </c>
      <c r="BG39">
        <v>0.56679999999999997</v>
      </c>
      <c r="BH39">
        <v>0.56679999999999997</v>
      </c>
      <c r="BJ39">
        <v>1946</v>
      </c>
      <c r="BK39">
        <v>296</v>
      </c>
      <c r="BL39">
        <v>0.56189999999999996</v>
      </c>
      <c r="BM39">
        <v>0.56189999999999996</v>
      </c>
      <c r="BO39">
        <v>2484</v>
      </c>
      <c r="BP39">
        <v>834</v>
      </c>
      <c r="BQ39">
        <v>0.56369999999999998</v>
      </c>
      <c r="BR39">
        <v>0.56369999999999998</v>
      </c>
      <c r="BT39">
        <v>2214</v>
      </c>
      <c r="BU39">
        <v>564</v>
      </c>
      <c r="BV39">
        <v>0.56899999999999995</v>
      </c>
      <c r="BW39">
        <v>0.56899999999999995</v>
      </c>
      <c r="BY39">
        <v>2656</v>
      </c>
      <c r="BZ39">
        <v>1006</v>
      </c>
      <c r="CD39">
        <v>1650</v>
      </c>
      <c r="CE39">
        <v>0.57889999999999997</v>
      </c>
      <c r="CF39">
        <v>0.57889999999999997</v>
      </c>
      <c r="CI39">
        <v>3567</v>
      </c>
      <c r="CJ39">
        <v>0.62509999999999999</v>
      </c>
      <c r="CK39">
        <v>0.62509999999999999</v>
      </c>
      <c r="CM39">
        <v>1889</v>
      </c>
      <c r="CN39">
        <v>288</v>
      </c>
      <c r="CO39">
        <v>0.66720000000000002</v>
      </c>
      <c r="CP39">
        <v>0.66720000000000002</v>
      </c>
      <c r="CR39">
        <v>1690</v>
      </c>
      <c r="CS39">
        <v>89</v>
      </c>
      <c r="CT39">
        <v>0.60680000000000001</v>
      </c>
      <c r="CU39">
        <v>0.60680000000000001</v>
      </c>
      <c r="CW39">
        <v>1660</v>
      </c>
      <c r="CX39">
        <v>59</v>
      </c>
      <c r="CY39">
        <v>59</v>
      </c>
      <c r="DB39">
        <v>1836</v>
      </c>
      <c r="DC39">
        <v>235</v>
      </c>
      <c r="DG39">
        <v>2470</v>
      </c>
      <c r="DH39">
        <v>869</v>
      </c>
      <c r="DL39">
        <v>2103</v>
      </c>
      <c r="DM39">
        <v>502</v>
      </c>
      <c r="DQ39">
        <v>2434</v>
      </c>
      <c r="DR39">
        <v>833</v>
      </c>
      <c r="DV39">
        <v>1601</v>
      </c>
      <c r="EA39">
        <v>5633</v>
      </c>
    </row>
    <row r="40" spans="1:131" x14ac:dyDescent="0.2">
      <c r="A40">
        <v>8.085210833333333</v>
      </c>
      <c r="B40">
        <v>1777</v>
      </c>
      <c r="C40">
        <f t="shared" si="0"/>
        <v>174.88571428571413</v>
      </c>
      <c r="D40">
        <v>0.50480000000000003</v>
      </c>
      <c r="E40" s="90">
        <v>0.39960000000000001</v>
      </c>
      <c r="F40" s="90">
        <f t="shared" si="1"/>
        <v>437.65193765193726</v>
      </c>
      <c r="G40">
        <f t="shared" si="2"/>
        <v>7.2941989608656208E-2</v>
      </c>
      <c r="H40">
        <v>1795</v>
      </c>
      <c r="I40">
        <v>59</v>
      </c>
      <c r="J40">
        <v>0.53710000000000002</v>
      </c>
      <c r="K40">
        <v>0.43149999999999999</v>
      </c>
      <c r="L40">
        <v>58.5685</v>
      </c>
      <c r="M40">
        <v>1836</v>
      </c>
      <c r="N40">
        <v>100</v>
      </c>
      <c r="O40">
        <v>0.51559999999999995</v>
      </c>
      <c r="P40">
        <v>0.41029999999999994</v>
      </c>
      <c r="Q40">
        <v>243.72410431391668</v>
      </c>
      <c r="R40">
        <v>1817</v>
      </c>
      <c r="S40">
        <v>3553</v>
      </c>
      <c r="T40">
        <v>0.52590000000000003</v>
      </c>
      <c r="U40">
        <v>0.42090000000000005</v>
      </c>
      <c r="V40">
        <v>8441.43502019482</v>
      </c>
      <c r="W40">
        <v>2281</v>
      </c>
      <c r="X40">
        <v>545</v>
      </c>
      <c r="Y40">
        <v>0.50680000000000003</v>
      </c>
      <c r="Z40">
        <v>0.39740000000000003</v>
      </c>
      <c r="AA40">
        <v>1371.4141922496224</v>
      </c>
      <c r="AB40">
        <v>1914</v>
      </c>
      <c r="AC40">
        <v>178</v>
      </c>
      <c r="AD40">
        <v>0.50949999999999995</v>
      </c>
      <c r="AE40">
        <v>0.40119999999999995</v>
      </c>
      <c r="AF40">
        <v>443.66899302093725</v>
      </c>
      <c r="AG40">
        <v>2284</v>
      </c>
      <c r="AH40">
        <v>548</v>
      </c>
      <c r="AI40">
        <v>0.58289999999999997</v>
      </c>
      <c r="AJ40">
        <v>0.4778</v>
      </c>
      <c r="AK40">
        <v>-0.73856304409042783</v>
      </c>
      <c r="AL40">
        <v>1736</v>
      </c>
      <c r="AN40">
        <v>0.58289999999999997</v>
      </c>
      <c r="AO40">
        <v>0.4778</v>
      </c>
      <c r="AP40">
        <v>3633.3193804939306</v>
      </c>
      <c r="AQ40">
        <v>3183</v>
      </c>
      <c r="AR40">
        <v>3182.4171000000001</v>
      </c>
      <c r="AS40">
        <v>0.621</v>
      </c>
      <c r="AT40">
        <v>0.51319999999999999</v>
      </c>
      <c r="AU40">
        <v>6201.1245128604833</v>
      </c>
      <c r="AV40">
        <v>1826</v>
      </c>
      <c r="AW40">
        <v>205</v>
      </c>
      <c r="AX40">
        <v>0.59560000000000002</v>
      </c>
      <c r="AY40">
        <v>344.19073203492275</v>
      </c>
      <c r="AZ40">
        <v>1743</v>
      </c>
      <c r="BA40">
        <v>122</v>
      </c>
      <c r="BB40">
        <v>0.57020000000000004</v>
      </c>
      <c r="BC40">
        <v>0.57020000000000004</v>
      </c>
      <c r="BE40">
        <v>1811</v>
      </c>
      <c r="BF40">
        <v>190</v>
      </c>
      <c r="BG40">
        <v>0.56120000000000003</v>
      </c>
      <c r="BH40">
        <v>0.56120000000000003</v>
      </c>
      <c r="BJ40">
        <v>1931</v>
      </c>
      <c r="BK40">
        <v>310</v>
      </c>
      <c r="BL40">
        <v>0.55710000000000004</v>
      </c>
      <c r="BM40">
        <v>0.55710000000000004</v>
      </c>
      <c r="BO40">
        <v>2501</v>
      </c>
      <c r="BP40">
        <v>880</v>
      </c>
      <c r="BQ40">
        <v>0.55989999999999995</v>
      </c>
      <c r="BR40">
        <v>0.55989999999999995</v>
      </c>
      <c r="BT40">
        <v>2192</v>
      </c>
      <c r="BU40">
        <v>571</v>
      </c>
      <c r="BV40">
        <v>0.56810000000000005</v>
      </c>
      <c r="BW40">
        <v>0.56810000000000005</v>
      </c>
      <c r="BY40">
        <v>2653</v>
      </c>
      <c r="BZ40">
        <v>1032</v>
      </c>
      <c r="CD40">
        <v>1621</v>
      </c>
      <c r="CE40">
        <v>0.59330000000000005</v>
      </c>
      <c r="CF40">
        <v>0.59330000000000005</v>
      </c>
      <c r="CI40">
        <v>3589</v>
      </c>
      <c r="CJ40">
        <v>0.65559999999999996</v>
      </c>
      <c r="CK40">
        <v>0.65559999999999996</v>
      </c>
      <c r="CM40">
        <v>1862</v>
      </c>
      <c r="CN40">
        <v>279</v>
      </c>
      <c r="CO40">
        <v>0.58960000000000001</v>
      </c>
      <c r="CP40">
        <v>0.58960000000000001</v>
      </c>
      <c r="CR40">
        <v>1645</v>
      </c>
      <c r="CS40">
        <v>62</v>
      </c>
      <c r="CT40">
        <v>0.59970000000000001</v>
      </c>
      <c r="CU40">
        <v>0.59970000000000001</v>
      </c>
      <c r="CW40">
        <v>1655</v>
      </c>
      <c r="CX40">
        <v>72</v>
      </c>
      <c r="CY40">
        <v>72</v>
      </c>
      <c r="DB40">
        <v>1822</v>
      </c>
      <c r="DC40">
        <v>239</v>
      </c>
      <c r="DG40">
        <v>2415</v>
      </c>
      <c r="DH40">
        <v>832</v>
      </c>
      <c r="DL40">
        <v>2107</v>
      </c>
      <c r="DM40">
        <v>524</v>
      </c>
      <c r="DQ40">
        <v>2438</v>
      </c>
      <c r="DR40">
        <v>855</v>
      </c>
      <c r="DV40">
        <v>1583</v>
      </c>
      <c r="EA40">
        <v>5521</v>
      </c>
    </row>
    <row r="41" spans="1:131" x14ac:dyDescent="0.2">
      <c r="BF41">
        <v>0</v>
      </c>
      <c r="BK41">
        <v>0</v>
      </c>
    </row>
    <row r="62" spans="3:6" x14ac:dyDescent="0.2">
      <c r="D62" s="6" t="s">
        <v>302</v>
      </c>
    </row>
    <row r="63" spans="3:6" x14ac:dyDescent="0.2">
      <c r="C63" s="6" t="s">
        <v>308</v>
      </c>
      <c r="D63" s="6" t="s">
        <v>263</v>
      </c>
      <c r="E63" s="6" t="s">
        <v>309</v>
      </c>
      <c r="F63" s="6"/>
    </row>
    <row r="64" spans="3:6" x14ac:dyDescent="0.2">
      <c r="C64" s="32">
        <v>1831</v>
      </c>
      <c r="D64" s="32">
        <v>1675</v>
      </c>
      <c r="E64" s="37">
        <v>1646</v>
      </c>
      <c r="F64" s="37"/>
    </row>
    <row r="65" spans="3:6" x14ac:dyDescent="0.2">
      <c r="C65" s="32">
        <v>1795</v>
      </c>
      <c r="D65" s="32">
        <v>1597</v>
      </c>
      <c r="E65" s="37">
        <v>1609</v>
      </c>
      <c r="F65" s="37"/>
    </row>
    <row r="66" spans="3:6" x14ac:dyDescent="0.2">
      <c r="C66" s="32">
        <v>1756</v>
      </c>
      <c r="D66" s="32">
        <v>1558</v>
      </c>
      <c r="E66" s="37">
        <v>1556</v>
      </c>
      <c r="F66" s="37"/>
    </row>
    <row r="67" spans="3:6" x14ac:dyDescent="0.2">
      <c r="C67" s="32">
        <v>1661</v>
      </c>
      <c r="D67" s="32">
        <v>1548</v>
      </c>
      <c r="E67" s="37">
        <v>1522</v>
      </c>
      <c r="F67" s="37"/>
    </row>
    <row r="68" spans="3:6" x14ac:dyDescent="0.2">
      <c r="C68" s="32">
        <v>1641</v>
      </c>
      <c r="D68" s="32">
        <v>1520</v>
      </c>
      <c r="E68" s="37">
        <v>1512</v>
      </c>
      <c r="F68" s="37"/>
    </row>
    <row r="69" spans="3:6" x14ac:dyDescent="0.2">
      <c r="C69" s="32">
        <v>1618</v>
      </c>
      <c r="D69" s="32">
        <v>1491</v>
      </c>
      <c r="E69" s="37">
        <v>1462</v>
      </c>
      <c r="F69" s="37"/>
    </row>
    <row r="70" spans="3:6" x14ac:dyDescent="0.2">
      <c r="C70" s="32">
        <v>1585</v>
      </c>
      <c r="D70" s="32">
        <v>1490</v>
      </c>
      <c r="E70" s="37">
        <v>1441</v>
      </c>
      <c r="F70" s="37"/>
    </row>
    <row r="71" spans="3:6" x14ac:dyDescent="0.2">
      <c r="C71" s="32">
        <v>1610</v>
      </c>
      <c r="D71" s="32">
        <v>1444</v>
      </c>
      <c r="E71" s="37">
        <v>1441</v>
      </c>
      <c r="F71" s="37"/>
    </row>
    <row r="72" spans="3:6" x14ac:dyDescent="0.2">
      <c r="C72" s="32">
        <v>1604</v>
      </c>
      <c r="D72" s="32">
        <v>1462</v>
      </c>
      <c r="E72" s="37">
        <v>1442</v>
      </c>
      <c r="F72" s="37"/>
    </row>
    <row r="73" spans="3:6" x14ac:dyDescent="0.2">
      <c r="C73" s="32">
        <v>1616</v>
      </c>
      <c r="D73" s="32">
        <v>1429</v>
      </c>
      <c r="E73" s="37">
        <v>1443</v>
      </c>
      <c r="F73" s="37"/>
    </row>
    <row r="74" spans="3:6" x14ac:dyDescent="0.2">
      <c r="C74" s="32">
        <v>1585</v>
      </c>
      <c r="D74" s="32">
        <v>1470</v>
      </c>
      <c r="E74" s="37">
        <v>1462</v>
      </c>
      <c r="F74" s="37"/>
    </row>
    <row r="75" spans="3:6" x14ac:dyDescent="0.2">
      <c r="C75" s="32">
        <v>1583</v>
      </c>
      <c r="D75" s="32">
        <v>1453</v>
      </c>
      <c r="E75" s="37">
        <v>1464</v>
      </c>
      <c r="F75" s="37"/>
    </row>
    <row r="76" spans="3:6" x14ac:dyDescent="0.2">
      <c r="C76" s="32">
        <v>1624</v>
      </c>
      <c r="D76" s="32">
        <v>1488</v>
      </c>
      <c r="E76" s="37">
        <v>1511</v>
      </c>
      <c r="F76" s="37"/>
    </row>
    <row r="77" spans="3:6" x14ac:dyDescent="0.2">
      <c r="C77" s="32">
        <v>1607</v>
      </c>
      <c r="D77" s="32">
        <v>1490</v>
      </c>
      <c r="E77" s="37">
        <v>1499</v>
      </c>
      <c r="F77" s="37"/>
    </row>
    <row r="78" spans="3:6" x14ac:dyDescent="0.2">
      <c r="C78" s="32">
        <v>1635</v>
      </c>
      <c r="D78" s="32">
        <v>1494</v>
      </c>
      <c r="E78" s="37">
        <v>1543</v>
      </c>
      <c r="F78" s="37"/>
    </row>
    <row r="79" spans="3:6" x14ac:dyDescent="0.2">
      <c r="C79" s="32">
        <v>1654</v>
      </c>
      <c r="D79" s="32">
        <v>1520</v>
      </c>
      <c r="E79" s="37">
        <v>1569</v>
      </c>
      <c r="F79" s="37"/>
    </row>
    <row r="80" spans="3:6" x14ac:dyDescent="0.2">
      <c r="C80" s="32">
        <v>1672</v>
      </c>
      <c r="D80" s="32">
        <v>1583</v>
      </c>
      <c r="E80" s="37">
        <v>1578</v>
      </c>
      <c r="F80" s="37"/>
    </row>
    <row r="81" spans="3:6" x14ac:dyDescent="0.2">
      <c r="C81" s="32">
        <v>1667</v>
      </c>
      <c r="D81" s="32">
        <v>1594</v>
      </c>
      <c r="E81" s="37">
        <v>1569</v>
      </c>
      <c r="F81" s="37"/>
    </row>
    <row r="82" spans="3:6" x14ac:dyDescent="0.2">
      <c r="C82" s="32">
        <v>1698</v>
      </c>
      <c r="D82" s="32">
        <v>1610</v>
      </c>
      <c r="E82" s="37">
        <v>1569</v>
      </c>
      <c r="F82" s="37"/>
    </row>
    <row r="83" spans="3:6" x14ac:dyDescent="0.2">
      <c r="C83" s="32">
        <v>1720</v>
      </c>
      <c r="D83" s="32">
        <v>1602</v>
      </c>
      <c r="E83" s="37">
        <v>1577</v>
      </c>
      <c r="F83" s="37"/>
    </row>
    <row r="84" spans="3:6" x14ac:dyDescent="0.2">
      <c r="C84" s="32">
        <v>1755</v>
      </c>
      <c r="D84" s="32">
        <v>1607</v>
      </c>
      <c r="E84" s="37">
        <v>1586</v>
      </c>
      <c r="F84" s="37"/>
    </row>
    <row r="85" spans="3:6" x14ac:dyDescent="0.2">
      <c r="C85" s="32">
        <v>1729</v>
      </c>
      <c r="D85" s="32">
        <v>1626</v>
      </c>
      <c r="E85" s="37">
        <v>1592</v>
      </c>
      <c r="F85" s="37"/>
    </row>
    <row r="86" spans="3:6" x14ac:dyDescent="0.2">
      <c r="C86" s="32">
        <v>1725</v>
      </c>
      <c r="D86" s="32">
        <v>1628</v>
      </c>
      <c r="E86" s="37">
        <v>1553</v>
      </c>
      <c r="F86" s="37"/>
    </row>
    <row r="87" spans="3:6" x14ac:dyDescent="0.2">
      <c r="C87" s="32">
        <v>1698</v>
      </c>
      <c r="D87" s="32">
        <v>1626</v>
      </c>
      <c r="E87" s="37">
        <v>1592</v>
      </c>
      <c r="F87" s="37"/>
    </row>
    <row r="88" spans="3:6" x14ac:dyDescent="0.2">
      <c r="C88" s="32">
        <v>1721</v>
      </c>
      <c r="D88" s="32">
        <v>1607</v>
      </c>
      <c r="E88" s="37">
        <v>1585</v>
      </c>
      <c r="F88" s="37"/>
    </row>
    <row r="89" spans="3:6" x14ac:dyDescent="0.2">
      <c r="C89" s="32">
        <v>1710</v>
      </c>
      <c r="D89" s="32">
        <v>1616</v>
      </c>
      <c r="E89" s="37">
        <v>1573</v>
      </c>
      <c r="F89" s="37"/>
    </row>
    <row r="90" spans="3:6" x14ac:dyDescent="0.2">
      <c r="C90" s="32">
        <v>1718</v>
      </c>
      <c r="D90" s="32">
        <v>1646</v>
      </c>
      <c r="E90" s="37">
        <v>1602</v>
      </c>
      <c r="F90" s="37"/>
    </row>
    <row r="91" spans="3:6" x14ac:dyDescent="0.2">
      <c r="C91" s="32">
        <v>1742</v>
      </c>
      <c r="D91" s="32">
        <v>1635</v>
      </c>
      <c r="E91" s="37">
        <v>1603</v>
      </c>
      <c r="F91" s="37"/>
    </row>
    <row r="92" spans="3:6" x14ac:dyDescent="0.2">
      <c r="C92" s="32">
        <v>1709</v>
      </c>
      <c r="D92" s="32">
        <v>1614</v>
      </c>
      <c r="E92" s="37">
        <v>1599</v>
      </c>
      <c r="F92" s="37"/>
    </row>
    <row r="93" spans="3:6" x14ac:dyDescent="0.2">
      <c r="C93" s="32">
        <v>1735</v>
      </c>
      <c r="D93" s="32">
        <v>1628</v>
      </c>
      <c r="E93" s="37">
        <v>1585</v>
      </c>
      <c r="F93" s="37"/>
    </row>
    <row r="94" spans="3:6" x14ac:dyDescent="0.2">
      <c r="C94" s="32">
        <v>1737</v>
      </c>
      <c r="D94" s="32">
        <v>1619</v>
      </c>
      <c r="E94" s="37">
        <v>1595</v>
      </c>
      <c r="F94" s="37"/>
    </row>
    <row r="95" spans="3:6" x14ac:dyDescent="0.2">
      <c r="C95" s="32">
        <v>1721</v>
      </c>
      <c r="D95" s="32">
        <v>1657</v>
      </c>
      <c r="E95" s="37">
        <v>1618</v>
      </c>
      <c r="F95" s="37"/>
    </row>
    <row r="96" spans="3:6" x14ac:dyDescent="0.2">
      <c r="C96" s="32">
        <v>1695</v>
      </c>
      <c r="D96" s="32">
        <v>1629</v>
      </c>
      <c r="E96" s="37">
        <v>1583</v>
      </c>
      <c r="F96" s="37"/>
    </row>
    <row r="97" spans="2:7" x14ac:dyDescent="0.2">
      <c r="C97" s="32">
        <v>1737</v>
      </c>
      <c r="D97" s="32">
        <v>1650</v>
      </c>
      <c r="E97" s="37">
        <v>1601</v>
      </c>
      <c r="F97" s="37"/>
      <c r="G97" s="6" t="s">
        <v>310</v>
      </c>
    </row>
    <row r="98" spans="2:7" x14ac:dyDescent="0.2">
      <c r="C98" s="32">
        <v>1736</v>
      </c>
      <c r="D98" s="32">
        <v>1621</v>
      </c>
      <c r="E98" s="37">
        <v>1583</v>
      </c>
      <c r="F98" s="37"/>
      <c r="G98" s="6" t="s">
        <v>267</v>
      </c>
    </row>
    <row r="99" spans="2:7" x14ac:dyDescent="0.2">
      <c r="B99" s="6" t="s">
        <v>267</v>
      </c>
      <c r="C99">
        <f>AVERAGE(C64:C98)</f>
        <v>1686.5714285714287</v>
      </c>
      <c r="D99">
        <f>AVERAGE(D64:D98)</f>
        <v>1569.3428571428572</v>
      </c>
      <c r="E99">
        <f>AVERAGE(E64:E98)</f>
        <v>1550.4285714285713</v>
      </c>
      <c r="G99">
        <f>AVERAGE(C99:E99)</f>
        <v>1602.1142857142859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Result sheet</vt:lpstr>
      <vt:lpstr>Sheet1</vt:lpstr>
      <vt:lpstr>Sheet2</vt:lpstr>
      <vt:lpstr>OD</vt:lpstr>
      <vt:lpstr>Sheet6</vt:lpstr>
      <vt:lpstr>GFP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Annika Hofmann</cp:lastModifiedBy>
  <dcterms:created xsi:type="dcterms:W3CDTF">2025-10-13T09:25:40Z</dcterms:created>
  <dcterms:modified xsi:type="dcterms:W3CDTF">2025-12-03T13:43:46Z</dcterms:modified>
</cp:coreProperties>
</file>